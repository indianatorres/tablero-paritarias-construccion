
<file path=[Content_Types].xml><?xml version="1.0" encoding="utf-8"?>
<Types xmlns="http://schemas.openxmlformats.org/package/2006/content-types">
  <Default Extension="png" ContentType="image/png"/>
  <Default Extension="bin" ContentType="application/vnd.openxmlformats-officedocument.spreadsheetml.printerSettings"/>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codeName="ThisWorkbook" defaultThemeVersion="124226"/>
  <bookViews>
    <workbookView xWindow="0" yWindow="0" windowWidth="20730" windowHeight="11760" activeTab="3"/>
  </bookViews>
  <sheets>
    <sheet name="Tapa" sheetId="2" r:id="rId1"/>
    <sheet name="Indice" sheetId="3" r:id="rId2"/>
    <sheet name="1" sheetId="1" r:id="rId3"/>
    <sheet name="2" sheetId="4" r:id="rId4"/>
    <sheet name="3" sheetId="5" r:id="rId5"/>
    <sheet name="4" sheetId="6" r:id="rId6"/>
    <sheet name="5" sheetId="7"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1_0CUADRO_N__4.">[1]Afiliados!#REF!</definedName>
    <definedName name="_2_0GRÁFICO_N_10.2">[1]Afiliados!#REF!</definedName>
    <definedName name="_cd1" hidden="1">{"'cua 42'!$A$1:$O$40"}</definedName>
    <definedName name="_COL1">#REF!</definedName>
    <definedName name="_COL2">#REF!</definedName>
    <definedName name="_COL3">#REF!</definedName>
    <definedName name="_COL4">#REF!</definedName>
    <definedName name="_COL5">#REF!</definedName>
    <definedName name="_COL6">#REF!</definedName>
    <definedName name="_COL7">#REF!</definedName>
    <definedName name="_COL8">#REF!</definedName>
    <definedName name="_COL9">#REF!</definedName>
    <definedName name="_Key1" hidden="1">'[2]dep pre'!#REF!</definedName>
    <definedName name="_Order1" hidden="1">255</definedName>
    <definedName name="_Parse_In" hidden="1">'[2]dep pre'!#REF!</definedName>
    <definedName name="_Parse_Out" hidden="1">'[2]dep pre'!#REF!</definedName>
    <definedName name="_Sort" hidden="1">'[2]dep pre'!#REF!</definedName>
    <definedName name="A" localSheetId="3">#REF!</definedName>
    <definedName name="A" localSheetId="4">#REF!</definedName>
    <definedName name="A" localSheetId="5">#REF!</definedName>
    <definedName name="A" localSheetId="6">#REF!</definedName>
    <definedName name="A">#REF!</definedName>
    <definedName name="A_impresión_IM">#REF!</definedName>
    <definedName name="AA" hidden="1">{"'cua 42'!$A$1:$O$40"}</definedName>
    <definedName name="ab" hidden="1">{"'cua 42'!$A$1:$O$40"}</definedName>
    <definedName name="adf">'[3]dep pre'!#REF!</definedName>
    <definedName name="af">'[4]sist. financiero_san Luis'!#REF!</definedName>
    <definedName name="affff" hidden="1">{"'cua 42'!$A$1:$O$40"}</definedName>
    <definedName name="AMPO5">"Gráfico 8"</definedName>
    <definedName name="_xlnm.Extract">'[2]dep pre'!#REF!</definedName>
    <definedName name="_xlnm.Print_Area" localSheetId="2">'1'!$A$1:$H$310</definedName>
    <definedName name="_xlnm.Print_Area" localSheetId="3">'2'!$A$1:$BN$64</definedName>
    <definedName name="_xlnm.Print_Area" localSheetId="4">'3'!$A$1:$AW$35</definedName>
    <definedName name="_xlnm.Print_Area" localSheetId="5">'4'!$A$2:$B$45</definedName>
    <definedName name="_xlnm.Print_Area" localSheetId="6">'5'!$A$1:$Y$376</definedName>
    <definedName name="_xlnm.Print_Area">#N/A</definedName>
    <definedName name="asa">'[5]graf 1'!$A$3:$C$28</definedName>
    <definedName name="asda">'[5]graf 1'!$A$3:$C$28</definedName>
    <definedName name="asdf">'[3]dep pre'!#REF!</definedName>
    <definedName name="Base_datos_IM">'[4]sist. financiero_san Luis'!#REF!</definedName>
    <definedName name="_xlnm.Database" localSheetId="3">#REF!</definedName>
    <definedName name="_xlnm.Database" localSheetId="4">#REF!</definedName>
    <definedName name="_xlnm.Database" localSheetId="5">#REF!</definedName>
    <definedName name="_xlnm.Database" localSheetId="6">#REF!</definedName>
    <definedName name="_xlnm.Database">#REF!</definedName>
    <definedName name="BB" hidden="1">{"'cua 42'!$A$1:$O$40"}</definedName>
    <definedName name="BORRA_CUADROS">[6]!BORRA_CUADROS</definedName>
    <definedName name="cacho">[7]GRAFPROM!#REF!</definedName>
    <definedName name="carajo">#REF!</definedName>
    <definedName name="cc" hidden="1">{"'cua 42'!$A$1:$O$40"}</definedName>
    <definedName name="cfffffr" localSheetId="3" hidden="1">{"'tasa de salida'!$A$1:$G$48"}</definedName>
    <definedName name="cfffffr" localSheetId="4" hidden="1">{"'tasa de salida'!$A$1:$G$48"}</definedName>
    <definedName name="cfffffr" localSheetId="5" hidden="1">{"'tasa de salida'!$A$1:$G$48"}</definedName>
    <definedName name="cfffffr" localSheetId="6" hidden="1">{"'tasa de salida'!$A$1:$G$48"}</definedName>
    <definedName name="cfffffr" hidden="1">{"'tasa de salida'!$A$1:$G$48"}</definedName>
    <definedName name="Cobertura_del_Plan_Jefes_as_de_Hogar__por_municipio___Junio_2002">#REF!</definedName>
    <definedName name="_xlnm.Criteria">'[4]sist. financiero_san Luis'!#REF!</definedName>
    <definedName name="Criterios_IM">'[4]sist. financiero_san Luis'!#REF!</definedName>
    <definedName name="CUADRO_10.3.1">'[8]fondo promedio'!$A$36:$L$74</definedName>
    <definedName name="CUADRO_N__4.1.3">#REF!</definedName>
    <definedName name="culo">'[5]graf 1'!$A$1:$IV$2</definedName>
    <definedName name="datos">#REF!</definedName>
    <definedName name="dd" hidden="1">{"'cua 42'!$A$1:$O$40"}</definedName>
    <definedName name="dfg" hidden="1">{"'cua 42'!$A$1:$O$40"}</definedName>
    <definedName name="dfgh" hidden="1">{"'cua 42'!$A$1:$O$40"}</definedName>
    <definedName name="dobleclick">#REF!</definedName>
    <definedName name="Extracción_IM">'[2]dep pre'!#REF!</definedName>
    <definedName name="FECHA">#REF!</definedName>
    <definedName name="feo">#REF!</definedName>
    <definedName name="fffffffffff" hidden="1">{"'tasa de salida'!$A$1:$G$48"}</definedName>
    <definedName name="FTI" hidden="1">{"'tasa de salida'!$A$1:$G$48"}</definedName>
    <definedName name="GRÁFICO_10.3.1.">'[8]GRÁFICO DE FONDO POR AFILIADO'!$A$3:$H$35</definedName>
    <definedName name="GRÁFICO_10.3.2">'[8]GRÁFICO DE FONDO POR AFILIADO'!$A$36:$H$68</definedName>
    <definedName name="GRÁFICO_10.3.3">'[8]GRÁFICO DE FONDO POR AFILIADO'!$A$69:$H$101</definedName>
    <definedName name="GRÁFICO_10.3.4.">'[8]GRÁFICO DE FONDO POR AFILIADO'!$A$103:$H$135</definedName>
    <definedName name="GRÁFICO_N_10.2.4.">#REF!</definedName>
    <definedName name="gu" hidden="1">'[3]dep pre'!#REF!</definedName>
    <definedName name="hh" hidden="1">{"'cuadro 18 '!$A$1:$L$34"}</definedName>
    <definedName name="hllliun" hidden="1">'[3]dep pre'!#REF!</definedName>
    <definedName name="hp9pk">'[4]sist. financiero_san Luis'!#REF!</definedName>
    <definedName name="HTML_CodePage" hidden="1">1252</definedName>
    <definedName name="HTML_Control" localSheetId="3" hidden="1">{"'tasa de salida'!$A$1:$G$48"}</definedName>
    <definedName name="HTML_Control" localSheetId="4" hidden="1">{"'tasa de salida'!$A$1:$G$48"}</definedName>
    <definedName name="HTML_Control" localSheetId="5" hidden="1">{"'tasa de salida'!$A$1:$G$48"}</definedName>
    <definedName name="HTML_Control" localSheetId="6" hidden="1">{"'tasa de salida'!$A$1:$G$48"}</definedName>
    <definedName name="HTML_Control" hidden="1">{"'tasa de salida'!$A$1:$G$48"}</definedName>
    <definedName name="HTML_Control2" localSheetId="3" hidden="1">{"'tasa de salida'!$A$1:$G$48"}</definedName>
    <definedName name="HTML_Control2" localSheetId="4" hidden="1">{"'tasa de salida'!$A$1:$G$48"}</definedName>
    <definedName name="HTML_Control2" localSheetId="5" hidden="1">{"'tasa de salida'!$A$1:$G$48"}</definedName>
    <definedName name="HTML_Control2" localSheetId="6" hidden="1">{"'tasa de salida'!$A$1:$G$48"}</definedName>
    <definedName name="HTML_Control2" hidden="1">{"'tasa de salida'!$A$1:$G$48"}</definedName>
    <definedName name="HTML_Control3" localSheetId="3" hidden="1">{"'tasa de salida'!$A$1:$G$48"}</definedName>
    <definedName name="HTML_Control3" localSheetId="4" hidden="1">{"'tasa de salida'!$A$1:$G$48"}</definedName>
    <definedName name="HTML_Control3" localSheetId="5" hidden="1">{"'tasa de salida'!$A$1:$G$48"}</definedName>
    <definedName name="HTML_Control3" localSheetId="6" hidden="1">{"'tasa de salida'!$A$1:$G$48"}</definedName>
    <definedName name="HTML_Control3" hidden="1">{"'tasa de salida'!$A$1:$G$48"}</definedName>
    <definedName name="HTML_Description" hidden="1">""</definedName>
    <definedName name="HTML_Email" hidden="1">"dnrmt@trabajo.gov.ar"</definedName>
    <definedName name="HTML_Header" hidden="1">""</definedName>
    <definedName name="HTML_LastUpdate" hidden="1">"22/02/1999"</definedName>
    <definedName name="HTML_LineAfter" hidden="1">TRUE</definedName>
    <definedName name="HTML_LineBefore" hidden="1">FALSE</definedName>
    <definedName name="HTML_Name" hidden="1">"MTSS - SEyCL - DNRMT"</definedName>
    <definedName name="HTML_OBDlg2" hidden="1">TRUE</definedName>
    <definedName name="HTML_OBDlg4" hidden="1">TRUE</definedName>
    <definedName name="HTML_OS" hidden="1">0</definedName>
    <definedName name="HTML_PathFile" hidden="1">"Z:\juanpi\anexo eil - web\html\eil0199\1207.html"</definedName>
    <definedName name="HTML_Title" hidden="1">""</definedName>
    <definedName name="iupg">'[3]dep pre'!#REF!</definedName>
    <definedName name="jjjjjjjjjjj" hidden="1">{"'cua 42'!$A$1:$O$40"}</definedName>
    <definedName name="jppmpñ" hidden="1">{"'cua 42'!$A$1:$O$40"}</definedName>
    <definedName name="lkjp" hidden="1">'[3]dep pre'!#REF!</definedName>
    <definedName name="MUJERES">[9]Mujeres!$B$77:$V$109</definedName>
    <definedName name="nnnnnnnnnnn" hidden="1">{"'cua 42'!$A$1:$O$40"}</definedName>
    <definedName name="npppppnj">'[3]dep pre'!#REF!</definedName>
    <definedName name="PIJIS">#REF!</definedName>
    <definedName name="Print_Area_MI">#REF!</definedName>
    <definedName name="PRINT_TITLES_MI">#REF!</definedName>
    <definedName name="PRN9.1" localSheetId="4">#REF!</definedName>
    <definedName name="PRN9.1" localSheetId="5">#REF!</definedName>
    <definedName name="PRN9.1" localSheetId="6">#REF!</definedName>
    <definedName name="PRN9.1">#REF!</definedName>
    <definedName name="promgraf">[7]GRAFPROM!#REF!</definedName>
    <definedName name="puto">#REF!</definedName>
    <definedName name="santiago" hidden="1">{"'cua 42'!$A$1:$O$40"}</definedName>
    <definedName name="sertes" hidden="1">{"'cua 42'!$A$1:$O$40"}</definedName>
    <definedName name="sfg" hidden="1">'[3]dep pre'!#REF!</definedName>
    <definedName name="shit" hidden="1">{"'cua 42'!$A$1:$O$40"}</definedName>
    <definedName name="SOPA">#REF!</definedName>
    <definedName name="sopapita">#REF!</definedName>
    <definedName name="ssssss" hidden="1">{"'tasa de salida'!$A$1:$G$48"}</definedName>
    <definedName name="Títulos_a_imprimir_IM">#REF!</definedName>
    <definedName name="TRANSFERENCIA">[6]!TRANSFERENCIA</definedName>
    <definedName name="tyurt" hidden="1">{"'cua 42'!$A$1:$O$40"}</definedName>
    <definedName name="v">#REF!</definedName>
    <definedName name="VARONES">[9]Varones!$B$77:$V$109</definedName>
    <definedName name="YO">[7]GRAFPROM!#REF!</definedName>
    <definedName name="yuetyy" hidden="1">{"'cua 42'!$A$1:$O$40"}</definedName>
  </definedNames>
  <calcPr calcId="162913"/>
</workbook>
</file>

<file path=xl/calcChain.xml><?xml version="1.0" encoding="utf-8"?>
<calcChain xmlns="http://schemas.openxmlformats.org/spreadsheetml/2006/main">
  <c r="AC328" i="7"/>
  <c r="IV22" i="5"/>
  <c r="IV20" s="1"/>
  <c r="IV19" s="1"/>
  <c r="IV14"/>
  <c r="IV12" s="1"/>
  <c r="IV6"/>
</calcChain>
</file>

<file path=xl/sharedStrings.xml><?xml version="1.0" encoding="utf-8"?>
<sst xmlns="http://schemas.openxmlformats.org/spreadsheetml/2006/main" count="7264" uniqueCount="247">
  <si>
    <t>Período</t>
  </si>
  <si>
    <t>Evolución del empleo</t>
  </si>
  <si>
    <t xml:space="preserve">Principales tasas </t>
  </si>
  <si>
    <t>Índice base ago. 01=100</t>
  </si>
  <si>
    <t>Variaciones relativas</t>
  </si>
  <si>
    <t>Mensual</t>
  </si>
  <si>
    <t>Anual</t>
  </si>
  <si>
    <t>Acumulada anual</t>
  </si>
  <si>
    <t>-</t>
  </si>
  <si>
    <t>Notas:</t>
  </si>
  <si>
    <t>Mercado de trabajo - EIL</t>
  </si>
  <si>
    <t>Principales indicadores laborales</t>
  </si>
  <si>
    <r>
      <t>Total aglomerados relevados</t>
    </r>
    <r>
      <rPr>
        <vertAlign val="superscript"/>
        <sz val="11"/>
        <color theme="0"/>
        <rFont val="Arial"/>
        <family val="2"/>
      </rPr>
      <t xml:space="preserve"> 1</t>
    </r>
  </si>
  <si>
    <r>
      <t>Tasa de Entrada</t>
    </r>
    <r>
      <rPr>
        <b/>
        <vertAlign val="superscript"/>
        <sz val="11"/>
        <rFont val="Arial"/>
        <family val="2"/>
      </rPr>
      <t xml:space="preserve"> 2</t>
    </r>
  </si>
  <si>
    <r>
      <t>Tasa de Salida</t>
    </r>
    <r>
      <rPr>
        <b/>
        <vertAlign val="superscript"/>
        <sz val="11"/>
        <rFont val="Arial"/>
        <family val="2"/>
      </rPr>
      <t xml:space="preserve"> 3</t>
    </r>
  </si>
  <si>
    <r>
      <t>Tasa de Rotación</t>
    </r>
    <r>
      <rPr>
        <b/>
        <vertAlign val="superscript"/>
        <sz val="11"/>
        <rFont val="Arial"/>
        <family val="2"/>
      </rPr>
      <t xml:space="preserve"> 4</t>
    </r>
  </si>
  <si>
    <t>2. Proporción de altas registradas durante el mes. Se calcula como porcentaje del total de ocupados a fin del mes anterior.</t>
  </si>
  <si>
    <t>3. Proporción de bajas registradas durante el mes. Se calcula como porcentaje del total de ocupados a fin del mes anterior.</t>
  </si>
  <si>
    <t>4. Promedio simple entre la tasa de entrada y la de salida.</t>
  </si>
  <si>
    <t>1. La serie Total Aglomerados Relevados se presenta desde agosto de 2001. La misma incluye los resultados generales de Gran Buenos Aires, Gran Córdoba, Gran Rosario y Gran Mendoza. Desde noviembre de 2004 se suman los resultados de Gran Tucumán, en noviembre de 2005 los de Gran Paraná, en septiembre de 2008 los correspondientes a Gran Resistencia y en noviembre de 2008 los de Gran Santa Fe.</t>
  </si>
  <si>
    <t>Fuente: Encuesta de Indicadores Laborales - STEySS</t>
  </si>
  <si>
    <t>Índice</t>
  </si>
  <si>
    <t>Indicadores Laborales por sector, rama de actividad y tamaño de las empresas</t>
  </si>
  <si>
    <r>
      <t xml:space="preserve">Total aglomerados relevados </t>
    </r>
    <r>
      <rPr>
        <vertAlign val="superscript"/>
        <sz val="11"/>
        <color theme="0"/>
        <rFont val="Arial"/>
        <family val="2"/>
      </rPr>
      <t xml:space="preserve">1 </t>
    </r>
    <r>
      <rPr>
        <sz val="11"/>
        <color theme="0"/>
        <rFont val="Arial"/>
        <family val="2"/>
      </rPr>
      <t>- Indice base ago-01 = 100</t>
    </r>
  </si>
  <si>
    <t>IV-01</t>
  </si>
  <si>
    <t>I-02</t>
  </si>
  <si>
    <t>II-02</t>
  </si>
  <si>
    <t>III-02</t>
  </si>
  <si>
    <t>IV-02</t>
  </si>
  <si>
    <t>I-03</t>
  </si>
  <si>
    <t>II-03</t>
  </si>
  <si>
    <t>III-03</t>
  </si>
  <si>
    <t>IV-03</t>
  </si>
  <si>
    <t>I-04</t>
  </si>
  <si>
    <t>II-04</t>
  </si>
  <si>
    <t>III-04</t>
  </si>
  <si>
    <t>IV-04</t>
  </si>
  <si>
    <t>I-05</t>
  </si>
  <si>
    <t>II-05</t>
  </si>
  <si>
    <t>III-05</t>
  </si>
  <si>
    <t>IV-05</t>
  </si>
  <si>
    <t>I-06</t>
  </si>
  <si>
    <t>II-06</t>
  </si>
  <si>
    <t>III-06</t>
  </si>
  <si>
    <t>IV-06</t>
  </si>
  <si>
    <t>I-07</t>
  </si>
  <si>
    <t>II-07</t>
  </si>
  <si>
    <t>III-07</t>
  </si>
  <si>
    <t>IV-07</t>
  </si>
  <si>
    <t>I-08</t>
  </si>
  <si>
    <t>II-08</t>
  </si>
  <si>
    <t>III-08</t>
  </si>
  <si>
    <t>IV-08</t>
  </si>
  <si>
    <t>I-09</t>
  </si>
  <si>
    <t>II-09</t>
  </si>
  <si>
    <t>III-09</t>
  </si>
  <si>
    <t>IV-09</t>
  </si>
  <si>
    <t>I-10</t>
  </si>
  <si>
    <t>II-10</t>
  </si>
  <si>
    <t>III-10</t>
  </si>
  <si>
    <t>IV-10</t>
  </si>
  <si>
    <t>I-11</t>
  </si>
  <si>
    <t>II-11</t>
  </si>
  <si>
    <t>III-11</t>
  </si>
  <si>
    <t>IV-11</t>
  </si>
  <si>
    <t>I-12</t>
  </si>
  <si>
    <t>II-12</t>
  </si>
  <si>
    <t>III-12</t>
  </si>
  <si>
    <t>IV-12</t>
  </si>
  <si>
    <t>I-13</t>
  </si>
  <si>
    <t>II-13</t>
  </si>
  <si>
    <t>III-13</t>
  </si>
  <si>
    <t>IV-13</t>
  </si>
  <si>
    <t>I-14</t>
  </si>
  <si>
    <t>II-14</t>
  </si>
  <si>
    <t>III-14</t>
  </si>
  <si>
    <t>IV-14</t>
  </si>
  <si>
    <t>I-15</t>
  </si>
  <si>
    <t>II-15</t>
  </si>
  <si>
    <t>III-15</t>
  </si>
  <si>
    <t>IV-15</t>
  </si>
  <si>
    <t>I-16</t>
  </si>
  <si>
    <t>II-16</t>
  </si>
  <si>
    <t>III-16</t>
  </si>
  <si>
    <t>IV-16</t>
  </si>
  <si>
    <t>I-17</t>
  </si>
  <si>
    <t>II-17</t>
  </si>
  <si>
    <t>III-17</t>
  </si>
  <si>
    <t>IV-17</t>
  </si>
  <si>
    <t>I-18</t>
  </si>
  <si>
    <t>II-18</t>
  </si>
  <si>
    <t>III18</t>
  </si>
  <si>
    <t>IV-18</t>
  </si>
  <si>
    <t>I-19</t>
  </si>
  <si>
    <t>II-19</t>
  </si>
  <si>
    <t>III-19</t>
  </si>
  <si>
    <t>IV-19</t>
  </si>
  <si>
    <t>I-20</t>
  </si>
  <si>
    <t>II-20</t>
  </si>
  <si>
    <t>III-20</t>
  </si>
  <si>
    <t>IV-20</t>
  </si>
  <si>
    <t>I-21</t>
  </si>
  <si>
    <t>II-21</t>
  </si>
  <si>
    <t>III-21</t>
  </si>
  <si>
    <t>IV-21</t>
  </si>
  <si>
    <t>I-22</t>
  </si>
  <si>
    <t>II-22</t>
  </si>
  <si>
    <t>III-22</t>
  </si>
  <si>
    <t>IV-22</t>
  </si>
  <si>
    <t>I-23</t>
  </si>
  <si>
    <t>II-23</t>
  </si>
  <si>
    <t>III-23</t>
  </si>
  <si>
    <t>IV-23</t>
  </si>
  <si>
    <t>I-24</t>
  </si>
  <si>
    <t>II-24</t>
  </si>
  <si>
    <t>III-24</t>
  </si>
  <si>
    <t>IV-24</t>
  </si>
  <si>
    <t>I-25</t>
  </si>
  <si>
    <t>Índice base ago.01=100</t>
  </si>
  <si>
    <t>Trimestral</t>
  </si>
  <si>
    <t>INDICE BASE   AGO 01 = 100</t>
  </si>
  <si>
    <t>Por rama de actividad</t>
  </si>
  <si>
    <t>Industria manufacturera</t>
  </si>
  <si>
    <t>Electricidad, gas y agua</t>
  </si>
  <si>
    <t>s/d</t>
  </si>
  <si>
    <t>Construcción</t>
  </si>
  <si>
    <t>Comercio, restaurantes y hoteles</t>
  </si>
  <si>
    <t>Transporte, almacenaje y comunicaciones</t>
  </si>
  <si>
    <t>Servicios financieros y a las empresas</t>
  </si>
  <si>
    <t>Servicios comunales, sociales y personales</t>
  </si>
  <si>
    <t>Por estrato de tamaño</t>
  </si>
  <si>
    <t>Empresas de 10 a 49 ocupados</t>
  </si>
  <si>
    <t>Empresas de 50 a 199 ocupados</t>
  </si>
  <si>
    <t>Empresas de 200 y más ocupados</t>
  </si>
  <si>
    <t>Por sector de actividad</t>
  </si>
  <si>
    <t>Industria</t>
  </si>
  <si>
    <t>Comercio y servicios</t>
  </si>
  <si>
    <t>Variaciones Trimestrales relativas</t>
  </si>
  <si>
    <t xml:space="preserve"> </t>
  </si>
  <si>
    <t>Variaciones anuales relativas</t>
  </si>
  <si>
    <t>Nota:</t>
  </si>
  <si>
    <t>Fuente: Encuesta de Indicadores Laborales -  STEySS</t>
  </si>
  <si>
    <t>III-25</t>
  </si>
  <si>
    <t>II-25</t>
  </si>
  <si>
    <t>Movimientos de personal (en porcentaje)</t>
  </si>
  <si>
    <t>Total aglomerados relevados</t>
  </si>
  <si>
    <t>Proporción de empresas con movimientos</t>
  </si>
  <si>
    <t xml:space="preserve">Total </t>
  </si>
  <si>
    <t>Empresas con altas solamente</t>
  </si>
  <si>
    <t>Empresas con bajas solamente</t>
  </si>
  <si>
    <t>Empresas con altas y bajas</t>
  </si>
  <si>
    <t>Empresas sin movimiento</t>
  </si>
  <si>
    <r>
      <t>Motivo de altas y bajas</t>
    </r>
    <r>
      <rPr>
        <sz val="9"/>
        <color theme="4" tint="-0.499984740745262"/>
        <rFont val="Arial"/>
        <family val="2"/>
      </rPr>
      <t xml:space="preserve"> </t>
    </r>
  </si>
  <si>
    <t>Altas</t>
  </si>
  <si>
    <r>
      <t>Por razones de la demanda</t>
    </r>
    <r>
      <rPr>
        <b/>
        <vertAlign val="superscript"/>
        <sz val="9"/>
        <color theme="4" tint="-0.499984740745262"/>
        <rFont val="Arial"/>
        <family val="2"/>
      </rPr>
      <t>1/</t>
    </r>
  </si>
  <si>
    <r>
      <t>Por razones internas</t>
    </r>
    <r>
      <rPr>
        <b/>
        <vertAlign val="superscript"/>
        <sz val="9"/>
        <color theme="4" tint="-0.499984740745262"/>
        <rFont val="Arial"/>
        <family val="2"/>
      </rPr>
      <t>2/</t>
    </r>
  </si>
  <si>
    <t xml:space="preserve">Cambios en la gestión y el proceso productivo </t>
  </si>
  <si>
    <t>Adecuación de competencias laborales</t>
  </si>
  <si>
    <t>Cubrir vacantes</t>
  </si>
  <si>
    <t>Otras7/</t>
  </si>
  <si>
    <t>Bajas</t>
  </si>
  <si>
    <t>Bajas decididas por las empresas</t>
  </si>
  <si>
    <r>
      <t>Por razones de la demanda</t>
    </r>
    <r>
      <rPr>
        <b/>
        <vertAlign val="superscript"/>
        <sz val="9"/>
        <color theme="4" tint="-0.499984740745262"/>
        <rFont val="Arial"/>
        <family val="2"/>
      </rPr>
      <t>3</t>
    </r>
    <r>
      <rPr>
        <vertAlign val="superscript"/>
        <sz val="9"/>
        <color theme="4" tint="-0.499984740745262"/>
        <rFont val="Arial"/>
        <family val="2"/>
      </rPr>
      <t>/</t>
    </r>
  </si>
  <si>
    <r>
      <t>Por razones internas</t>
    </r>
    <r>
      <rPr>
        <b/>
        <vertAlign val="superscript"/>
        <sz val="9"/>
        <color theme="4" tint="-0.499984740745262"/>
        <rFont val="Arial"/>
        <family val="2"/>
      </rPr>
      <t>4</t>
    </r>
    <r>
      <rPr>
        <vertAlign val="superscript"/>
        <sz val="9"/>
        <color theme="4" tint="-0.499984740745262"/>
        <rFont val="Arial"/>
        <family val="2"/>
      </rPr>
      <t>/</t>
    </r>
  </si>
  <si>
    <t>Cambios en la gestión y el proceso productivo</t>
  </si>
  <si>
    <t>Razones disciplinarias / inadecuación de competencias laborales</t>
  </si>
  <si>
    <t>Fin de reemplazo</t>
  </si>
  <si>
    <t>Bajas decididas por las personas</t>
  </si>
  <si>
    <r>
      <t>Otras</t>
    </r>
    <r>
      <rPr>
        <b/>
        <vertAlign val="superscript"/>
        <sz val="9"/>
        <color theme="4" tint="-0.499984740745262"/>
        <rFont val="Arial"/>
        <family val="2"/>
      </rPr>
      <t>7/</t>
    </r>
  </si>
  <si>
    <r>
      <t>Modalidad legal de las bajas</t>
    </r>
    <r>
      <rPr>
        <b/>
        <vertAlign val="superscript"/>
        <sz val="9"/>
        <color theme="4" tint="-0.499984740745262"/>
        <rFont val="Arial"/>
        <family val="2"/>
      </rPr>
      <t>5</t>
    </r>
    <r>
      <rPr>
        <b/>
        <sz val="9"/>
        <color theme="4" tint="-0.499984740745262"/>
        <rFont val="Arial"/>
        <family val="2"/>
      </rPr>
      <t>/</t>
    </r>
  </si>
  <si>
    <t>Total</t>
  </si>
  <si>
    <t>Despidos sin causa</t>
  </si>
  <si>
    <t>Despidos con justa causa (incluye razones disciplinarias)</t>
  </si>
  <si>
    <t>Finalización período de prueba</t>
  </si>
  <si>
    <t>Finalización de obra (sólo para la rama construcción)</t>
  </si>
  <si>
    <t>Finalización de contrato por tiempo determinado</t>
  </si>
  <si>
    <r>
      <t>Tasa de despidos</t>
    </r>
    <r>
      <rPr>
        <b/>
        <vertAlign val="superscript"/>
        <sz val="9"/>
        <color theme="4" tint="-0.499984740745262"/>
        <rFont val="Arial"/>
        <family val="2"/>
      </rPr>
      <t xml:space="preserve">6/ </t>
    </r>
  </si>
  <si>
    <t>Proporción de despidos incausados registrados durante el mes</t>
  </si>
  <si>
    <t>1/ Incluye las incorporaciones de personal ocasionadas por aumento de la demanda de bienes y/o servicios que produce la empresa.</t>
  </si>
  <si>
    <t>2/ Hasta enero de 2005 incluye las incorporaciones de personal por "Reorganización funcional o productiva de la empresa". A partir de febrero de 2005 incluye las incorporaciones motivadas por: "Reorganización del proceso productivo", "Incorporación de nuevas máquinas y/o equipos", "Cambios organizativos en la gestión de la empresa", "Subcontratación de otra empresa", "Adecuación de competencias laborales", "Cubrir vacantes" y "Razones disciplinarias".</t>
  </si>
  <si>
    <t>3/ Incluye las desvinculaciones de personal ocasionadas por disminución de la demanda de bienes y/o servicios que produce la empresa.</t>
  </si>
  <si>
    <t>4/ Hasta enero de 2005 incluye las desvinculaciones de personal por "Reorganización funcional o productiva de la empresa", "Despido sin causa", "Razones disciplinarias", "Finalización de contrato por tiempo determinado". A partir de febrero de 2005 incluye las desvinculaciones motivadas por: "Reorganización del proceso productivo", "Incorporación de nuevas máquinas y/o equipos", "Cambios organizativos en la gestión de la empresa", "Subcontratación de otra empresa", "Inadecuación de competencias laborales", "Fin de reemplazo" y "Razones disciplinarias".</t>
  </si>
  <si>
    <t>5/ Hasta enero de 2005 incluye bajas decididas por las empresas, despidos sin causa y cambios en la demanda. A partir de febrero de 2005 comienza a relevarse con la actual desagregación.</t>
  </si>
  <si>
    <t xml:space="preserve">6/ La EIL comenzó a relevar las causas vinculadas a la modalidad legal de las bajas a partir de febrero de 2005. Este dato es uno de los que se utiliza para la construcción de la tasa de despidos. La tasa se calcula como porcentaje del total del empleo a fin del mes anterior. Se incluye en la categoría despido incausado, además de los propiamente mencionados, a  la finalización de período de prueba, y a la finalización de obra en el caso de la construcción. Se excluye de este concepto a los despidos con causa y a los vtos. de contratos a tiempo determinado. </t>
  </si>
  <si>
    <t>7/ Desde febrero de 2005 se incluye la opción otras razones y otras modalidades de altas y bajas.</t>
  </si>
  <si>
    <t>Fuente: Encuesta de Indicadores Laborales, STEySS.</t>
  </si>
  <si>
    <t>Renuncia</t>
  </si>
  <si>
    <t>Jubilación</t>
  </si>
  <si>
    <r>
      <t>Otras</t>
    </r>
    <r>
      <rPr>
        <vertAlign val="superscript"/>
        <sz val="9"/>
        <color theme="4" tint="-0.499984740745262"/>
        <rFont val="Arial"/>
        <family val="2"/>
      </rPr>
      <t>7/</t>
    </r>
  </si>
  <si>
    <r>
      <t xml:space="preserve">Demanda laboral  y cobertura de puestos </t>
    </r>
    <r>
      <rPr>
        <b/>
        <vertAlign val="superscript"/>
        <sz val="12"/>
        <color theme="0"/>
        <rFont val="Arial"/>
        <family val="2"/>
      </rPr>
      <t xml:space="preserve">1 </t>
    </r>
    <r>
      <rPr>
        <b/>
        <sz val="12"/>
        <color theme="0"/>
        <rFont val="Arial"/>
        <family val="2"/>
      </rPr>
      <t>(en porcentaje)</t>
    </r>
    <r>
      <rPr>
        <b/>
        <sz val="8"/>
        <color theme="0"/>
        <rFont val="Arial"/>
        <family val="2"/>
      </rPr>
      <t/>
    </r>
  </si>
  <si>
    <r>
      <t>Total aglomerados relevados</t>
    </r>
    <r>
      <rPr>
        <vertAlign val="superscript"/>
        <sz val="10"/>
        <color theme="0"/>
        <rFont val="Arial"/>
        <family val="2"/>
      </rPr>
      <t xml:space="preserve"> 2</t>
    </r>
  </si>
  <si>
    <t>Demanda Laboral (Empresas)</t>
  </si>
  <si>
    <t>No realizaron busquedas de personal</t>
  </si>
  <si>
    <t>Realizaron busquedas de personal</t>
  </si>
  <si>
    <r>
      <t xml:space="preserve">Cobertura de los puestos </t>
    </r>
    <r>
      <rPr>
        <b/>
        <vertAlign val="superscript"/>
        <sz val="10"/>
        <rFont val="Arial"/>
        <family val="2"/>
      </rPr>
      <t>3</t>
    </r>
  </si>
  <si>
    <t>Empresas que cubrieron todos los puestos bucados</t>
  </si>
  <si>
    <t>Empresas que cubrieron parte de los puestos buscados</t>
  </si>
  <si>
    <t>Empresas que no cubrieron ninguno de los puestos buscados</t>
  </si>
  <si>
    <t>Tasa de búsqueda según calificación</t>
  </si>
  <si>
    <t/>
  </si>
  <si>
    <t>Profesionales</t>
  </si>
  <si>
    <t>Técnicos</t>
  </si>
  <si>
    <t>Operativos</t>
  </si>
  <si>
    <t>No calificados</t>
  </si>
  <si>
    <t>Composición puestos no cubiertos según sexo</t>
  </si>
  <si>
    <t>Mujeres</t>
  </si>
  <si>
    <t>Varones</t>
  </si>
  <si>
    <t>Indistinto</t>
  </si>
  <si>
    <t>Composición puestos no cubiertos según calificación</t>
  </si>
  <si>
    <r>
      <t xml:space="preserve">Tasa de no cobertura por calificación </t>
    </r>
    <r>
      <rPr>
        <b/>
        <vertAlign val="superscript"/>
        <sz val="10"/>
        <rFont val="Arial"/>
        <family val="2"/>
      </rPr>
      <t>4</t>
    </r>
  </si>
  <si>
    <t>1. La informacion referida a demanda laboral y puestos no cubiertos se encuentra disponible a partir de Octubre de 2006.</t>
  </si>
  <si>
    <t>2. La serie Total Aglomerados Relevados se presenta desde agosto de 2001. La misma incluye los resultados generales de Gran Buenos Aires, Gran Córdoba, Gran Rosario y Gran Mendoza. Desde noviembre de 2004 se suman los resultados de Gran Tucumán, en noviembre de 2005 los de Gran Paraná, en septiembre de 2008 los correspondientes a Gran Resistencia y en noviembre de 2008 los de Gran Santa Fe.</t>
  </si>
  <si>
    <t>3. Se calcula como porcentaje del total de empresas que efectivamente realizaron búsquedas activas de personal durante el mes de referencia.</t>
  </si>
  <si>
    <t>4. Relación porcentual entre los puestos no cubiertos y el total de búsquedas realizadas, por calificación requerida.</t>
  </si>
  <si>
    <t>Evolución de empleo por aglomerado</t>
  </si>
  <si>
    <t>Aglomerado</t>
  </si>
  <si>
    <t>GRAN BUENOS AIRES</t>
  </si>
  <si>
    <t>GRAN CÓRDOBA</t>
  </si>
  <si>
    <t>GRAN ROSARIO</t>
  </si>
  <si>
    <t>GRAN MENDOZA</t>
  </si>
  <si>
    <t>GRAN TUCUMÁN</t>
  </si>
  <si>
    <r>
      <t>GRAN SANTA FE</t>
    </r>
    <r>
      <rPr>
        <b/>
        <vertAlign val="superscript"/>
        <sz val="10"/>
        <rFont val="Arial"/>
        <family val="2"/>
      </rPr>
      <t>1/</t>
    </r>
  </si>
  <si>
    <r>
      <t>GRAN RESISTENCIA</t>
    </r>
    <r>
      <rPr>
        <b/>
        <vertAlign val="superscript"/>
        <sz val="10"/>
        <rFont val="Arial"/>
        <family val="2"/>
      </rPr>
      <t>1/ 2/</t>
    </r>
  </si>
  <si>
    <r>
      <t>GRAN PARANA</t>
    </r>
    <r>
      <rPr>
        <b/>
        <vertAlign val="superscript"/>
        <sz val="10"/>
        <rFont val="Arial"/>
        <family val="2"/>
      </rPr>
      <t>1/</t>
    </r>
  </si>
  <si>
    <r>
      <t>GRAN JUJUY</t>
    </r>
    <r>
      <rPr>
        <b/>
        <vertAlign val="superscript"/>
        <sz val="10"/>
        <rFont val="Arial"/>
        <family val="2"/>
      </rPr>
      <t>1/</t>
    </r>
  </si>
  <si>
    <r>
      <t>GRAN BAHIA BLANCA</t>
    </r>
    <r>
      <rPr>
        <b/>
        <vertAlign val="superscript"/>
        <sz val="10"/>
        <rFont val="Arial"/>
        <family val="2"/>
      </rPr>
      <t>1/</t>
    </r>
  </si>
  <si>
    <r>
      <t>GRAN LA PLATA</t>
    </r>
    <r>
      <rPr>
        <b/>
        <vertAlign val="superscript"/>
        <sz val="10"/>
        <rFont val="Arial"/>
        <family val="2"/>
      </rPr>
      <t>1/</t>
    </r>
  </si>
  <si>
    <r>
      <t>GRAN MAR DEL PLATA</t>
    </r>
    <r>
      <rPr>
        <b/>
        <vertAlign val="superscript"/>
        <sz val="10"/>
        <rFont val="Arial"/>
        <family val="2"/>
      </rPr>
      <t>1/</t>
    </r>
  </si>
  <si>
    <t>Índice base oct. 04=100</t>
  </si>
  <si>
    <t>Índice base oct. 08=100</t>
  </si>
  <si>
    <t>Índice base ago. 08=100</t>
  </si>
  <si>
    <t>Índice base oct. 05=100</t>
  </si>
  <si>
    <t>Índice base feb. 15=100</t>
  </si>
  <si>
    <t>Índice base abr. 15=100</t>
  </si>
  <si>
    <t>Índice base ago. 16=100</t>
  </si>
  <si>
    <t>Notas</t>
  </si>
  <si>
    <t>1. Para el cálculo de estos aglomerados se consideran las empresas de 10 y más trabajadores.</t>
  </si>
  <si>
    <t>2. En marzo de 2024 se discontinuó el relevamiento</t>
  </si>
  <si>
    <t>Sección. Encuesta de Indicadores Laborales</t>
  </si>
  <si>
    <t>1 Principales indicadores laborales</t>
  </si>
  <si>
    <t>2 Indicadores Laborales por sector, rama de actividad y tamaño de las empresas</t>
  </si>
  <si>
    <t>3 Movimientos de personal (en porcentaje)</t>
  </si>
  <si>
    <t>4 Demanda laboral  y cobertura de puestos (en porcentaje)</t>
  </si>
  <si>
    <t>5 Evolución de empleo por aglomerado</t>
  </si>
  <si>
    <t>IV-25</t>
  </si>
  <si>
    <t>I-26</t>
  </si>
  <si>
    <t>II-26</t>
  </si>
</sst>
</file>

<file path=xl/styles.xml><?xml version="1.0" encoding="utf-8"?>
<styleSheet xmlns="http://schemas.openxmlformats.org/spreadsheetml/2006/main">
  <numFmts count="24">
    <numFmt numFmtId="42" formatCode="_-&quot;$&quot;\ * #,##0_-;\-&quot;$&quot;\ * #,##0_-;_-&quot;$&quot;\ * &quot;-&quot;_-;_-@_-"/>
    <numFmt numFmtId="44" formatCode="_-&quot;$&quot;\ * #,##0.00_-;\-&quot;$&quot;\ * #,##0.00_-;_-&quot;$&quot;\ * &quot;-&quot;??_-;_-@_-"/>
    <numFmt numFmtId="43" formatCode="_-* #,##0.00_-;\-* #,##0.00_-;_-* &quot;-&quot;??_-;_-@_-"/>
    <numFmt numFmtId="164" formatCode="_-* #,##0.00\ &quot;€&quot;_-;\-* #,##0.00\ &quot;€&quot;_-;_-* &quot;-&quot;??\ &quot;€&quot;_-;_-@_-"/>
    <numFmt numFmtId="165" formatCode="_ * #,##0.00_ ;_ * \-#,##0.00_ ;_ * &quot;-&quot;??_ ;_ @_ "/>
    <numFmt numFmtId="166" formatCode="0.0"/>
    <numFmt numFmtId="167" formatCode="_(* #,##0.00_);_(* \(#,##0.00\);_(* &quot;-&quot;??_);_(@_)"/>
    <numFmt numFmtId="168" formatCode="0.0%"/>
    <numFmt numFmtId="169" formatCode="0.000"/>
    <numFmt numFmtId="170" formatCode="\$#,#00"/>
    <numFmt numFmtId="171" formatCode="_ [$€-2]\ * #,##0.00_ ;_ [$€-2]\ * \-#,##0.00_ ;_ [$€-2]\ * &quot;-&quot;??_ "/>
    <numFmt numFmtId="172" formatCode="#,#00"/>
    <numFmt numFmtId="173" formatCode="0.00000000000000%"/>
    <numFmt numFmtId="174" formatCode="&quot;$&quot;\ #,##0.00_);[Red]\(&quot;$&quot;\ #,##0.00\)"/>
    <numFmt numFmtId="175" formatCode="_(&quot;$&quot;* #,##0_);_(&quot;$&quot;* \(#,##0\);_(&quot;$&quot;* &quot;-&quot;_);_(@_)"/>
    <numFmt numFmtId="176" formatCode="_(&quot;$&quot;* #,##0.00_);_(&quot;$&quot;* \(#,##0.00\);_(&quot;$&quot;* &quot;-&quot;??_);_(@_)"/>
    <numFmt numFmtId="177" formatCode="\$#,"/>
    <numFmt numFmtId="178" formatCode="#.##000"/>
    <numFmt numFmtId="179" formatCode="#.##0,"/>
    <numFmt numFmtId="180" formatCode="#,##0.0"/>
    <numFmt numFmtId="181" formatCode="0.000000%"/>
    <numFmt numFmtId="182" formatCode="_(* #,##0.0_);_(* \(#,##0.0\);_(* &quot;-&quot;??_);_(@_)"/>
    <numFmt numFmtId="183" formatCode="0.0000%"/>
    <numFmt numFmtId="184" formatCode="0.0000000000000000%"/>
  </numFmts>
  <fonts count="49">
    <font>
      <sz val="11"/>
      <color theme="1"/>
      <name val="Calibri"/>
      <family val="2"/>
      <scheme val="minor"/>
    </font>
    <font>
      <sz val="10"/>
      <name val="ARIAL"/>
      <family val="2"/>
    </font>
    <font>
      <u/>
      <sz val="10"/>
      <color indexed="12"/>
      <name val="Arial"/>
      <family val="2"/>
    </font>
    <font>
      <sz val="9"/>
      <name val="Arial"/>
      <family val="2"/>
    </font>
    <font>
      <b/>
      <sz val="9"/>
      <name val="Arial"/>
      <family val="2"/>
    </font>
    <font>
      <b/>
      <sz val="1"/>
      <color indexed="8"/>
      <name val="Courier"/>
      <family val="3"/>
    </font>
    <font>
      <sz val="1"/>
      <color indexed="8"/>
      <name val="Courier"/>
      <family val="3"/>
    </font>
    <font>
      <b/>
      <sz val="10"/>
      <name val="Times New Roman"/>
      <family val="1"/>
    </font>
    <font>
      <sz val="11"/>
      <color indexed="8"/>
      <name val="Calibri"/>
      <family val="2"/>
    </font>
    <font>
      <sz val="10"/>
      <name val="Times New Roman"/>
      <family val="1"/>
    </font>
    <font>
      <sz val="10"/>
      <name val="Verdana"/>
      <family val="2"/>
    </font>
    <font>
      <b/>
      <sz val="10"/>
      <color theme="3" tint="0.39997558519241921"/>
      <name val="Arial"/>
      <family val="2"/>
    </font>
    <font>
      <b/>
      <sz val="11"/>
      <name val="Arial"/>
      <family val="2"/>
    </font>
    <font>
      <sz val="11"/>
      <name val="Arial"/>
      <family val="2"/>
    </font>
    <font>
      <b/>
      <vertAlign val="superscript"/>
      <sz val="11"/>
      <name val="Arial"/>
      <family val="2"/>
    </font>
    <font>
      <sz val="9"/>
      <color indexed="9"/>
      <name val="Arial"/>
      <family val="2"/>
    </font>
    <font>
      <b/>
      <sz val="12"/>
      <color theme="0"/>
      <name val="Arial"/>
      <family val="2"/>
    </font>
    <font>
      <sz val="11"/>
      <color theme="0"/>
      <name val="Arial"/>
      <family val="2"/>
    </font>
    <font>
      <vertAlign val="superscript"/>
      <sz val="11"/>
      <color theme="0"/>
      <name val="Arial"/>
      <family val="2"/>
    </font>
    <font>
      <sz val="11"/>
      <color theme="1"/>
      <name val="Calibri"/>
      <family val="2"/>
      <scheme val="minor"/>
    </font>
    <font>
      <sz val="10"/>
      <name val="Arial"/>
      <family val="2"/>
    </font>
    <font>
      <sz val="9"/>
      <color theme="4" tint="-0.499984740745262"/>
      <name val="Arial"/>
      <family val="2"/>
    </font>
    <font>
      <b/>
      <sz val="20"/>
      <color theme="0"/>
      <name val="Calibri"/>
      <family val="2"/>
      <scheme val="minor"/>
    </font>
    <font>
      <b/>
      <sz val="14"/>
      <color theme="4" tint="-0.249977111117893"/>
      <name val="Calibri"/>
      <family val="2"/>
      <scheme val="minor"/>
    </font>
    <font>
      <b/>
      <u/>
      <sz val="14"/>
      <color theme="4" tint="-0.249977111117893"/>
      <name val="Calibri"/>
      <family val="2"/>
      <scheme val="minor"/>
    </font>
    <font>
      <sz val="10"/>
      <color theme="4" tint="-0.499984740745262"/>
      <name val="Arial"/>
      <family val="2"/>
    </font>
    <font>
      <sz val="14"/>
      <color theme="1"/>
      <name val="Calibri"/>
      <family val="2"/>
      <scheme val="minor"/>
    </font>
    <font>
      <b/>
      <sz val="12"/>
      <color theme="4" tint="-0.249977111117893"/>
      <name val="Calibri"/>
      <family val="2"/>
      <scheme val="minor"/>
    </font>
    <font>
      <b/>
      <sz val="10"/>
      <color theme="3" tint="0.39994506668294322"/>
      <name val="Arial"/>
      <family val="2"/>
    </font>
    <font>
      <b/>
      <sz val="10"/>
      <name val="Arial"/>
      <family val="2"/>
    </font>
    <font>
      <b/>
      <sz val="10"/>
      <color theme="0"/>
      <name val="Arial"/>
      <family val="2"/>
    </font>
    <font>
      <b/>
      <vertAlign val="superscript"/>
      <sz val="9"/>
      <color theme="4" tint="-0.499984740745262"/>
      <name val="Arial"/>
      <family val="2"/>
    </font>
    <font>
      <vertAlign val="superscript"/>
      <sz val="9"/>
      <color theme="4" tint="-0.499984740745262"/>
      <name val="Arial"/>
      <family val="2"/>
    </font>
    <font>
      <b/>
      <sz val="9"/>
      <color theme="4" tint="-0.499984740745262"/>
      <name val="Arial"/>
      <family val="2"/>
    </font>
    <font>
      <sz val="8"/>
      <name val="ARIAL"/>
      <family val="2"/>
    </font>
    <font>
      <b/>
      <sz val="8"/>
      <color theme="4" tint="-0.499984740745262"/>
      <name val="ARIAL"/>
      <family val="2"/>
    </font>
    <font>
      <sz val="8"/>
      <color theme="4" tint="-0.499984740745262"/>
      <name val="ARIAL"/>
      <family val="2"/>
    </font>
    <font>
      <sz val="10"/>
      <color theme="0"/>
      <name val="Arial"/>
      <family val="2"/>
    </font>
    <font>
      <b/>
      <vertAlign val="superscript"/>
      <sz val="12"/>
      <color theme="0"/>
      <name val="Arial"/>
      <family val="2"/>
    </font>
    <font>
      <b/>
      <sz val="8"/>
      <color theme="0"/>
      <name val="Arial"/>
      <family val="2"/>
    </font>
    <font>
      <vertAlign val="superscript"/>
      <sz val="10"/>
      <color theme="0"/>
      <name val="Arial"/>
      <family val="2"/>
    </font>
    <font>
      <sz val="9"/>
      <color theme="0"/>
      <name val="Arial"/>
      <family val="2"/>
    </font>
    <font>
      <b/>
      <vertAlign val="superscript"/>
      <sz val="10"/>
      <name val="Arial"/>
      <family val="2"/>
    </font>
    <font>
      <b/>
      <sz val="11"/>
      <color theme="3" tint="0.39997558519241921"/>
      <name val="Arial"/>
      <family val="2"/>
    </font>
    <font>
      <b/>
      <sz val="14"/>
      <color theme="0"/>
      <name val="Arial"/>
      <family val="2"/>
    </font>
    <font>
      <b/>
      <sz val="14"/>
      <name val="Arial"/>
      <family val="2"/>
    </font>
    <font>
      <b/>
      <sz val="9"/>
      <color theme="0"/>
      <name val="Arial"/>
      <family val="2"/>
    </font>
    <font>
      <u/>
      <sz val="11"/>
      <color theme="10"/>
      <name val="Calibri"/>
      <family val="2"/>
      <scheme val="minor"/>
    </font>
    <font>
      <u/>
      <sz val="10"/>
      <color theme="10"/>
      <name val="Arial"/>
      <family val="2"/>
    </font>
  </fonts>
  <fills count="8">
    <fill>
      <patternFill patternType="none"/>
    </fill>
    <fill>
      <patternFill patternType="gray125"/>
    </fill>
    <fill>
      <patternFill patternType="solid">
        <fgColor theme="3" tint="0.39997558519241921"/>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3" tint="0.39994506668294322"/>
        <bgColor indexed="64"/>
      </patternFill>
    </fill>
  </fills>
  <borders count="15">
    <border>
      <left/>
      <right/>
      <top/>
      <bottom/>
      <diagonal/>
    </border>
    <border>
      <left/>
      <right/>
      <top style="double">
        <color indexed="64"/>
      </top>
      <bottom/>
      <diagonal/>
    </border>
    <border>
      <left/>
      <right/>
      <top/>
      <bottom style="medium">
        <color indexed="64"/>
      </bottom>
      <diagonal/>
    </border>
    <border>
      <left/>
      <right/>
      <top style="medium">
        <color indexed="64"/>
      </top>
      <bottom style="thin">
        <color indexed="6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s>
  <cellStyleXfs count="10687">
    <xf numFmtId="0" fontId="0" fillId="0" borderId="0"/>
    <xf numFmtId="167" fontId="1" fillId="0" borderId="0" applyFont="0" applyFill="0" applyBorder="0" applyAlignment="0" applyProtection="0"/>
    <xf numFmtId="9" fontId="1" fillId="0" borderId="0" applyFont="0" applyFill="0" applyBorder="0" applyAlignment="0" applyProtection="0"/>
    <xf numFmtId="0" fontId="1" fillId="0" borderId="0"/>
    <xf numFmtId="9" fontId="2"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0" fontId="5" fillId="0" borderId="0">
      <protection locked="0"/>
    </xf>
    <xf numFmtId="0" fontId="5" fillId="0" borderId="0">
      <protection locked="0"/>
    </xf>
    <xf numFmtId="171" fontId="1"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6" fillId="0" borderId="0">
      <protection locked="0"/>
    </xf>
    <xf numFmtId="172" fontId="6" fillId="0" borderId="0">
      <protection locked="0"/>
    </xf>
    <xf numFmtId="0" fontId="7" fillId="0" borderId="0" applyNumberFormat="0" applyFill="0" applyBorder="0" applyAlignment="0" applyProtection="0">
      <alignment vertical="top"/>
      <protection locked="0"/>
    </xf>
    <xf numFmtId="167"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7" fontId="8"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1"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1"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1"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1"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65" fontId="1"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5" fontId="1"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5" fontId="1"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65" fontId="1"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65" fontId="1"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67" fontId="1"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6"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64" fontId="1" fillId="0" borderId="0" applyFont="0" applyFill="0" applyBorder="0" applyAlignment="0" applyProtection="0"/>
    <xf numFmtId="170" fontId="6" fillId="0" borderId="0">
      <protection locked="0"/>
    </xf>
    <xf numFmtId="177" fontId="6" fillId="0" borderId="0">
      <protection locked="0"/>
    </xf>
    <xf numFmtId="0" fontId="8"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8" fontId="6" fillId="0" borderId="0">
      <protection locked="0"/>
    </xf>
    <xf numFmtId="179" fontId="6" fillId="0" borderId="0">
      <protection locked="0"/>
    </xf>
    <xf numFmtId="0" fontId="9" fillId="0" borderId="1">
      <protection locked="0"/>
    </xf>
    <xf numFmtId="0" fontId="10" fillId="0" borderId="0"/>
    <xf numFmtId="0" fontId="10" fillId="0" borderId="0"/>
    <xf numFmtId="0" fontId="1" fillId="0" borderId="0"/>
    <xf numFmtId="0" fontId="20" fillId="0" borderId="0"/>
    <xf numFmtId="43" fontId="1"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0" fontId="6" fillId="0" borderId="1">
      <protection locked="0"/>
    </xf>
    <xf numFmtId="0" fontId="19" fillId="0" borderId="0"/>
    <xf numFmtId="0" fontId="19" fillId="0" borderId="0"/>
    <xf numFmtId="0" fontId="19" fillId="0" borderId="0"/>
    <xf numFmtId="0" fontId="1"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43" fontId="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0" fontId="19" fillId="0" borderId="0"/>
    <xf numFmtId="9" fontId="1" fillId="0" borderId="0" applyFont="0" applyFill="0" applyBorder="0" applyAlignment="0" applyProtection="0"/>
    <xf numFmtId="9" fontId="19" fillId="0" borderId="0" applyFont="0" applyFill="0" applyBorder="0" applyAlignment="0" applyProtection="0"/>
    <xf numFmtId="0" fontId="6" fillId="0" borderId="1">
      <protection locked="0"/>
    </xf>
    <xf numFmtId="171" fontId="1" fillId="0" borderId="0" applyFont="0" applyFill="0" applyBorder="0" applyAlignment="0" applyProtection="0"/>
    <xf numFmtId="171" fontId="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0" fontId="1" fillId="0" borderId="0"/>
    <xf numFmtId="0" fontId="19" fillId="0" borderId="0"/>
    <xf numFmtId="9" fontId="19" fillId="0" borderId="0" applyFont="0" applyFill="0" applyBorder="0" applyAlignment="0" applyProtection="0"/>
    <xf numFmtId="0" fontId="6" fillId="0" borderId="1">
      <protection locked="0"/>
    </xf>
    <xf numFmtId="0" fontId="19"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9" fillId="0" borderId="0"/>
    <xf numFmtId="0" fontId="1" fillId="0" borderId="0"/>
    <xf numFmtId="0" fontId="19" fillId="0" borderId="0"/>
    <xf numFmtId="0" fontId="1" fillId="0" borderId="0"/>
    <xf numFmtId="0" fontId="19" fillId="0" borderId="0"/>
    <xf numFmtId="171" fontId="1" fillId="0" borderId="0" applyFont="0" applyFill="0" applyBorder="0" applyAlignment="0" applyProtection="0"/>
    <xf numFmtId="0" fontId="19" fillId="0" borderId="0"/>
    <xf numFmtId="0" fontId="1" fillId="0" borderId="0"/>
    <xf numFmtId="0" fontId="19" fillId="0" borderId="0"/>
    <xf numFmtId="0" fontId="1"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0" fontId="1" fillId="0" borderId="0"/>
    <xf numFmtId="0" fontId="19" fillId="0" borderId="0"/>
    <xf numFmtId="9" fontId="19" fillId="0" borderId="0" applyFont="0" applyFill="0" applyBorder="0" applyAlignment="0" applyProtection="0"/>
    <xf numFmtId="0" fontId="19"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9" fillId="0" borderId="0"/>
    <xf numFmtId="0" fontId="1" fillId="0" borderId="0"/>
    <xf numFmtId="0" fontId="19" fillId="0" borderId="0"/>
    <xf numFmtId="0" fontId="1" fillId="0" borderId="0"/>
    <xf numFmtId="0" fontId="19" fillId="0" borderId="0"/>
    <xf numFmtId="171" fontId="1" fillId="0" borderId="0" applyFont="0" applyFill="0" applyBorder="0" applyAlignment="0" applyProtection="0"/>
    <xf numFmtId="0" fontId="19" fillId="0" borderId="0"/>
    <xf numFmtId="0" fontId="1" fillId="0" borderId="0"/>
    <xf numFmtId="0" fontId="19" fillId="0" borderId="0"/>
    <xf numFmtId="0" fontId="1"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9" fontId="19" fillId="0" borderId="0" applyFont="0" applyFill="0" applyBorder="0" applyAlignment="0" applyProtection="0"/>
    <xf numFmtId="0" fontId="1"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0" fontId="19" fillId="0" borderId="0"/>
    <xf numFmtId="9" fontId="1" fillId="0" borderId="0" applyFont="0" applyFill="0" applyBorder="0" applyAlignment="0" applyProtection="0"/>
    <xf numFmtId="9" fontId="19" fillId="0" borderId="0" applyFont="0" applyFill="0" applyBorder="0" applyAlignment="0" applyProtection="0"/>
    <xf numFmtId="0" fontId="6" fillId="0" borderId="1">
      <protection locked="0"/>
    </xf>
    <xf numFmtId="0" fontId="1" fillId="0" borderId="0"/>
    <xf numFmtId="171" fontId="1" fillId="0" borderId="0" applyFont="0" applyFill="0" applyBorder="0" applyAlignment="0" applyProtection="0"/>
    <xf numFmtId="171" fontId="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0" fontId="1" fillId="0" borderId="0"/>
    <xf numFmtId="0" fontId="19" fillId="0" borderId="0"/>
    <xf numFmtId="9" fontId="19" fillId="0" borderId="0" applyFont="0" applyFill="0" applyBorder="0" applyAlignment="0" applyProtection="0"/>
    <xf numFmtId="0" fontId="19"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9" fillId="0" borderId="0"/>
    <xf numFmtId="0" fontId="1" fillId="0" borderId="0"/>
    <xf numFmtId="0" fontId="19" fillId="0" borderId="0"/>
    <xf numFmtId="0" fontId="1" fillId="0" borderId="0"/>
    <xf numFmtId="0" fontId="19" fillId="0" borderId="0"/>
    <xf numFmtId="171" fontId="1" fillId="0" borderId="0" applyFont="0" applyFill="0" applyBorder="0" applyAlignment="0" applyProtection="0"/>
    <xf numFmtId="0" fontId="19" fillId="0" borderId="0"/>
    <xf numFmtId="0" fontId="1" fillId="0" borderId="0"/>
    <xf numFmtId="0" fontId="19" fillId="0" borderId="0"/>
    <xf numFmtId="0" fontId="1"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9" fillId="0" borderId="0"/>
    <xf numFmtId="0" fontId="1" fillId="0" borderId="0"/>
    <xf numFmtId="43" fontId="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0" fontId="19" fillId="0" borderId="0"/>
    <xf numFmtId="9" fontId="1" fillId="0" borderId="0" applyFont="0" applyFill="0" applyBorder="0" applyAlignment="0" applyProtection="0"/>
    <xf numFmtId="9" fontId="19" fillId="0" borderId="0" applyFont="0" applyFill="0" applyBorder="0" applyAlignment="0" applyProtection="0"/>
    <xf numFmtId="0" fontId="6" fillId="0" borderId="1">
      <protection locked="0"/>
    </xf>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43" fontId="1" fillId="0" borderId="0" applyFont="0" applyFill="0" applyBorder="0" applyAlignment="0" applyProtection="0"/>
    <xf numFmtId="0" fontId="19" fillId="0" borderId="0"/>
    <xf numFmtId="9" fontId="19" fillId="0" borderId="0" applyFont="0" applyFill="0" applyBorder="0" applyAlignment="0" applyProtection="0"/>
    <xf numFmtId="0" fontId="1" fillId="0" borderId="0"/>
    <xf numFmtId="43" fontId="1" fillId="0" borderId="0" applyFont="0" applyFill="0" applyBorder="0" applyAlignment="0" applyProtection="0"/>
    <xf numFmtId="43" fontId="19" fillId="0" borderId="0" applyFont="0" applyFill="0" applyBorder="0" applyAlignment="0" applyProtection="0"/>
    <xf numFmtId="0" fontId="19" fillId="0" borderId="0"/>
    <xf numFmtId="9" fontId="1" fillId="0" borderId="0" applyFont="0" applyFill="0" applyBorder="0" applyAlignment="0" applyProtection="0"/>
    <xf numFmtId="9" fontId="19"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9"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9"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9" fillId="0" borderId="0"/>
    <xf numFmtId="9" fontId="19" fillId="0" borderId="0" applyFont="0" applyFill="0" applyBorder="0" applyAlignment="0" applyProtection="0"/>
    <xf numFmtId="0" fontId="1" fillId="0" borderId="0"/>
    <xf numFmtId="43" fontId="1"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 fillId="0" borderId="0" applyFont="0" applyFill="0" applyBorder="0" applyAlignment="0" applyProtection="0"/>
    <xf numFmtId="43" fontId="1" fillId="0" borderId="0" applyFont="0" applyFill="0" applyBorder="0" applyAlignment="0" applyProtection="0"/>
    <xf numFmtId="0" fontId="19" fillId="0" borderId="0"/>
    <xf numFmtId="9" fontId="19" fillId="0" borderId="0" applyFont="0" applyFill="0" applyBorder="0" applyAlignment="0" applyProtection="0"/>
    <xf numFmtId="0" fontId="1"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9" fontId="1" fillId="0" borderId="0" applyFont="0" applyFill="0" applyBorder="0" applyAlignment="0" applyProtection="0"/>
    <xf numFmtId="165" fontId="1" fillId="0" borderId="0" applyFont="0" applyFill="0" applyBorder="0" applyAlignment="0" applyProtection="0"/>
    <xf numFmtId="0" fontId="19" fillId="0" borderId="0"/>
    <xf numFmtId="165" fontId="1"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9" fillId="0" borderId="0" applyFont="0" applyFill="0" applyBorder="0" applyAlignment="0" applyProtection="0"/>
    <xf numFmtId="9" fontId="8" fillId="0" borderId="0" applyFont="0" applyFill="0" applyBorder="0" applyAlignment="0" applyProtection="0"/>
    <xf numFmtId="9" fontId="1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19" fillId="0" borderId="0"/>
    <xf numFmtId="0" fontId="1" fillId="0" borderId="0"/>
    <xf numFmtId="0" fontId="19" fillId="0" borderId="0"/>
    <xf numFmtId="165" fontId="1" fillId="0" borderId="0" applyFont="0" applyFill="0" applyBorder="0" applyAlignment="0" applyProtection="0"/>
    <xf numFmtId="165" fontId="1"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6" fillId="0" borderId="1">
      <protection locked="0"/>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9" fontId="19" fillId="0" borderId="0" applyFont="0" applyFill="0" applyBorder="0" applyAlignment="0" applyProtection="0"/>
    <xf numFmtId="0" fontId="1"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9" fontId="19" fillId="0" borderId="0" applyFont="0" applyFill="0" applyBorder="0" applyAlignment="0" applyProtection="0"/>
    <xf numFmtId="0" fontId="1"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9" fontId="19" fillId="0" borderId="0" applyFont="0" applyFill="0" applyBorder="0" applyAlignment="0" applyProtection="0"/>
    <xf numFmtId="0" fontId="1"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7" fillId="0" borderId="0" applyNumberFormat="0" applyFill="0" applyBorder="0" applyAlignment="0" applyProtection="0"/>
  </cellStyleXfs>
  <cellXfs count="263">
    <xf numFmtId="0" fontId="0" fillId="0" borderId="0" xfId="0"/>
    <xf numFmtId="166" fontId="3" fillId="3" borderId="0" xfId="3" applyNumberFormat="1" applyFont="1" applyFill="1" applyBorder="1" applyAlignment="1">
      <alignment horizontal="center" vertical="center"/>
    </xf>
    <xf numFmtId="0" fontId="3" fillId="3" borderId="0" xfId="3" applyFont="1" applyFill="1" applyAlignment="1">
      <alignment horizontal="center" vertical="center" wrapText="1"/>
    </xf>
    <xf numFmtId="168" fontId="1" fillId="3" borderId="0" xfId="2" applyNumberFormat="1" applyFont="1" applyFill="1" applyBorder="1" applyAlignment="1">
      <alignment horizontal="center" vertical="center"/>
    </xf>
    <xf numFmtId="17" fontId="4" fillId="3" borderId="0" xfId="0" applyNumberFormat="1" applyFont="1" applyFill="1" applyBorder="1" applyAlignment="1">
      <alignment horizontal="center" vertical="center"/>
    </xf>
    <xf numFmtId="0" fontId="3" fillId="4" borderId="0" xfId="3" applyFont="1" applyFill="1" applyAlignment="1">
      <alignment horizontal="left" vertical="center"/>
    </xf>
    <xf numFmtId="0" fontId="3" fillId="0" borderId="0" xfId="3" applyFont="1" applyFill="1" applyAlignment="1">
      <alignment horizontal="left" vertical="center"/>
    </xf>
    <xf numFmtId="0" fontId="1" fillId="3" borderId="0" xfId="3" applyFont="1" applyFill="1" applyBorder="1" applyAlignment="1">
      <alignment horizontal="center" vertical="center"/>
    </xf>
    <xf numFmtId="168" fontId="3" fillId="3" borderId="0" xfId="2" applyNumberFormat="1" applyFont="1" applyFill="1" applyBorder="1" applyAlignment="1">
      <alignment horizontal="center" vertical="center"/>
    </xf>
    <xf numFmtId="169" fontId="3" fillId="3" borderId="0" xfId="3" applyNumberFormat="1" applyFont="1" applyFill="1" applyAlignment="1">
      <alignment horizontal="center" vertical="center"/>
    </xf>
    <xf numFmtId="0" fontId="3" fillId="3" borderId="0" xfId="3" applyFont="1" applyFill="1" applyAlignment="1">
      <alignment horizontal="center" vertical="center"/>
    </xf>
    <xf numFmtId="169" fontId="3" fillId="3" borderId="0" xfId="3" applyNumberFormat="1" applyFont="1" applyFill="1" applyBorder="1" applyAlignment="1">
      <alignment horizontal="center" vertical="center"/>
    </xf>
    <xf numFmtId="0" fontId="3" fillId="3" borderId="0" xfId="3" applyFont="1" applyFill="1" applyBorder="1" applyAlignment="1">
      <alignment horizontal="center" vertical="center"/>
    </xf>
    <xf numFmtId="166" fontId="3" fillId="4" borderId="0" xfId="4" applyNumberFormat="1" applyFont="1" applyFill="1" applyBorder="1" applyAlignment="1">
      <alignment horizontal="center" vertical="center"/>
    </xf>
    <xf numFmtId="168" fontId="3" fillId="4" borderId="0" xfId="5" applyNumberFormat="1" applyFont="1" applyFill="1" applyBorder="1" applyAlignment="1">
      <alignment horizontal="center" vertical="center"/>
    </xf>
    <xf numFmtId="166" fontId="3" fillId="4" borderId="0" xfId="5" applyNumberFormat="1" applyFont="1" applyFill="1" applyBorder="1" applyAlignment="1">
      <alignment horizontal="center" vertical="center"/>
    </xf>
    <xf numFmtId="166" fontId="4" fillId="3" borderId="0" xfId="3" applyNumberFormat="1" applyFont="1" applyFill="1" applyBorder="1" applyAlignment="1">
      <alignment horizontal="center" vertical="center"/>
    </xf>
    <xf numFmtId="166" fontId="3" fillId="3" borderId="0" xfId="1" applyNumberFormat="1" applyFont="1" applyFill="1" applyBorder="1" applyAlignment="1">
      <alignment horizontal="center" vertical="center"/>
    </xf>
    <xf numFmtId="165" fontId="3" fillId="3" borderId="0" xfId="6" applyNumberFormat="1" applyFont="1" applyFill="1" applyBorder="1" applyAlignment="1">
      <alignment horizontal="center" vertical="center"/>
    </xf>
    <xf numFmtId="17" fontId="1" fillId="3" borderId="0" xfId="3" applyNumberFormat="1" applyFont="1" applyFill="1" applyBorder="1" applyAlignment="1">
      <alignment horizontal="center" vertical="center"/>
    </xf>
    <xf numFmtId="166" fontId="1" fillId="3" borderId="0" xfId="3" applyNumberFormat="1" applyFont="1" applyFill="1" applyBorder="1" applyAlignment="1">
      <alignment horizontal="center" vertical="center"/>
    </xf>
    <xf numFmtId="166" fontId="1" fillId="4" borderId="0" xfId="1" applyNumberFormat="1" applyFont="1" applyFill="1" applyBorder="1" applyAlignment="1">
      <alignment horizontal="center" vertical="center"/>
    </xf>
    <xf numFmtId="17" fontId="1" fillId="3" borderId="0" xfId="2" applyNumberFormat="1" applyFont="1" applyFill="1" applyBorder="1" applyAlignment="1">
      <alignment horizontal="center" vertical="center"/>
    </xf>
    <xf numFmtId="0" fontId="12" fillId="5" borderId="0" xfId="3" applyFont="1" applyFill="1" applyBorder="1" applyAlignment="1">
      <alignment horizontal="center" vertical="center" wrapText="1"/>
    </xf>
    <xf numFmtId="0" fontId="12" fillId="5" borderId="5" xfId="3" applyFont="1" applyFill="1" applyBorder="1" applyAlignment="1">
      <alignment horizontal="center" vertical="center" wrapText="1"/>
    </xf>
    <xf numFmtId="0" fontId="13" fillId="5" borderId="5" xfId="3" applyFont="1" applyFill="1" applyBorder="1" applyAlignment="1">
      <alignment horizontal="center" vertical="center" wrapText="1"/>
    </xf>
    <xf numFmtId="166" fontId="1" fillId="3" borderId="0" xfId="3" applyNumberFormat="1" applyFont="1" applyFill="1" applyAlignment="1">
      <alignment horizontal="center" vertical="center"/>
    </xf>
    <xf numFmtId="166" fontId="1" fillId="3" borderId="0" xfId="2" applyNumberFormat="1" applyFont="1" applyFill="1" applyBorder="1" applyAlignment="1">
      <alignment horizontal="center" vertical="center"/>
    </xf>
    <xf numFmtId="168" fontId="3" fillId="3" borderId="0" xfId="3" applyNumberFormat="1" applyFont="1" applyFill="1" applyAlignment="1">
      <alignment horizontal="center" vertical="center"/>
    </xf>
    <xf numFmtId="0" fontId="0" fillId="6" borderId="0" xfId="0" applyFill="1"/>
    <xf numFmtId="0" fontId="23" fillId="4" borderId="0" xfId="0" applyFont="1" applyFill="1" applyAlignment="1">
      <alignment horizontal="left"/>
    </xf>
    <xf numFmtId="0" fontId="2" fillId="0" borderId="0" xfId="4093" applyAlignment="1" applyProtection="1">
      <alignment horizontal="left"/>
    </xf>
    <xf numFmtId="0" fontId="26" fillId="0" borderId="0" xfId="0" applyFont="1"/>
    <xf numFmtId="0" fontId="1" fillId="3" borderId="0" xfId="3" applyFont="1" applyFill="1" applyBorder="1" applyAlignment="1">
      <alignment horizontal="left" vertical="center"/>
    </xf>
    <xf numFmtId="0" fontId="1" fillId="2" borderId="0" xfId="3" applyFont="1" applyFill="1" applyBorder="1" applyAlignment="1">
      <alignment horizontal="center" vertical="center"/>
    </xf>
    <xf numFmtId="17" fontId="29" fillId="5" borderId="5" xfId="3" applyNumberFormat="1" applyFont="1" applyFill="1" applyBorder="1" applyAlignment="1">
      <alignment horizontal="center" vertical="center"/>
    </xf>
    <xf numFmtId="17" fontId="29" fillId="5" borderId="5" xfId="1033" applyNumberFormat="1" applyFont="1" applyFill="1" applyBorder="1" applyAlignment="1">
      <alignment horizontal="center" vertical="center"/>
    </xf>
    <xf numFmtId="0" fontId="1" fillId="3" borderId="0" xfId="1033" applyFont="1" applyFill="1" applyBorder="1" applyAlignment="1">
      <alignment vertical="center"/>
    </xf>
    <xf numFmtId="0" fontId="29" fillId="0" borderId="0" xfId="1033" applyFont="1" applyFill="1" applyBorder="1" applyAlignment="1">
      <alignment horizontal="left" vertical="center"/>
    </xf>
    <xf numFmtId="0" fontId="1" fillId="0" borderId="0" xfId="1033" applyFont="1" applyFill="1" applyBorder="1" applyAlignment="1">
      <alignment vertical="center"/>
    </xf>
    <xf numFmtId="0" fontId="1" fillId="0" borderId="5" xfId="1033" applyFont="1" applyFill="1" applyBorder="1" applyAlignment="1">
      <alignment vertical="center"/>
    </xf>
    <xf numFmtId="0" fontId="30" fillId="7" borderId="5" xfId="1033" applyFont="1" applyFill="1" applyBorder="1" applyAlignment="1">
      <alignment horizontal="left" vertical="center"/>
    </xf>
    <xf numFmtId="0" fontId="29" fillId="7" borderId="5" xfId="1033" applyFont="1" applyFill="1" applyBorder="1" applyAlignment="1">
      <alignment horizontal="left" vertical="center"/>
    </xf>
    <xf numFmtId="0" fontId="29" fillId="3" borderId="2" xfId="1033" applyFont="1" applyFill="1" applyBorder="1" applyAlignment="1">
      <alignment horizontal="left" vertical="center"/>
    </xf>
    <xf numFmtId="0" fontId="29" fillId="3" borderId="2" xfId="1033" applyFont="1" applyFill="1" applyBorder="1" applyAlignment="1">
      <alignment vertical="center"/>
    </xf>
    <xf numFmtId="0" fontId="1" fillId="3" borderId="0" xfId="1033" applyFont="1" applyFill="1" applyBorder="1" applyAlignment="1">
      <alignment horizontal="center" vertical="center"/>
    </xf>
    <xf numFmtId="0" fontId="1" fillId="3" borderId="0" xfId="1033" applyFont="1" applyFill="1" applyBorder="1" applyAlignment="1">
      <alignment horizontal="left" vertical="center"/>
    </xf>
    <xf numFmtId="0" fontId="1" fillId="3" borderId="2" xfId="1033" applyFont="1" applyFill="1" applyBorder="1" applyAlignment="1">
      <alignment horizontal="center" vertical="center"/>
    </xf>
    <xf numFmtId="0" fontId="1" fillId="3" borderId="2" xfId="1033" applyFont="1" applyFill="1" applyBorder="1" applyAlignment="1">
      <alignment horizontal="left" vertical="center"/>
    </xf>
    <xf numFmtId="0" fontId="3" fillId="3" borderId="0" xfId="3" applyFont="1" applyFill="1" applyAlignment="1">
      <alignment horizontal="left" vertical="center"/>
    </xf>
    <xf numFmtId="0" fontId="3" fillId="2" borderId="0" xfId="3" applyFont="1" applyFill="1" applyAlignment="1">
      <alignment horizontal="center" vertical="center"/>
    </xf>
    <xf numFmtId="0" fontId="3" fillId="4" borderId="0" xfId="1033" applyFont="1" applyFill="1" applyAlignment="1">
      <alignment horizontal="left"/>
    </xf>
    <xf numFmtId="0" fontId="1" fillId="3" borderId="0" xfId="1033" applyFont="1" applyFill="1" applyBorder="1" applyAlignment="1">
      <alignment horizontal="left"/>
    </xf>
    <xf numFmtId="0" fontId="1" fillId="3" borderId="0" xfId="1033" applyFont="1" applyFill="1" applyBorder="1"/>
    <xf numFmtId="0" fontId="28" fillId="0" borderId="0" xfId="3837" applyFont="1" applyBorder="1" applyAlignment="1">
      <alignment horizontal="center" vertical="center"/>
    </xf>
    <xf numFmtId="166" fontId="29" fillId="0" borderId="0" xfId="1033" applyNumberFormat="1" applyFont="1" applyFill="1" applyBorder="1" applyAlignment="1">
      <alignment horizontal="center" vertical="center"/>
    </xf>
    <xf numFmtId="180" fontId="29" fillId="0" borderId="5" xfId="1033" applyNumberFormat="1" applyFont="1" applyFill="1" applyBorder="1" applyAlignment="1">
      <alignment horizontal="center" vertical="center"/>
    </xf>
    <xf numFmtId="180" fontId="29" fillId="0" borderId="0" xfId="2" applyNumberFormat="1" applyFont="1" applyFill="1" applyBorder="1" applyAlignment="1">
      <alignment horizontal="center" vertical="center"/>
    </xf>
    <xf numFmtId="180" fontId="1" fillId="0" borderId="0" xfId="2" applyNumberFormat="1" applyFont="1" applyFill="1" applyBorder="1" applyAlignment="1">
      <alignment horizontal="center" vertical="center"/>
    </xf>
    <xf numFmtId="180" fontId="29" fillId="7" borderId="5" xfId="1033" applyNumberFormat="1" applyFont="1" applyFill="1" applyBorder="1" applyAlignment="1">
      <alignment horizontal="center" vertical="center"/>
    </xf>
    <xf numFmtId="180" fontId="1" fillId="3" borderId="2" xfId="1033" applyNumberFormat="1" applyFont="1" applyFill="1" applyBorder="1" applyAlignment="1">
      <alignment horizontal="center" vertical="center"/>
    </xf>
    <xf numFmtId="180" fontId="1" fillId="3" borderId="0" xfId="1033" applyNumberFormat="1" applyFont="1" applyFill="1" applyBorder="1" applyAlignment="1">
      <alignment horizontal="center" vertical="center"/>
    </xf>
    <xf numFmtId="180" fontId="1" fillId="3" borderId="0" xfId="2" applyNumberFormat="1" applyFont="1" applyFill="1" applyBorder="1" applyAlignment="1">
      <alignment horizontal="center" vertical="center"/>
    </xf>
    <xf numFmtId="180" fontId="1" fillId="3" borderId="2" xfId="2" applyNumberFormat="1" applyFont="1" applyFill="1" applyBorder="1" applyAlignment="1">
      <alignment horizontal="center" vertical="center"/>
    </xf>
    <xf numFmtId="166" fontId="1" fillId="3" borderId="0" xfId="1033" applyNumberFormat="1" applyFont="1" applyFill="1" applyBorder="1" applyAlignment="1">
      <alignment horizontal="center" vertical="center"/>
    </xf>
    <xf numFmtId="168" fontId="1" fillId="3" borderId="0" xfId="2" applyNumberFormat="1" applyFont="1" applyFill="1" applyBorder="1" applyAlignment="1">
      <alignment horizontal="center"/>
    </xf>
    <xf numFmtId="0" fontId="1" fillId="3" borderId="0" xfId="1033" applyFont="1" applyFill="1" applyBorder="1" applyAlignment="1">
      <alignment horizontal="center"/>
    </xf>
    <xf numFmtId="181" fontId="1" fillId="3" borderId="0" xfId="1033" applyNumberFormat="1" applyFont="1" applyFill="1" applyBorder="1" applyAlignment="1">
      <alignment horizontal="center"/>
    </xf>
    <xf numFmtId="17" fontId="29" fillId="5" borderId="5" xfId="0" applyNumberFormat="1" applyFont="1" applyFill="1" applyBorder="1" applyAlignment="1">
      <alignment horizontal="center" vertical="center"/>
    </xf>
    <xf numFmtId="0" fontId="4" fillId="3" borderId="2" xfId="0" applyFont="1" applyFill="1" applyBorder="1" applyAlignment="1">
      <alignment horizontal="left" vertical="center"/>
    </xf>
    <xf numFmtId="0" fontId="3" fillId="3" borderId="2" xfId="0" applyFont="1" applyFill="1" applyBorder="1" applyAlignment="1">
      <alignment horizontal="left" vertical="center"/>
    </xf>
    <xf numFmtId="166" fontId="3" fillId="3" borderId="2" xfId="0" applyNumberFormat="1" applyFont="1" applyFill="1" applyBorder="1" applyAlignment="1">
      <alignment vertical="center"/>
    </xf>
    <xf numFmtId="0" fontId="3" fillId="3" borderId="0" xfId="0" applyFont="1" applyFill="1" applyBorder="1" applyAlignment="1">
      <alignment vertical="center"/>
    </xf>
    <xf numFmtId="0" fontId="4" fillId="3" borderId="0" xfId="0" applyFont="1" applyFill="1" applyBorder="1" applyAlignment="1">
      <alignment horizontal="left" vertical="center"/>
    </xf>
    <xf numFmtId="180" fontId="4" fillId="3" borderId="0" xfId="0" applyNumberFormat="1" applyFont="1" applyFill="1" applyBorder="1" applyAlignment="1">
      <alignment vertical="center"/>
    </xf>
    <xf numFmtId="180" fontId="4" fillId="0" borderId="0" xfId="0" applyNumberFormat="1" applyFont="1" applyFill="1" applyBorder="1" applyAlignment="1">
      <alignment vertical="center"/>
    </xf>
    <xf numFmtId="180" fontId="4" fillId="3" borderId="0" xfId="0" applyNumberFormat="1" applyFont="1" applyFill="1" applyBorder="1" applyAlignment="1">
      <alignment horizontal="center" vertical="center"/>
    </xf>
    <xf numFmtId="0" fontId="4" fillId="3" borderId="0" xfId="0" applyFont="1" applyFill="1" applyBorder="1" applyAlignment="1">
      <alignment vertical="center"/>
    </xf>
    <xf numFmtId="0" fontId="3" fillId="3" borderId="0" xfId="0" applyFont="1" applyFill="1" applyBorder="1" applyAlignment="1">
      <alignment horizontal="left" vertical="center"/>
    </xf>
    <xf numFmtId="0" fontId="4" fillId="3" borderId="0" xfId="0" applyFont="1" applyFill="1" applyBorder="1" applyAlignment="1">
      <alignment horizontal="left" vertical="center" wrapText="1"/>
    </xf>
    <xf numFmtId="166" fontId="3" fillId="3" borderId="0" xfId="0" applyNumberFormat="1" applyFont="1" applyFill="1" applyBorder="1" applyAlignment="1">
      <alignment vertical="center"/>
    </xf>
    <xf numFmtId="166" fontId="3" fillId="3" borderId="0" xfId="0" applyNumberFormat="1" applyFont="1" applyFill="1" applyBorder="1" applyAlignment="1">
      <alignment horizontal="center" vertical="center"/>
    </xf>
    <xf numFmtId="180" fontId="3" fillId="3" borderId="0" xfId="0" applyNumberFormat="1" applyFont="1" applyFill="1" applyBorder="1" applyAlignment="1">
      <alignment vertical="center"/>
    </xf>
    <xf numFmtId="180" fontId="3" fillId="3" borderId="2" xfId="0" applyNumberFormat="1" applyFont="1" applyFill="1" applyBorder="1" applyAlignment="1">
      <alignment vertical="center"/>
    </xf>
    <xf numFmtId="166" fontId="3" fillId="3" borderId="2" xfId="0" applyNumberFormat="1" applyFont="1" applyFill="1" applyBorder="1" applyAlignment="1">
      <alignment horizontal="center" vertical="center"/>
    </xf>
    <xf numFmtId="166" fontId="4" fillId="3" borderId="2" xfId="0" applyNumberFormat="1" applyFont="1" applyFill="1" applyBorder="1" applyAlignment="1">
      <alignment vertical="center"/>
    </xf>
    <xf numFmtId="0" fontId="4" fillId="3" borderId="3" xfId="0" applyFont="1" applyFill="1" applyBorder="1" applyAlignment="1">
      <alignment horizontal="left" vertical="center"/>
    </xf>
    <xf numFmtId="0" fontId="4" fillId="3" borderId="3" xfId="0" applyFont="1" applyFill="1" applyBorder="1" applyAlignment="1">
      <alignment horizontal="centerContinuous" vertical="center"/>
    </xf>
    <xf numFmtId="166" fontId="4" fillId="3" borderId="3" xfId="0" applyNumberFormat="1" applyFont="1" applyFill="1" applyBorder="1" applyAlignment="1">
      <alignment vertical="center"/>
    </xf>
    <xf numFmtId="166" fontId="4" fillId="3" borderId="0" xfId="0" applyNumberFormat="1" applyFont="1" applyFill="1" applyBorder="1" applyAlignment="1">
      <alignment vertical="center"/>
    </xf>
    <xf numFmtId="176" fontId="3" fillId="3" borderId="0" xfId="1029" applyNumberFormat="1" applyFont="1" applyFill="1" applyBorder="1" applyAlignment="1">
      <alignment horizontal="left" vertical="center" wrapText="1" indent="2"/>
    </xf>
    <xf numFmtId="166" fontId="4" fillId="3" borderId="0" xfId="0" applyNumberFormat="1" applyFont="1" applyFill="1" applyBorder="1" applyAlignment="1">
      <alignment horizontal="right" vertical="center"/>
    </xf>
    <xf numFmtId="0" fontId="3" fillId="3" borderId="0" xfId="0" applyFont="1" applyFill="1" applyBorder="1" applyAlignment="1">
      <alignment horizontal="left" vertical="center" wrapText="1" indent="2"/>
    </xf>
    <xf numFmtId="0" fontId="4" fillId="3" borderId="5" xfId="0" applyFont="1" applyFill="1" applyBorder="1" applyAlignment="1">
      <alignment horizontal="left" vertical="center"/>
    </xf>
    <xf numFmtId="0" fontId="4" fillId="3" borderId="5" xfId="0" applyFont="1" applyFill="1" applyBorder="1" applyAlignment="1">
      <alignment horizontal="left" vertical="center" wrapText="1"/>
    </xf>
    <xf numFmtId="166" fontId="4" fillId="3" borderId="5" xfId="0" applyNumberFormat="1" applyFont="1" applyFill="1" applyBorder="1" applyAlignment="1">
      <alignment vertical="center"/>
    </xf>
    <xf numFmtId="0" fontId="4" fillId="3" borderId="0" xfId="0" applyFont="1" applyFill="1" applyBorder="1" applyAlignment="1">
      <alignment horizontal="left" vertical="center" wrapText="1" indent="1"/>
    </xf>
    <xf numFmtId="166" fontId="4" fillId="3" borderId="2" xfId="0" applyNumberFormat="1" applyFont="1" applyFill="1" applyBorder="1" applyAlignment="1">
      <alignment horizontal="right" vertical="center"/>
    </xf>
    <xf numFmtId="0" fontId="3" fillId="0" borderId="0" xfId="1033" applyFont="1" applyAlignment="1">
      <alignment vertical="center"/>
    </xf>
    <xf numFmtId="0" fontId="21" fillId="0" borderId="0" xfId="1033" applyFont="1" applyAlignment="1">
      <alignment horizontal="left" vertical="center"/>
    </xf>
    <xf numFmtId="0" fontId="21" fillId="3" borderId="0" xfId="1033" applyFont="1" applyFill="1" applyAlignment="1">
      <alignment vertical="center"/>
    </xf>
    <xf numFmtId="166" fontId="21" fillId="0" borderId="0" xfId="4101" applyNumberFormat="1" applyFont="1" applyAlignment="1">
      <alignment horizontal="center" vertical="center"/>
    </xf>
    <xf numFmtId="0" fontId="33" fillId="0" borderId="0" xfId="1033" applyFont="1" applyAlignment="1">
      <alignment vertical="center"/>
    </xf>
    <xf numFmtId="0" fontId="34" fillId="3" borderId="0" xfId="1033" applyFont="1" applyFill="1" applyAlignment="1">
      <alignment horizontal="left" vertical="center"/>
    </xf>
    <xf numFmtId="0" fontId="35" fillId="0" borderId="0" xfId="1033" applyFont="1" applyAlignment="1">
      <alignment vertical="center"/>
    </xf>
    <xf numFmtId="0" fontId="36" fillId="3" borderId="0" xfId="1033" applyFont="1" applyFill="1" applyAlignment="1">
      <alignment vertical="center"/>
    </xf>
    <xf numFmtId="166" fontId="35" fillId="3" borderId="0" xfId="1033" applyNumberFormat="1" applyFont="1" applyFill="1" applyAlignment="1">
      <alignment vertical="center"/>
    </xf>
    <xf numFmtId="0" fontId="36" fillId="0" borderId="0" xfId="1033" applyFont="1" applyAlignment="1">
      <alignment vertical="center"/>
    </xf>
    <xf numFmtId="0" fontId="34" fillId="0" borderId="0" xfId="1033" applyFont="1" applyAlignment="1">
      <alignment vertical="center"/>
    </xf>
    <xf numFmtId="0" fontId="35" fillId="3" borderId="0" xfId="1033" applyFont="1" applyFill="1" applyAlignment="1">
      <alignment horizontal="left" vertical="center"/>
    </xf>
    <xf numFmtId="0" fontId="25" fillId="3" borderId="0" xfId="1033" applyFont="1" applyFill="1" applyAlignment="1">
      <alignment horizontal="left" vertical="center"/>
    </xf>
    <xf numFmtId="0" fontId="25" fillId="3" borderId="0" xfId="1033" applyFont="1" applyFill="1" applyAlignment="1">
      <alignment vertical="center"/>
    </xf>
    <xf numFmtId="0" fontId="25" fillId="0" borderId="0" xfId="1033" applyFont="1" applyAlignment="1">
      <alignment vertical="center"/>
    </xf>
    <xf numFmtId="0" fontId="29" fillId="0" borderId="0" xfId="1033" applyFont="1" applyAlignment="1">
      <alignment horizontal="left"/>
    </xf>
    <xf numFmtId="167" fontId="25" fillId="0" borderId="0" xfId="806" applyFont="1" applyFill="1" applyBorder="1" applyAlignment="1">
      <alignment horizontal="right"/>
    </xf>
    <xf numFmtId="0" fontId="25" fillId="0" borderId="0" xfId="1033" applyFont="1"/>
    <xf numFmtId="0" fontId="1" fillId="3" borderId="0" xfId="1033" applyFont="1" applyFill="1" applyAlignment="1">
      <alignment horizontal="left" vertical="center"/>
    </xf>
    <xf numFmtId="0" fontId="1" fillId="0" borderId="0" xfId="1033" applyFont="1" applyAlignment="1">
      <alignment horizontal="left"/>
    </xf>
    <xf numFmtId="0" fontId="1" fillId="3" borderId="0" xfId="1033" applyFont="1" applyFill="1" applyAlignment="1">
      <alignment vertical="center"/>
    </xf>
    <xf numFmtId="0" fontId="1" fillId="0" borderId="0" xfId="1033" applyFont="1" applyAlignment="1">
      <alignment vertical="center"/>
    </xf>
    <xf numFmtId="0" fontId="3" fillId="3" borderId="0" xfId="0" applyFont="1" applyFill="1" applyBorder="1" applyAlignment="1">
      <alignment horizontal="left" vertical="center" wrapText="1" indent="1"/>
    </xf>
    <xf numFmtId="0" fontId="3" fillId="3" borderId="5" xfId="1033" applyFont="1" applyFill="1" applyBorder="1" applyAlignment="1">
      <alignment horizontal="left" vertical="center" indent="2"/>
    </xf>
    <xf numFmtId="166" fontId="3" fillId="3" borderId="5" xfId="1033" applyNumberFormat="1" applyFont="1" applyFill="1" applyBorder="1" applyAlignment="1">
      <alignment horizontal="right" vertical="center"/>
    </xf>
    <xf numFmtId="166" fontId="3" fillId="3" borderId="5" xfId="1033" applyNumberFormat="1" applyFont="1" applyFill="1" applyBorder="1" applyAlignment="1">
      <alignment vertical="center"/>
    </xf>
    <xf numFmtId="0" fontId="4" fillId="3" borderId="6" xfId="0" applyFont="1" applyFill="1" applyBorder="1" applyAlignment="1">
      <alignment horizontal="left" vertical="center"/>
    </xf>
    <xf numFmtId="166" fontId="4" fillId="3" borderId="6" xfId="0" applyNumberFormat="1" applyFont="1" applyFill="1" applyBorder="1" applyAlignment="1">
      <alignment vertical="center"/>
    </xf>
    <xf numFmtId="0" fontId="3" fillId="0" borderId="0" xfId="1033" applyFont="1" applyBorder="1" applyAlignment="1">
      <alignment vertical="center"/>
    </xf>
    <xf numFmtId="0" fontId="33" fillId="0" borderId="0" xfId="1033" applyFont="1" applyBorder="1" applyAlignment="1">
      <alignment vertical="center"/>
    </xf>
    <xf numFmtId="0" fontId="36" fillId="0" borderId="0" xfId="1033" applyFont="1" applyBorder="1" applyAlignment="1">
      <alignment vertical="center"/>
    </xf>
    <xf numFmtId="0" fontId="25" fillId="0" borderId="0" xfId="1033" applyFont="1" applyBorder="1" applyAlignment="1">
      <alignment vertical="center"/>
    </xf>
    <xf numFmtId="0" fontId="25" fillId="0" borderId="0" xfId="1033" applyFont="1" applyBorder="1"/>
    <xf numFmtId="0" fontId="1" fillId="0" borderId="0" xfId="1033" applyFont="1" applyBorder="1" applyAlignment="1">
      <alignment vertical="center"/>
    </xf>
    <xf numFmtId="0" fontId="28" fillId="0" borderId="0" xfId="3837" applyFont="1" applyBorder="1" applyAlignment="1">
      <alignment vertical="center"/>
    </xf>
    <xf numFmtId="0" fontId="1" fillId="3" borderId="0" xfId="1259" applyFont="1" applyFill="1" applyBorder="1" applyAlignment="1">
      <alignment vertical="center"/>
    </xf>
    <xf numFmtId="0" fontId="37" fillId="2" borderId="0" xfId="1033" applyFont="1" applyFill="1" applyBorder="1" applyAlignment="1">
      <alignment vertical="center"/>
    </xf>
    <xf numFmtId="0" fontId="3" fillId="0" borderId="0" xfId="1033" applyFont="1" applyFill="1" applyBorder="1" applyAlignment="1">
      <alignment vertical="center"/>
    </xf>
    <xf numFmtId="0" fontId="3" fillId="3" borderId="0" xfId="1033" applyFont="1" applyFill="1" applyBorder="1" applyAlignment="1">
      <alignment vertical="center"/>
    </xf>
    <xf numFmtId="0" fontId="41" fillId="0" borderId="0" xfId="1033" applyFont="1" applyFill="1" applyBorder="1" applyAlignment="1">
      <alignment vertical="center"/>
    </xf>
    <xf numFmtId="0" fontId="41" fillId="3" borderId="0" xfId="1033" applyFont="1" applyFill="1" applyBorder="1" applyAlignment="1">
      <alignment vertical="center"/>
    </xf>
    <xf numFmtId="0" fontId="29" fillId="5" borderId="5" xfId="1259" applyFont="1" applyFill="1" applyBorder="1" applyAlignment="1">
      <alignment horizontal="left" vertical="center"/>
    </xf>
    <xf numFmtId="0" fontId="29" fillId="5" borderId="5" xfId="1259" applyFont="1" applyFill="1" applyBorder="1" applyAlignment="1">
      <alignment horizontal="center" vertical="center"/>
    </xf>
    <xf numFmtId="17" fontId="29" fillId="5" borderId="5" xfId="1259" applyNumberFormat="1" applyFont="1" applyFill="1" applyBorder="1" applyAlignment="1">
      <alignment horizontal="center" vertical="center"/>
    </xf>
    <xf numFmtId="0" fontId="1" fillId="0" borderId="0" xfId="1259" applyFont="1" applyFill="1" applyBorder="1" applyAlignment="1">
      <alignment vertical="center"/>
    </xf>
    <xf numFmtId="0" fontId="29" fillId="0" borderId="7" xfId="1259" applyNumberFormat="1" applyFont="1" applyFill="1" applyBorder="1" applyAlignment="1">
      <alignment horizontal="left" vertical="center"/>
    </xf>
    <xf numFmtId="0" fontId="29" fillId="0" borderId="7" xfId="1259" applyNumberFormat="1" applyFont="1" applyFill="1" applyBorder="1" applyAlignment="1">
      <alignment vertical="center"/>
    </xf>
    <xf numFmtId="166" fontId="1" fillId="0" borderId="7" xfId="1259" applyNumberFormat="1" applyFont="1" applyFill="1" applyBorder="1" applyAlignment="1">
      <alignment vertical="center"/>
    </xf>
    <xf numFmtId="0" fontId="29" fillId="0" borderId="0" xfId="1259" applyFont="1" applyFill="1" applyBorder="1" applyAlignment="1">
      <alignment vertical="center"/>
    </xf>
    <xf numFmtId="0" fontId="1" fillId="0" borderId="0" xfId="1259" applyFont="1" applyFill="1" applyBorder="1" applyAlignment="1">
      <alignment horizontal="left" vertical="center"/>
    </xf>
    <xf numFmtId="180" fontId="29" fillId="0" borderId="0" xfId="1259" applyNumberFormat="1" applyFont="1" applyFill="1" applyBorder="1" applyAlignment="1">
      <alignment vertical="center"/>
    </xf>
    <xf numFmtId="0" fontId="29" fillId="0" borderId="0" xfId="1259" applyFont="1" applyFill="1" applyBorder="1" applyAlignment="1">
      <alignment horizontal="left" vertical="center"/>
    </xf>
    <xf numFmtId="166" fontId="1" fillId="0" borderId="0" xfId="1259" applyNumberFormat="1" applyFont="1" applyFill="1" applyBorder="1" applyAlignment="1">
      <alignment vertical="center"/>
    </xf>
    <xf numFmtId="0" fontId="29" fillId="0" borderId="5" xfId="1259" applyFont="1" applyFill="1" applyBorder="1" applyAlignment="1">
      <alignment horizontal="left" vertical="center"/>
    </xf>
    <xf numFmtId="0" fontId="1" fillId="0" borderId="5" xfId="1259" applyFont="1" applyFill="1" applyBorder="1" applyAlignment="1">
      <alignment horizontal="left" vertical="center"/>
    </xf>
    <xf numFmtId="0" fontId="1" fillId="0" borderId="5" xfId="1259" applyFont="1" applyFill="1" applyBorder="1" applyAlignment="1">
      <alignment vertical="center"/>
    </xf>
    <xf numFmtId="0" fontId="29" fillId="0" borderId="0" xfId="1259" applyFont="1" applyFill="1" applyBorder="1" applyAlignment="1">
      <alignment horizontal="left" vertical="center" wrapText="1"/>
    </xf>
    <xf numFmtId="182" fontId="1" fillId="0" borderId="0" xfId="1" applyNumberFormat="1" applyFont="1" applyFill="1" applyBorder="1" applyAlignment="1">
      <alignment vertical="center"/>
    </xf>
    <xf numFmtId="182" fontId="1" fillId="0" borderId="5" xfId="1" applyNumberFormat="1" applyFont="1" applyFill="1" applyBorder="1" applyAlignment="1">
      <alignment vertical="center"/>
    </xf>
    <xf numFmtId="0" fontId="29" fillId="0" borderId="2" xfId="1259" applyFont="1" applyFill="1" applyBorder="1" applyAlignment="1">
      <alignment horizontal="left" vertical="center"/>
    </xf>
    <xf numFmtId="0" fontId="1" fillId="0" borderId="2" xfId="1259" applyFont="1" applyFill="1" applyBorder="1" applyAlignment="1">
      <alignment horizontal="left" vertical="center"/>
    </xf>
    <xf numFmtId="0" fontId="1" fillId="0" borderId="2" xfId="1259" applyFont="1" applyFill="1" applyBorder="1" applyAlignment="1">
      <alignment vertical="center"/>
    </xf>
    <xf numFmtId="0" fontId="1" fillId="0" borderId="0" xfId="1259" applyFont="1" applyFill="1" applyBorder="1" applyAlignment="1">
      <alignment horizontal="right" vertical="center"/>
    </xf>
    <xf numFmtId="180" fontId="29" fillId="0" borderId="0" xfId="1259" applyNumberFormat="1" applyFont="1" applyFill="1" applyBorder="1" applyAlignment="1">
      <alignment horizontal="right" vertical="center"/>
    </xf>
    <xf numFmtId="180" fontId="1" fillId="0" borderId="0" xfId="1" applyNumberFormat="1" applyFont="1" applyFill="1" applyBorder="1" applyAlignment="1">
      <alignment horizontal="right" vertical="center"/>
    </xf>
    <xf numFmtId="180" fontId="1" fillId="0" borderId="2" xfId="1" applyNumberFormat="1" applyFont="1" applyFill="1" applyBorder="1" applyAlignment="1">
      <alignment horizontal="right" vertical="center"/>
    </xf>
    <xf numFmtId="3" fontId="1" fillId="0" borderId="0" xfId="1" applyNumberFormat="1" applyFont="1" applyFill="1" applyBorder="1" applyAlignment="1">
      <alignment horizontal="right" vertical="center"/>
    </xf>
    <xf numFmtId="0" fontId="3" fillId="0" borderId="0" xfId="1259" applyFont="1" applyFill="1" applyBorder="1" applyAlignment="1">
      <alignment horizontal="left" vertical="center"/>
    </xf>
    <xf numFmtId="0" fontId="15" fillId="2" borderId="0" xfId="3838" applyFont="1" applyFill="1" applyBorder="1" applyAlignment="1">
      <alignment vertical="center" wrapText="1"/>
    </xf>
    <xf numFmtId="0" fontId="15" fillId="0" borderId="0" xfId="3838" applyFont="1" applyFill="1" applyBorder="1" applyAlignment="1">
      <alignment vertical="center" wrapText="1"/>
    </xf>
    <xf numFmtId="0" fontId="1" fillId="3" borderId="0" xfId="1259" applyFont="1" applyFill="1" applyBorder="1" applyAlignment="1">
      <alignment horizontal="left" vertical="center"/>
    </xf>
    <xf numFmtId="0" fontId="3" fillId="0" borderId="0" xfId="1035" applyFont="1" applyFill="1" applyAlignment="1">
      <alignment vertical="center"/>
    </xf>
    <xf numFmtId="0" fontId="45" fillId="0" borderId="0" xfId="1035" applyFont="1" applyFill="1" applyAlignment="1">
      <alignment vertical="center"/>
    </xf>
    <xf numFmtId="0" fontId="29" fillId="5" borderId="2" xfId="1035" applyFont="1" applyFill="1" applyBorder="1" applyAlignment="1">
      <alignment horizontal="center" vertical="center"/>
    </xf>
    <xf numFmtId="0" fontId="4" fillId="0" borderId="0" xfId="1035" applyFont="1" applyFill="1" applyAlignment="1">
      <alignment vertical="center"/>
    </xf>
    <xf numFmtId="0" fontId="1" fillId="5" borderId="2" xfId="1035" applyFont="1" applyFill="1" applyBorder="1" applyAlignment="1">
      <alignment horizontal="center" vertical="center" wrapText="1"/>
    </xf>
    <xf numFmtId="0" fontId="29" fillId="5" borderId="8" xfId="1035" applyFont="1" applyFill="1" applyBorder="1" applyAlignment="1">
      <alignment horizontal="center" vertical="center" wrapText="1"/>
    </xf>
    <xf numFmtId="0" fontId="3" fillId="0" borderId="0" xfId="1035" applyFont="1" applyFill="1" applyAlignment="1">
      <alignment horizontal="center" vertical="center" wrapText="1"/>
    </xf>
    <xf numFmtId="0" fontId="29" fillId="5" borderId="10" xfId="1035" applyFont="1" applyFill="1" applyBorder="1" applyAlignment="1">
      <alignment horizontal="center" vertical="center" wrapText="1"/>
    </xf>
    <xf numFmtId="0" fontId="1" fillId="5" borderId="11" xfId="1035" applyFont="1" applyFill="1" applyBorder="1" applyAlignment="1">
      <alignment horizontal="center" vertical="center" wrapText="1"/>
    </xf>
    <xf numFmtId="0" fontId="29" fillId="5" borderId="12" xfId="1035" applyFont="1" applyFill="1" applyBorder="1" applyAlignment="1">
      <alignment horizontal="center" vertical="center" wrapText="1"/>
    </xf>
    <xf numFmtId="17" fontId="1" fillId="0" borderId="0" xfId="1035" applyNumberFormat="1" applyFont="1" applyFill="1" applyBorder="1" applyAlignment="1">
      <alignment horizontal="center" vertical="center"/>
    </xf>
    <xf numFmtId="166" fontId="1" fillId="0" borderId="13" xfId="1035" applyNumberFormat="1" applyFont="1" applyFill="1" applyBorder="1" applyAlignment="1">
      <alignment horizontal="center" vertical="center"/>
    </xf>
    <xf numFmtId="168" fontId="1" fillId="0" borderId="0" xfId="2881" applyNumberFormat="1" applyFont="1" applyFill="1" applyBorder="1" applyAlignment="1">
      <alignment horizontal="center" vertical="center"/>
    </xf>
    <xf numFmtId="183" fontId="1" fillId="0" borderId="0" xfId="2881" applyNumberFormat="1" applyFont="1" applyFill="1" applyBorder="1" applyAlignment="1">
      <alignment horizontal="center" vertical="center"/>
    </xf>
    <xf numFmtId="183" fontId="1" fillId="0" borderId="14" xfId="2881" applyNumberFormat="1" applyFont="1" applyFill="1" applyBorder="1" applyAlignment="1">
      <alignment horizontal="center" vertical="center"/>
    </xf>
    <xf numFmtId="0" fontId="3" fillId="0" borderId="0" xfId="1035" applyFont="1" applyFill="1" applyBorder="1" applyAlignment="1">
      <alignment vertical="center"/>
    </xf>
    <xf numFmtId="168" fontId="1" fillId="0" borderId="14" xfId="2881" applyNumberFormat="1" applyFont="1" applyFill="1" applyBorder="1" applyAlignment="1">
      <alignment horizontal="center" vertical="center"/>
    </xf>
    <xf numFmtId="17" fontId="1" fillId="0" borderId="2" xfId="1035" applyNumberFormat="1" applyFont="1" applyFill="1" applyBorder="1" applyAlignment="1">
      <alignment horizontal="center" vertical="center"/>
    </xf>
    <xf numFmtId="166" fontId="1" fillId="0" borderId="8" xfId="1035" applyNumberFormat="1" applyFont="1" applyFill="1" applyBorder="1" applyAlignment="1">
      <alignment horizontal="center" vertical="center"/>
    </xf>
    <xf numFmtId="168" fontId="1" fillId="0" borderId="2" xfId="2881" applyNumberFormat="1" applyFont="1" applyFill="1" applyBorder="1" applyAlignment="1">
      <alignment horizontal="center" vertical="center"/>
    </xf>
    <xf numFmtId="168" fontId="1" fillId="0" borderId="9" xfId="2881" applyNumberFormat="1" applyFont="1" applyFill="1" applyBorder="1" applyAlignment="1">
      <alignment horizontal="center" vertical="center"/>
    </xf>
    <xf numFmtId="17" fontId="3" fillId="0" borderId="0" xfId="1035" applyNumberFormat="1" applyFont="1" applyFill="1" applyBorder="1" applyAlignment="1">
      <alignment horizontal="left" vertical="center"/>
    </xf>
    <xf numFmtId="166" fontId="3" fillId="0" borderId="0" xfId="1035" applyNumberFormat="1" applyFont="1" applyFill="1" applyBorder="1" applyAlignment="1">
      <alignment horizontal="right" vertical="center"/>
    </xf>
    <xf numFmtId="168" fontId="3" fillId="0" borderId="0" xfId="2881" applyNumberFormat="1" applyFont="1" applyFill="1" applyBorder="1" applyAlignment="1">
      <alignment horizontal="right" vertical="center"/>
    </xf>
    <xf numFmtId="166" fontId="21" fillId="3" borderId="0" xfId="4317" applyNumberFormat="1" applyFont="1" applyFill="1" applyBorder="1" applyAlignment="1">
      <alignment horizontal="right" vertical="center" indent="2"/>
    </xf>
    <xf numFmtId="168" fontId="21" fillId="3" borderId="0" xfId="4317" applyNumberFormat="1" applyFont="1" applyFill="1" applyBorder="1" applyAlignment="1">
      <alignment horizontal="center" vertical="center"/>
    </xf>
    <xf numFmtId="168" fontId="21" fillId="3" borderId="0" xfId="4317" applyNumberFormat="1" applyFont="1" applyFill="1" applyBorder="1" applyAlignment="1">
      <alignment horizontal="right" vertical="center" indent="1"/>
    </xf>
    <xf numFmtId="0" fontId="3" fillId="0" borderId="0" xfId="1035" applyFont="1" applyFill="1" applyAlignment="1">
      <alignment horizontal="left" vertical="center"/>
    </xf>
    <xf numFmtId="166" fontId="4" fillId="0" borderId="0" xfId="1035" applyNumberFormat="1" applyFont="1" applyFill="1" applyBorder="1" applyAlignment="1">
      <alignment vertical="center"/>
    </xf>
    <xf numFmtId="168" fontId="3" fillId="0" borderId="0" xfId="2881" applyNumberFormat="1" applyFont="1" applyFill="1" applyBorder="1" applyAlignment="1">
      <alignment horizontal="center" vertical="center"/>
    </xf>
    <xf numFmtId="184" fontId="3" fillId="0" borderId="0" xfId="2881" applyNumberFormat="1" applyFont="1" applyFill="1" applyBorder="1" applyAlignment="1">
      <alignment vertical="center"/>
    </xf>
    <xf numFmtId="0" fontId="3" fillId="4" borderId="0" xfId="0" applyFont="1" applyFill="1" applyAlignment="1">
      <alignment horizontal="left"/>
    </xf>
    <xf numFmtId="0" fontId="41" fillId="0" borderId="0" xfId="1035" applyFont="1" applyFill="1" applyAlignment="1">
      <alignment vertical="center"/>
    </xf>
    <xf numFmtId="17" fontId="4" fillId="0" borderId="0" xfId="1035" applyNumberFormat="1" applyFont="1" applyFill="1" applyBorder="1" applyAlignment="1">
      <alignment horizontal="center" vertical="center"/>
    </xf>
    <xf numFmtId="168" fontId="3" fillId="0" borderId="0" xfId="2881" applyNumberFormat="1" applyFont="1" applyFill="1" applyBorder="1" applyAlignment="1">
      <alignment vertical="center"/>
    </xf>
    <xf numFmtId="17" fontId="4" fillId="0" borderId="0" xfId="1035" applyNumberFormat="1" applyFont="1" applyFill="1" applyBorder="1" applyAlignment="1">
      <alignment horizontal="left" vertical="center"/>
    </xf>
    <xf numFmtId="167" fontId="3" fillId="0" borderId="0" xfId="805" applyNumberFormat="1" applyFont="1" applyFill="1" applyBorder="1" applyAlignment="1">
      <alignment vertical="center"/>
    </xf>
    <xf numFmtId="0" fontId="0" fillId="4" borderId="0" xfId="0" applyFill="1"/>
    <xf numFmtId="0" fontId="25" fillId="4" borderId="0" xfId="4093" applyFont="1" applyFill="1" applyAlignment="1" applyProtection="1">
      <alignment horizontal="left"/>
    </xf>
    <xf numFmtId="0" fontId="26" fillId="4" borderId="0" xfId="0" applyFont="1" applyFill="1"/>
    <xf numFmtId="0" fontId="15" fillId="2" borderId="0" xfId="3838" applyFont="1" applyFill="1" applyBorder="1" applyAlignment="1">
      <alignment vertical="center" wrapText="1"/>
    </xf>
    <xf numFmtId="0" fontId="15" fillId="2" borderId="0" xfId="3838" applyFont="1" applyFill="1" applyBorder="1" applyAlignment="1">
      <alignment vertical="center" wrapText="1"/>
    </xf>
    <xf numFmtId="17" fontId="1" fillId="3" borderId="0" xfId="2" applyNumberFormat="1" applyFont="1" applyFill="1" applyBorder="1" applyAlignment="1">
      <alignment horizontal="left" vertical="center"/>
    </xf>
    <xf numFmtId="0" fontId="15" fillId="2" borderId="0" xfId="3838" applyFont="1" applyFill="1" applyBorder="1" applyAlignment="1">
      <alignment vertical="center" wrapText="1"/>
    </xf>
    <xf numFmtId="166" fontId="4" fillId="3" borderId="2" xfId="0" applyNumberFormat="1" applyFont="1" applyFill="1" applyBorder="1" applyAlignment="1">
      <alignment horizontal="center" vertical="center"/>
    </xf>
    <xf numFmtId="166" fontId="4" fillId="3" borderId="3" xfId="0" applyNumberFormat="1" applyFont="1" applyFill="1" applyBorder="1" applyAlignment="1">
      <alignment horizontal="center" vertical="center"/>
    </xf>
    <xf numFmtId="166" fontId="4" fillId="3" borderId="0" xfId="0" applyNumberFormat="1" applyFont="1" applyFill="1" applyBorder="1" applyAlignment="1">
      <alignment horizontal="center" vertical="center"/>
    </xf>
    <xf numFmtId="166" fontId="4" fillId="3" borderId="5" xfId="0" applyNumberFormat="1" applyFont="1" applyFill="1" applyBorder="1" applyAlignment="1">
      <alignment horizontal="center" vertical="center"/>
    </xf>
    <xf numFmtId="166" fontId="4" fillId="3" borderId="6" xfId="0" applyNumberFormat="1" applyFont="1" applyFill="1" applyBorder="1" applyAlignment="1">
      <alignment horizontal="center" vertical="center"/>
    </xf>
    <xf numFmtId="166" fontId="3" fillId="3" borderId="5" xfId="1033" applyNumberFormat="1" applyFont="1" applyFill="1" applyBorder="1" applyAlignment="1">
      <alignment horizontal="center" vertical="center"/>
    </xf>
    <xf numFmtId="0" fontId="36" fillId="3" borderId="0" xfId="1033" applyFont="1" applyFill="1" applyAlignment="1">
      <alignment horizontal="center" vertical="center"/>
    </xf>
    <xf numFmtId="0" fontId="25" fillId="3" borderId="0" xfId="1033" applyFont="1" applyFill="1" applyAlignment="1">
      <alignment horizontal="center" vertical="center"/>
    </xf>
    <xf numFmtId="167" fontId="25" fillId="0" borderId="0" xfId="806" applyFont="1" applyFill="1" applyBorder="1" applyAlignment="1">
      <alignment horizontal="center"/>
    </xf>
    <xf numFmtId="0" fontId="1" fillId="3" borderId="0" xfId="1033" applyFont="1" applyFill="1" applyAlignment="1">
      <alignment horizontal="center" vertical="center"/>
    </xf>
    <xf numFmtId="0" fontId="15" fillId="2" borderId="0" xfId="3838" applyFont="1" applyFill="1" applyBorder="1" applyAlignment="1">
      <alignment vertical="center" wrapText="1"/>
    </xf>
    <xf numFmtId="17" fontId="1" fillId="3" borderId="5" xfId="2" applyNumberFormat="1" applyFont="1" applyFill="1" applyBorder="1" applyAlignment="1">
      <alignment horizontal="center" vertical="center"/>
    </xf>
    <xf numFmtId="166" fontId="1" fillId="3" borderId="5" xfId="2" applyNumberFormat="1" applyFont="1" applyFill="1" applyBorder="1" applyAlignment="1">
      <alignment horizontal="center" vertical="center"/>
    </xf>
    <xf numFmtId="168" fontId="1" fillId="3" borderId="5" xfId="2" applyNumberFormat="1" applyFont="1" applyFill="1" applyBorder="1" applyAlignment="1">
      <alignment horizontal="center" vertical="center"/>
    </xf>
    <xf numFmtId="166" fontId="1" fillId="3" borderId="5" xfId="3" applyNumberFormat="1" applyFont="1" applyFill="1" applyBorder="1" applyAlignment="1">
      <alignment horizontal="center" vertical="center"/>
    </xf>
    <xf numFmtId="180" fontId="1" fillId="0" borderId="0" xfId="1259" applyNumberFormat="1" applyFont="1" applyFill="1" applyBorder="1" applyAlignment="1">
      <alignment vertical="center"/>
    </xf>
    <xf numFmtId="0" fontId="48" fillId="4" borderId="0" xfId="10686" applyFont="1" applyFill="1" applyAlignment="1" applyProtection="1">
      <alignment horizontal="left"/>
    </xf>
    <xf numFmtId="0" fontId="22" fillId="6" borderId="0" xfId="0" applyFont="1" applyFill="1" applyAlignment="1">
      <alignment horizontal="left" wrapText="1"/>
    </xf>
    <xf numFmtId="0" fontId="0" fillId="0" borderId="0" xfId="0" applyAlignment="1">
      <alignment horizontal="center"/>
    </xf>
    <xf numFmtId="0" fontId="23" fillId="4" borderId="0" xfId="0" applyFont="1" applyFill="1" applyAlignment="1">
      <alignment horizontal="left"/>
    </xf>
    <xf numFmtId="0" fontId="2" fillId="4" borderId="0" xfId="4093" applyFill="1" applyAlignment="1" applyProtection="1">
      <alignment horizontal="left"/>
    </xf>
    <xf numFmtId="0" fontId="27" fillId="4" borderId="0" xfId="0" applyFont="1" applyFill="1" applyAlignment="1">
      <alignment horizontal="left"/>
    </xf>
    <xf numFmtId="0" fontId="24" fillId="4" borderId="0" xfId="0" applyFont="1" applyFill="1" applyAlignment="1">
      <alignment horizontal="left"/>
    </xf>
    <xf numFmtId="0" fontId="15" fillId="2" borderId="0" xfId="3838" applyFont="1" applyFill="1" applyBorder="1" applyAlignment="1">
      <alignment horizontal="left" vertical="center" wrapText="1"/>
    </xf>
    <xf numFmtId="0" fontId="16" fillId="2" borderId="0" xfId="3" applyNumberFormat="1" applyFont="1" applyFill="1" applyBorder="1" applyAlignment="1">
      <alignment horizontal="left" vertical="center" wrapText="1"/>
    </xf>
    <xf numFmtId="0" fontId="12" fillId="5" borderId="3" xfId="3" applyFont="1" applyFill="1" applyBorder="1" applyAlignment="1">
      <alignment horizontal="center" vertical="center" wrapText="1"/>
    </xf>
    <xf numFmtId="0" fontId="11" fillId="0" borderId="0" xfId="3837" applyFont="1" applyBorder="1" applyAlignment="1">
      <alignment horizontal="left" vertical="center"/>
    </xf>
    <xf numFmtId="0" fontId="17" fillId="2" borderId="0" xfId="3" applyNumberFormat="1" applyFont="1" applyFill="1" applyBorder="1" applyAlignment="1">
      <alignment horizontal="left" vertical="center" wrapText="1"/>
    </xf>
    <xf numFmtId="0" fontId="12" fillId="5" borderId="0" xfId="3" applyFont="1" applyFill="1" applyBorder="1" applyAlignment="1">
      <alignment horizontal="center" vertical="center"/>
    </xf>
    <xf numFmtId="0" fontId="12" fillId="5" borderId="5" xfId="3" applyFont="1" applyFill="1" applyBorder="1" applyAlignment="1">
      <alignment horizontal="center" vertical="center"/>
    </xf>
    <xf numFmtId="0" fontId="12" fillId="5" borderId="2" xfId="3" applyFont="1" applyFill="1" applyBorder="1" applyAlignment="1">
      <alignment horizontal="center" vertical="center"/>
    </xf>
    <xf numFmtId="0" fontId="12" fillId="5" borderId="4" xfId="3" applyFont="1" applyFill="1" applyBorder="1" applyAlignment="1">
      <alignment horizontal="center" vertical="center" wrapText="1"/>
    </xf>
    <xf numFmtId="0" fontId="12" fillId="5" borderId="5" xfId="3" applyFont="1" applyFill="1" applyBorder="1" applyAlignment="1">
      <alignment horizontal="center" vertical="center" wrapText="1"/>
    </xf>
    <xf numFmtId="0" fontId="3" fillId="3" borderId="0" xfId="3" applyFont="1" applyFill="1" applyAlignment="1">
      <alignment horizontal="left" vertical="center" wrapText="1"/>
    </xf>
    <xf numFmtId="0" fontId="28" fillId="0" borderId="0" xfId="3837" applyFont="1" applyBorder="1" applyAlignment="1">
      <alignment horizontal="left" vertical="center"/>
    </xf>
    <xf numFmtId="0" fontId="16" fillId="7" borderId="0" xfId="3" applyNumberFormat="1" applyFont="1" applyFill="1" applyBorder="1" applyAlignment="1">
      <alignment horizontal="left" vertical="center" wrapText="1"/>
    </xf>
    <xf numFmtId="0" fontId="17" fillId="7" borderId="0" xfId="3" applyNumberFormat="1" applyFont="1" applyFill="1" applyBorder="1" applyAlignment="1">
      <alignment horizontal="left" vertical="center" wrapText="1"/>
    </xf>
    <xf numFmtId="0" fontId="29" fillId="5" borderId="5" xfId="1033" applyFont="1" applyFill="1" applyBorder="1" applyAlignment="1">
      <alignment horizontal="center" vertical="center"/>
    </xf>
    <xf numFmtId="0" fontId="29" fillId="5" borderId="5" xfId="1033" applyFont="1" applyFill="1" applyBorder="1" applyAlignment="1">
      <alignment horizontal="left" vertical="center"/>
    </xf>
    <xf numFmtId="0" fontId="16" fillId="2" borderId="0" xfId="1033" applyNumberFormat="1" applyFont="1" applyFill="1" applyBorder="1" applyAlignment="1">
      <alignment horizontal="left" vertical="center" wrapText="1"/>
    </xf>
    <xf numFmtId="0" fontId="37" fillId="2" borderId="0" xfId="1033" applyNumberFormat="1" applyFont="1" applyFill="1" applyBorder="1" applyAlignment="1">
      <alignment horizontal="left" vertical="center" wrapText="1"/>
    </xf>
    <xf numFmtId="0" fontId="15" fillId="2" borderId="0" xfId="3838" applyFont="1" applyFill="1" applyBorder="1" applyAlignment="1">
      <alignment vertical="center" wrapText="1"/>
    </xf>
    <xf numFmtId="0" fontId="29" fillId="5" borderId="2" xfId="1035" applyFont="1" applyFill="1" applyBorder="1" applyAlignment="1">
      <alignment horizontal="center" vertical="center" wrapText="1"/>
    </xf>
    <xf numFmtId="0" fontId="46" fillId="2" borderId="0" xfId="1035" applyFont="1" applyFill="1" applyAlignment="1">
      <alignment horizontal="left" vertical="center"/>
    </xf>
    <xf numFmtId="0" fontId="29" fillId="5" borderId="9" xfId="1035" applyFont="1" applyFill="1" applyBorder="1" applyAlignment="1">
      <alignment horizontal="center" vertical="center" wrapText="1"/>
    </xf>
    <xf numFmtId="0" fontId="43" fillId="0" borderId="0" xfId="3837" applyFont="1" applyFill="1" applyBorder="1" applyAlignment="1">
      <alignment horizontal="left" vertical="center"/>
    </xf>
    <xf numFmtId="0" fontId="44" fillId="2" borderId="0" xfId="1035" applyNumberFormat="1" applyFont="1" applyFill="1" applyBorder="1" applyAlignment="1">
      <alignment horizontal="left" vertical="center" wrapText="1"/>
    </xf>
    <xf numFmtId="0" fontId="29" fillId="5" borderId="8" xfId="1035" applyFont="1" applyFill="1" applyBorder="1" applyAlignment="1">
      <alignment horizontal="center" vertical="center"/>
    </xf>
    <xf numFmtId="0" fontId="29" fillId="5" borderId="2" xfId="1035" applyFont="1" applyFill="1" applyBorder="1" applyAlignment="1">
      <alignment horizontal="center" vertical="center"/>
    </xf>
    <xf numFmtId="0" fontId="29" fillId="5" borderId="9" xfId="1035" applyFont="1" applyFill="1" applyBorder="1" applyAlignment="1">
      <alignment horizontal="center" vertical="center"/>
    </xf>
  </cellXfs>
  <cellStyles count="10687">
    <cellStyle name="Cabecera 1" xfId="7"/>
    <cellStyle name="Cabecera 2" xfId="8"/>
    <cellStyle name="Euro" xfId="9"/>
    <cellStyle name="Euro 10" xfId="10"/>
    <cellStyle name="Euro 10 10" xfId="11"/>
    <cellStyle name="Euro 10 10 2" xfId="4332"/>
    <cellStyle name="Euro 10 11" xfId="12"/>
    <cellStyle name="Euro 10 11 2" xfId="4333"/>
    <cellStyle name="Euro 10 12" xfId="13"/>
    <cellStyle name="Euro 10 12 2" xfId="4334"/>
    <cellStyle name="Euro 10 13" xfId="14"/>
    <cellStyle name="Euro 10 13 2" xfId="4335"/>
    <cellStyle name="Euro 10 14" xfId="15"/>
    <cellStyle name="Euro 10 14 2" xfId="4336"/>
    <cellStyle name="Euro 10 15" xfId="16"/>
    <cellStyle name="Euro 10 15 2" xfId="4337"/>
    <cellStyle name="Euro 10 16" xfId="17"/>
    <cellStyle name="Euro 10 16 2" xfId="4338"/>
    <cellStyle name="Euro 10 17" xfId="18"/>
    <cellStyle name="Euro 10 17 2" xfId="4339"/>
    <cellStyle name="Euro 10 18" xfId="19"/>
    <cellStyle name="Euro 10 18 2" xfId="4340"/>
    <cellStyle name="Euro 10 19" xfId="20"/>
    <cellStyle name="Euro 10 19 2" xfId="4341"/>
    <cellStyle name="Euro 10 2" xfId="21"/>
    <cellStyle name="Euro 10 2 2" xfId="4342"/>
    <cellStyle name="Euro 10 20" xfId="22"/>
    <cellStyle name="Euro 10 20 2" xfId="4343"/>
    <cellStyle name="Euro 10 21" xfId="23"/>
    <cellStyle name="Euro 10 21 2" xfId="4344"/>
    <cellStyle name="Euro 10 22" xfId="24"/>
    <cellStyle name="Euro 10 22 2" xfId="4345"/>
    <cellStyle name="Euro 10 23" xfId="25"/>
    <cellStyle name="Euro 10 23 2" xfId="4346"/>
    <cellStyle name="Euro 10 24" xfId="26"/>
    <cellStyle name="Euro 10 24 2" xfId="4347"/>
    <cellStyle name="Euro 10 25" xfId="27"/>
    <cellStyle name="Euro 10 25 2" xfId="4348"/>
    <cellStyle name="Euro 10 26" xfId="28"/>
    <cellStyle name="Euro 10 26 2" xfId="4349"/>
    <cellStyle name="Euro 10 27" xfId="29"/>
    <cellStyle name="Euro 10 27 2" xfId="4350"/>
    <cellStyle name="Euro 10 28" xfId="30"/>
    <cellStyle name="Euro 10 28 2" xfId="4351"/>
    <cellStyle name="Euro 10 29" xfId="4352"/>
    <cellStyle name="Euro 10 3" xfId="31"/>
    <cellStyle name="Euro 10 3 2" xfId="4353"/>
    <cellStyle name="Euro 10 4" xfId="32"/>
    <cellStyle name="Euro 10 4 2" xfId="4354"/>
    <cellStyle name="Euro 10 5" xfId="33"/>
    <cellStyle name="Euro 10 5 2" xfId="4355"/>
    <cellStyle name="Euro 10 6" xfId="34"/>
    <cellStyle name="Euro 10 6 2" xfId="4356"/>
    <cellStyle name="Euro 10 7" xfId="35"/>
    <cellStyle name="Euro 10 7 2" xfId="4357"/>
    <cellStyle name="Euro 10 8" xfId="36"/>
    <cellStyle name="Euro 10 8 2" xfId="4358"/>
    <cellStyle name="Euro 10 9" xfId="37"/>
    <cellStyle name="Euro 10 9 2" xfId="4359"/>
    <cellStyle name="Euro 11" xfId="38"/>
    <cellStyle name="Euro 11 10" xfId="39"/>
    <cellStyle name="Euro 11 10 2" xfId="4360"/>
    <cellStyle name="Euro 11 11" xfId="40"/>
    <cellStyle name="Euro 11 11 2" xfId="4361"/>
    <cellStyle name="Euro 11 12" xfId="41"/>
    <cellStyle name="Euro 11 12 2" xfId="4362"/>
    <cellStyle name="Euro 11 13" xfId="42"/>
    <cellStyle name="Euro 11 13 2" xfId="4363"/>
    <cellStyle name="Euro 11 14" xfId="43"/>
    <cellStyle name="Euro 11 14 2" xfId="4364"/>
    <cellStyle name="Euro 11 15" xfId="44"/>
    <cellStyle name="Euro 11 15 2" xfId="4365"/>
    <cellStyle name="Euro 11 16" xfId="45"/>
    <cellStyle name="Euro 11 16 2" xfId="4366"/>
    <cellStyle name="Euro 11 17" xfId="46"/>
    <cellStyle name="Euro 11 17 2" xfId="4367"/>
    <cellStyle name="Euro 11 18" xfId="47"/>
    <cellStyle name="Euro 11 18 2" xfId="4368"/>
    <cellStyle name="Euro 11 19" xfId="48"/>
    <cellStyle name="Euro 11 19 2" xfId="4369"/>
    <cellStyle name="Euro 11 2" xfId="49"/>
    <cellStyle name="Euro 11 2 2" xfId="4370"/>
    <cellStyle name="Euro 11 20" xfId="50"/>
    <cellStyle name="Euro 11 20 2" xfId="4371"/>
    <cellStyle name="Euro 11 21" xfId="51"/>
    <cellStyle name="Euro 11 21 2" xfId="4372"/>
    <cellStyle name="Euro 11 22" xfId="52"/>
    <cellStyle name="Euro 11 22 2" xfId="4373"/>
    <cellStyle name="Euro 11 23" xfId="53"/>
    <cellStyle name="Euro 11 23 2" xfId="4374"/>
    <cellStyle name="Euro 11 24" xfId="54"/>
    <cellStyle name="Euro 11 24 2" xfId="4375"/>
    <cellStyle name="Euro 11 25" xfId="55"/>
    <cellStyle name="Euro 11 25 2" xfId="4376"/>
    <cellStyle name="Euro 11 26" xfId="56"/>
    <cellStyle name="Euro 11 26 2" xfId="4377"/>
    <cellStyle name="Euro 11 27" xfId="57"/>
    <cellStyle name="Euro 11 27 2" xfId="4378"/>
    <cellStyle name="Euro 11 28" xfId="58"/>
    <cellStyle name="Euro 11 28 2" xfId="4379"/>
    <cellStyle name="Euro 11 29" xfId="4380"/>
    <cellStyle name="Euro 11 3" xfId="59"/>
    <cellStyle name="Euro 11 3 2" xfId="4381"/>
    <cellStyle name="Euro 11 4" xfId="60"/>
    <cellStyle name="Euro 11 4 2" xfId="4382"/>
    <cellStyle name="Euro 11 5" xfId="61"/>
    <cellStyle name="Euro 11 5 2" xfId="4383"/>
    <cellStyle name="Euro 11 6" xfId="62"/>
    <cellStyle name="Euro 11 6 2" xfId="4384"/>
    <cellStyle name="Euro 11 7" xfId="63"/>
    <cellStyle name="Euro 11 7 2" xfId="4385"/>
    <cellStyle name="Euro 11 8" xfId="64"/>
    <cellStyle name="Euro 11 8 2" xfId="4386"/>
    <cellStyle name="Euro 11 9" xfId="65"/>
    <cellStyle name="Euro 11 9 2" xfId="4387"/>
    <cellStyle name="Euro 12" xfId="66"/>
    <cellStyle name="Euro 12 10" xfId="67"/>
    <cellStyle name="Euro 12 10 2" xfId="4388"/>
    <cellStyle name="Euro 12 11" xfId="68"/>
    <cellStyle name="Euro 12 11 2" xfId="4389"/>
    <cellStyle name="Euro 12 12" xfId="69"/>
    <cellStyle name="Euro 12 12 2" xfId="4390"/>
    <cellStyle name="Euro 12 13" xfId="70"/>
    <cellStyle name="Euro 12 13 2" xfId="4391"/>
    <cellStyle name="Euro 12 14" xfId="71"/>
    <cellStyle name="Euro 12 14 2" xfId="4392"/>
    <cellStyle name="Euro 12 15" xfId="72"/>
    <cellStyle name="Euro 12 15 2" xfId="4393"/>
    <cellStyle name="Euro 12 16" xfId="73"/>
    <cellStyle name="Euro 12 16 2" xfId="4394"/>
    <cellStyle name="Euro 12 17" xfId="74"/>
    <cellStyle name="Euro 12 17 2" xfId="4395"/>
    <cellStyle name="Euro 12 18" xfId="75"/>
    <cellStyle name="Euro 12 18 2" xfId="4396"/>
    <cellStyle name="Euro 12 19" xfId="76"/>
    <cellStyle name="Euro 12 19 2" xfId="4397"/>
    <cellStyle name="Euro 12 2" xfId="77"/>
    <cellStyle name="Euro 12 2 2" xfId="4398"/>
    <cellStyle name="Euro 12 20" xfId="78"/>
    <cellStyle name="Euro 12 20 2" xfId="4399"/>
    <cellStyle name="Euro 12 21" xfId="79"/>
    <cellStyle name="Euro 12 21 2" xfId="4400"/>
    <cellStyle name="Euro 12 22" xfId="80"/>
    <cellStyle name="Euro 12 22 2" xfId="4401"/>
    <cellStyle name="Euro 12 23" xfId="81"/>
    <cellStyle name="Euro 12 23 2" xfId="4402"/>
    <cellStyle name="Euro 12 24" xfId="82"/>
    <cellStyle name="Euro 12 24 2" xfId="4403"/>
    <cellStyle name="Euro 12 25" xfId="83"/>
    <cellStyle name="Euro 12 25 2" xfId="4404"/>
    <cellStyle name="Euro 12 26" xfId="84"/>
    <cellStyle name="Euro 12 26 2" xfId="4405"/>
    <cellStyle name="Euro 12 27" xfId="85"/>
    <cellStyle name="Euro 12 27 2" xfId="4406"/>
    <cellStyle name="Euro 12 28" xfId="86"/>
    <cellStyle name="Euro 12 28 2" xfId="4407"/>
    <cellStyle name="Euro 12 29" xfId="4408"/>
    <cellStyle name="Euro 12 3" xfId="87"/>
    <cellStyle name="Euro 12 3 2" xfId="4409"/>
    <cellStyle name="Euro 12 4" xfId="88"/>
    <cellStyle name="Euro 12 4 2" xfId="4410"/>
    <cellStyle name="Euro 12 5" xfId="89"/>
    <cellStyle name="Euro 12 5 2" xfId="4411"/>
    <cellStyle name="Euro 12 6" xfId="90"/>
    <cellStyle name="Euro 12 6 2" xfId="4412"/>
    <cellStyle name="Euro 12 7" xfId="91"/>
    <cellStyle name="Euro 12 7 2" xfId="4413"/>
    <cellStyle name="Euro 12 8" xfId="92"/>
    <cellStyle name="Euro 12 8 2" xfId="4414"/>
    <cellStyle name="Euro 12 9" xfId="93"/>
    <cellStyle name="Euro 12 9 2" xfId="4415"/>
    <cellStyle name="Euro 13" xfId="94"/>
    <cellStyle name="Euro 13 10" xfId="95"/>
    <cellStyle name="Euro 13 10 2" xfId="4416"/>
    <cellStyle name="Euro 13 11" xfId="96"/>
    <cellStyle name="Euro 13 11 2" xfId="4417"/>
    <cellStyle name="Euro 13 12" xfId="97"/>
    <cellStyle name="Euro 13 12 2" xfId="4418"/>
    <cellStyle name="Euro 13 13" xfId="98"/>
    <cellStyle name="Euro 13 13 2" xfId="4419"/>
    <cellStyle name="Euro 13 14" xfId="99"/>
    <cellStyle name="Euro 13 14 2" xfId="4420"/>
    <cellStyle name="Euro 13 15" xfId="100"/>
    <cellStyle name="Euro 13 15 2" xfId="4421"/>
    <cellStyle name="Euro 13 16" xfId="101"/>
    <cellStyle name="Euro 13 16 2" xfId="4422"/>
    <cellStyle name="Euro 13 17" xfId="102"/>
    <cellStyle name="Euro 13 17 2" xfId="4423"/>
    <cellStyle name="Euro 13 18" xfId="103"/>
    <cellStyle name="Euro 13 18 2" xfId="4424"/>
    <cellStyle name="Euro 13 19" xfId="104"/>
    <cellStyle name="Euro 13 19 2" xfId="4425"/>
    <cellStyle name="Euro 13 2" xfId="105"/>
    <cellStyle name="Euro 13 2 2" xfId="4426"/>
    <cellStyle name="Euro 13 20" xfId="106"/>
    <cellStyle name="Euro 13 20 2" xfId="4427"/>
    <cellStyle name="Euro 13 21" xfId="107"/>
    <cellStyle name="Euro 13 21 2" xfId="4428"/>
    <cellStyle name="Euro 13 22" xfId="108"/>
    <cellStyle name="Euro 13 22 2" xfId="4429"/>
    <cellStyle name="Euro 13 23" xfId="109"/>
    <cellStyle name="Euro 13 23 2" xfId="4430"/>
    <cellStyle name="Euro 13 24" xfId="110"/>
    <cellStyle name="Euro 13 24 2" xfId="4431"/>
    <cellStyle name="Euro 13 25" xfId="111"/>
    <cellStyle name="Euro 13 25 2" xfId="4432"/>
    <cellStyle name="Euro 13 26" xfId="112"/>
    <cellStyle name="Euro 13 26 2" xfId="4433"/>
    <cellStyle name="Euro 13 27" xfId="113"/>
    <cellStyle name="Euro 13 27 2" xfId="4434"/>
    <cellStyle name="Euro 13 28" xfId="114"/>
    <cellStyle name="Euro 13 28 2" xfId="4435"/>
    <cellStyle name="Euro 13 29" xfId="4436"/>
    <cellStyle name="Euro 13 3" xfId="115"/>
    <cellStyle name="Euro 13 3 2" xfId="4437"/>
    <cellStyle name="Euro 13 4" xfId="116"/>
    <cellStyle name="Euro 13 4 2" xfId="4438"/>
    <cellStyle name="Euro 13 5" xfId="117"/>
    <cellStyle name="Euro 13 5 2" xfId="4439"/>
    <cellStyle name="Euro 13 6" xfId="118"/>
    <cellStyle name="Euro 13 6 2" xfId="4440"/>
    <cellStyle name="Euro 13 7" xfId="119"/>
    <cellStyle name="Euro 13 7 2" xfId="4441"/>
    <cellStyle name="Euro 13 8" xfId="120"/>
    <cellStyle name="Euro 13 8 2" xfId="4442"/>
    <cellStyle name="Euro 13 9" xfId="121"/>
    <cellStyle name="Euro 13 9 2" xfId="4443"/>
    <cellStyle name="Euro 14" xfId="122"/>
    <cellStyle name="Euro 14 10" xfId="123"/>
    <cellStyle name="Euro 14 10 2" xfId="4444"/>
    <cellStyle name="Euro 14 11" xfId="124"/>
    <cellStyle name="Euro 14 11 2" xfId="4445"/>
    <cellStyle name="Euro 14 12" xfId="125"/>
    <cellStyle name="Euro 14 12 2" xfId="4446"/>
    <cellStyle name="Euro 14 13" xfId="126"/>
    <cellStyle name="Euro 14 13 2" xfId="4447"/>
    <cellStyle name="Euro 14 14" xfId="127"/>
    <cellStyle name="Euro 14 14 2" xfId="4448"/>
    <cellStyle name="Euro 14 15" xfId="128"/>
    <cellStyle name="Euro 14 15 2" xfId="4449"/>
    <cellStyle name="Euro 14 16" xfId="129"/>
    <cellStyle name="Euro 14 16 2" xfId="4450"/>
    <cellStyle name="Euro 14 17" xfId="130"/>
    <cellStyle name="Euro 14 17 2" xfId="4451"/>
    <cellStyle name="Euro 14 18" xfId="131"/>
    <cellStyle name="Euro 14 18 2" xfId="4452"/>
    <cellStyle name="Euro 14 19" xfId="132"/>
    <cellStyle name="Euro 14 19 2" xfId="4453"/>
    <cellStyle name="Euro 14 2" xfId="133"/>
    <cellStyle name="Euro 14 2 2" xfId="4454"/>
    <cellStyle name="Euro 14 20" xfId="134"/>
    <cellStyle name="Euro 14 20 2" xfId="4455"/>
    <cellStyle name="Euro 14 21" xfId="135"/>
    <cellStyle name="Euro 14 21 2" xfId="4456"/>
    <cellStyle name="Euro 14 22" xfId="136"/>
    <cellStyle name="Euro 14 22 2" xfId="4457"/>
    <cellStyle name="Euro 14 23" xfId="137"/>
    <cellStyle name="Euro 14 23 2" xfId="4458"/>
    <cellStyle name="Euro 14 24" xfId="138"/>
    <cellStyle name="Euro 14 24 2" xfId="4459"/>
    <cellStyle name="Euro 14 25" xfId="139"/>
    <cellStyle name="Euro 14 25 2" xfId="4460"/>
    <cellStyle name="Euro 14 26" xfId="140"/>
    <cellStyle name="Euro 14 26 2" xfId="4461"/>
    <cellStyle name="Euro 14 27" xfId="141"/>
    <cellStyle name="Euro 14 27 2" xfId="4462"/>
    <cellStyle name="Euro 14 28" xfId="142"/>
    <cellStyle name="Euro 14 28 2" xfId="4463"/>
    <cellStyle name="Euro 14 29" xfId="4464"/>
    <cellStyle name="Euro 14 3" xfId="143"/>
    <cellStyle name="Euro 14 3 2" xfId="4465"/>
    <cellStyle name="Euro 14 4" xfId="144"/>
    <cellStyle name="Euro 14 4 2" xfId="4466"/>
    <cellStyle name="Euro 14 5" xfId="145"/>
    <cellStyle name="Euro 14 5 2" xfId="4467"/>
    <cellStyle name="Euro 14 6" xfId="146"/>
    <cellStyle name="Euro 14 6 2" xfId="4468"/>
    <cellStyle name="Euro 14 7" xfId="147"/>
    <cellStyle name="Euro 14 7 2" xfId="4469"/>
    <cellStyle name="Euro 14 8" xfId="148"/>
    <cellStyle name="Euro 14 8 2" xfId="4470"/>
    <cellStyle name="Euro 14 9" xfId="149"/>
    <cellStyle name="Euro 14 9 2" xfId="4471"/>
    <cellStyle name="Euro 15" xfId="150"/>
    <cellStyle name="Euro 15 10" xfId="151"/>
    <cellStyle name="Euro 15 10 2" xfId="4472"/>
    <cellStyle name="Euro 15 11" xfId="152"/>
    <cellStyle name="Euro 15 11 2" xfId="4473"/>
    <cellStyle name="Euro 15 12" xfId="153"/>
    <cellStyle name="Euro 15 12 2" xfId="4474"/>
    <cellStyle name="Euro 15 13" xfId="154"/>
    <cellStyle name="Euro 15 13 2" xfId="4475"/>
    <cellStyle name="Euro 15 14" xfId="155"/>
    <cellStyle name="Euro 15 14 2" xfId="4476"/>
    <cellStyle name="Euro 15 15" xfId="156"/>
    <cellStyle name="Euro 15 15 2" xfId="4477"/>
    <cellStyle name="Euro 15 16" xfId="157"/>
    <cellStyle name="Euro 15 16 2" xfId="4478"/>
    <cellStyle name="Euro 15 17" xfId="158"/>
    <cellStyle name="Euro 15 17 2" xfId="4479"/>
    <cellStyle name="Euro 15 18" xfId="159"/>
    <cellStyle name="Euro 15 18 2" xfId="4480"/>
    <cellStyle name="Euro 15 19" xfId="160"/>
    <cellStyle name="Euro 15 19 2" xfId="4481"/>
    <cellStyle name="Euro 15 2" xfId="161"/>
    <cellStyle name="Euro 15 2 2" xfId="4482"/>
    <cellStyle name="Euro 15 20" xfId="162"/>
    <cellStyle name="Euro 15 20 2" xfId="4483"/>
    <cellStyle name="Euro 15 21" xfId="163"/>
    <cellStyle name="Euro 15 21 2" xfId="4484"/>
    <cellStyle name="Euro 15 22" xfId="164"/>
    <cellStyle name="Euro 15 22 2" xfId="4485"/>
    <cellStyle name="Euro 15 23" xfId="165"/>
    <cellStyle name="Euro 15 23 2" xfId="4486"/>
    <cellStyle name="Euro 15 24" xfId="166"/>
    <cellStyle name="Euro 15 24 2" xfId="4487"/>
    <cellStyle name="Euro 15 25" xfId="167"/>
    <cellStyle name="Euro 15 25 2" xfId="4488"/>
    <cellStyle name="Euro 15 26" xfId="168"/>
    <cellStyle name="Euro 15 26 2" xfId="4489"/>
    <cellStyle name="Euro 15 27" xfId="169"/>
    <cellStyle name="Euro 15 27 2" xfId="4490"/>
    <cellStyle name="Euro 15 28" xfId="170"/>
    <cellStyle name="Euro 15 28 2" xfId="4491"/>
    <cellStyle name="Euro 15 29" xfId="4492"/>
    <cellStyle name="Euro 15 3" xfId="171"/>
    <cellStyle name="Euro 15 3 2" xfId="4493"/>
    <cellStyle name="Euro 15 4" xfId="172"/>
    <cellStyle name="Euro 15 4 2" xfId="4494"/>
    <cellStyle name="Euro 15 5" xfId="173"/>
    <cellStyle name="Euro 15 5 2" xfId="4495"/>
    <cellStyle name="Euro 15 6" xfId="174"/>
    <cellStyle name="Euro 15 6 2" xfId="4496"/>
    <cellStyle name="Euro 15 7" xfId="175"/>
    <cellStyle name="Euro 15 7 2" xfId="4497"/>
    <cellStyle name="Euro 15 8" xfId="176"/>
    <cellStyle name="Euro 15 8 2" xfId="4498"/>
    <cellStyle name="Euro 15 9" xfId="177"/>
    <cellStyle name="Euro 15 9 2" xfId="4499"/>
    <cellStyle name="Euro 16" xfId="178"/>
    <cellStyle name="Euro 16 10" xfId="179"/>
    <cellStyle name="Euro 16 10 2" xfId="4500"/>
    <cellStyle name="Euro 16 11" xfId="180"/>
    <cellStyle name="Euro 16 11 2" xfId="4501"/>
    <cellStyle name="Euro 16 12" xfId="181"/>
    <cellStyle name="Euro 16 12 2" xfId="4502"/>
    <cellStyle name="Euro 16 13" xfId="182"/>
    <cellStyle name="Euro 16 13 2" xfId="4503"/>
    <cellStyle name="Euro 16 14" xfId="183"/>
    <cellStyle name="Euro 16 14 2" xfId="4504"/>
    <cellStyle name="Euro 16 15" xfId="184"/>
    <cellStyle name="Euro 16 15 2" xfId="4505"/>
    <cellStyle name="Euro 16 16" xfId="185"/>
    <cellStyle name="Euro 16 16 2" xfId="4506"/>
    <cellStyle name="Euro 16 17" xfId="186"/>
    <cellStyle name="Euro 16 17 2" xfId="4507"/>
    <cellStyle name="Euro 16 18" xfId="187"/>
    <cellStyle name="Euro 16 18 2" xfId="4508"/>
    <cellStyle name="Euro 16 19" xfId="188"/>
    <cellStyle name="Euro 16 19 2" xfId="4509"/>
    <cellStyle name="Euro 16 2" xfId="189"/>
    <cellStyle name="Euro 16 2 2" xfId="4510"/>
    <cellStyle name="Euro 16 20" xfId="190"/>
    <cellStyle name="Euro 16 20 2" xfId="4511"/>
    <cellStyle name="Euro 16 21" xfId="191"/>
    <cellStyle name="Euro 16 21 2" xfId="4512"/>
    <cellStyle name="Euro 16 22" xfId="192"/>
    <cellStyle name="Euro 16 22 2" xfId="4513"/>
    <cellStyle name="Euro 16 23" xfId="193"/>
    <cellStyle name="Euro 16 23 2" xfId="4514"/>
    <cellStyle name="Euro 16 24" xfId="194"/>
    <cellStyle name="Euro 16 24 2" xfId="4515"/>
    <cellStyle name="Euro 16 25" xfId="195"/>
    <cellStyle name="Euro 16 25 2" xfId="4516"/>
    <cellStyle name="Euro 16 26" xfId="196"/>
    <cellStyle name="Euro 16 26 2" xfId="4517"/>
    <cellStyle name="Euro 16 27" xfId="197"/>
    <cellStyle name="Euro 16 27 2" xfId="4518"/>
    <cellStyle name="Euro 16 28" xfId="198"/>
    <cellStyle name="Euro 16 28 2" xfId="4519"/>
    <cellStyle name="Euro 16 29" xfId="4520"/>
    <cellStyle name="Euro 16 3" xfId="199"/>
    <cellStyle name="Euro 16 3 2" xfId="4521"/>
    <cellStyle name="Euro 16 4" xfId="200"/>
    <cellStyle name="Euro 16 4 2" xfId="4522"/>
    <cellStyle name="Euro 16 5" xfId="201"/>
    <cellStyle name="Euro 16 5 2" xfId="4523"/>
    <cellStyle name="Euro 16 6" xfId="202"/>
    <cellStyle name="Euro 16 6 2" xfId="4524"/>
    <cellStyle name="Euro 16 7" xfId="203"/>
    <cellStyle name="Euro 16 7 2" xfId="4525"/>
    <cellStyle name="Euro 16 8" xfId="204"/>
    <cellStyle name="Euro 16 8 2" xfId="4526"/>
    <cellStyle name="Euro 16 9" xfId="205"/>
    <cellStyle name="Euro 16 9 2" xfId="4527"/>
    <cellStyle name="Euro 17" xfId="206"/>
    <cellStyle name="Euro 17 10" xfId="207"/>
    <cellStyle name="Euro 17 10 2" xfId="4528"/>
    <cellStyle name="Euro 17 11" xfId="208"/>
    <cellStyle name="Euro 17 11 2" xfId="4529"/>
    <cellStyle name="Euro 17 12" xfId="209"/>
    <cellStyle name="Euro 17 12 2" xfId="4530"/>
    <cellStyle name="Euro 17 13" xfId="210"/>
    <cellStyle name="Euro 17 13 2" xfId="4531"/>
    <cellStyle name="Euro 17 14" xfId="211"/>
    <cellStyle name="Euro 17 14 2" xfId="4532"/>
    <cellStyle name="Euro 17 15" xfId="212"/>
    <cellStyle name="Euro 17 15 2" xfId="4533"/>
    <cellStyle name="Euro 17 16" xfId="213"/>
    <cellStyle name="Euro 17 16 2" xfId="4534"/>
    <cellStyle name="Euro 17 17" xfId="214"/>
    <cellStyle name="Euro 17 17 2" xfId="4535"/>
    <cellStyle name="Euro 17 18" xfId="215"/>
    <cellStyle name="Euro 17 18 2" xfId="4536"/>
    <cellStyle name="Euro 17 19" xfId="216"/>
    <cellStyle name="Euro 17 19 2" xfId="4537"/>
    <cellStyle name="Euro 17 2" xfId="217"/>
    <cellStyle name="Euro 17 2 2" xfId="4538"/>
    <cellStyle name="Euro 17 20" xfId="218"/>
    <cellStyle name="Euro 17 20 2" xfId="4539"/>
    <cellStyle name="Euro 17 21" xfId="219"/>
    <cellStyle name="Euro 17 21 2" xfId="4540"/>
    <cellStyle name="Euro 17 22" xfId="220"/>
    <cellStyle name="Euro 17 22 2" xfId="4541"/>
    <cellStyle name="Euro 17 23" xfId="221"/>
    <cellStyle name="Euro 17 23 2" xfId="4542"/>
    <cellStyle name="Euro 17 24" xfId="222"/>
    <cellStyle name="Euro 17 24 2" xfId="4543"/>
    <cellStyle name="Euro 17 25" xfId="223"/>
    <cellStyle name="Euro 17 25 2" xfId="4544"/>
    <cellStyle name="Euro 17 26" xfId="224"/>
    <cellStyle name="Euro 17 26 2" xfId="4545"/>
    <cellStyle name="Euro 17 27" xfId="225"/>
    <cellStyle name="Euro 17 27 2" xfId="4546"/>
    <cellStyle name="Euro 17 28" xfId="226"/>
    <cellStyle name="Euro 17 28 2" xfId="4547"/>
    <cellStyle name="Euro 17 29" xfId="4548"/>
    <cellStyle name="Euro 17 3" xfId="227"/>
    <cellStyle name="Euro 17 3 2" xfId="4549"/>
    <cellStyle name="Euro 17 4" xfId="228"/>
    <cellStyle name="Euro 17 4 2" xfId="4550"/>
    <cellStyle name="Euro 17 5" xfId="229"/>
    <cellStyle name="Euro 17 5 2" xfId="4551"/>
    <cellStyle name="Euro 17 6" xfId="230"/>
    <cellStyle name="Euro 17 6 2" xfId="4552"/>
    <cellStyle name="Euro 17 7" xfId="231"/>
    <cellStyle name="Euro 17 7 2" xfId="4553"/>
    <cellStyle name="Euro 17 8" xfId="232"/>
    <cellStyle name="Euro 17 8 2" xfId="4554"/>
    <cellStyle name="Euro 17 9" xfId="233"/>
    <cellStyle name="Euro 17 9 2" xfId="4555"/>
    <cellStyle name="Euro 18" xfId="234"/>
    <cellStyle name="Euro 18 10" xfId="235"/>
    <cellStyle name="Euro 18 10 2" xfId="4556"/>
    <cellStyle name="Euro 18 11" xfId="236"/>
    <cellStyle name="Euro 18 11 2" xfId="4557"/>
    <cellStyle name="Euro 18 12" xfId="237"/>
    <cellStyle name="Euro 18 12 2" xfId="4558"/>
    <cellStyle name="Euro 18 13" xfId="238"/>
    <cellStyle name="Euro 18 13 2" xfId="4559"/>
    <cellStyle name="Euro 18 14" xfId="239"/>
    <cellStyle name="Euro 18 14 2" xfId="4560"/>
    <cellStyle name="Euro 18 15" xfId="240"/>
    <cellStyle name="Euro 18 15 2" xfId="4561"/>
    <cellStyle name="Euro 18 16" xfId="241"/>
    <cellStyle name="Euro 18 16 2" xfId="4562"/>
    <cellStyle name="Euro 18 17" xfId="242"/>
    <cellStyle name="Euro 18 17 2" xfId="4563"/>
    <cellStyle name="Euro 18 18" xfId="243"/>
    <cellStyle name="Euro 18 18 2" xfId="4564"/>
    <cellStyle name="Euro 18 19" xfId="244"/>
    <cellStyle name="Euro 18 19 2" xfId="4565"/>
    <cellStyle name="Euro 18 2" xfId="245"/>
    <cellStyle name="Euro 18 2 2" xfId="4566"/>
    <cellStyle name="Euro 18 20" xfId="246"/>
    <cellStyle name="Euro 18 20 2" xfId="4567"/>
    <cellStyle name="Euro 18 21" xfId="247"/>
    <cellStyle name="Euro 18 21 2" xfId="4568"/>
    <cellStyle name="Euro 18 22" xfId="248"/>
    <cellStyle name="Euro 18 22 2" xfId="4569"/>
    <cellStyle name="Euro 18 23" xfId="249"/>
    <cellStyle name="Euro 18 23 2" xfId="4570"/>
    <cellStyle name="Euro 18 24" xfId="250"/>
    <cellStyle name="Euro 18 24 2" xfId="4571"/>
    <cellStyle name="Euro 18 25" xfId="251"/>
    <cellStyle name="Euro 18 25 2" xfId="4572"/>
    <cellStyle name="Euro 18 26" xfId="252"/>
    <cellStyle name="Euro 18 26 2" xfId="4573"/>
    <cellStyle name="Euro 18 27" xfId="253"/>
    <cellStyle name="Euro 18 27 2" xfId="4574"/>
    <cellStyle name="Euro 18 28" xfId="254"/>
    <cellStyle name="Euro 18 28 2" xfId="4575"/>
    <cellStyle name="Euro 18 29" xfId="4576"/>
    <cellStyle name="Euro 18 3" xfId="255"/>
    <cellStyle name="Euro 18 3 2" xfId="4577"/>
    <cellStyle name="Euro 18 4" xfId="256"/>
    <cellStyle name="Euro 18 4 2" xfId="4578"/>
    <cellStyle name="Euro 18 5" xfId="257"/>
    <cellStyle name="Euro 18 5 2" xfId="4579"/>
    <cellStyle name="Euro 18 6" xfId="258"/>
    <cellStyle name="Euro 18 6 2" xfId="4580"/>
    <cellStyle name="Euro 18 7" xfId="259"/>
    <cellStyle name="Euro 18 7 2" xfId="4581"/>
    <cellStyle name="Euro 18 8" xfId="260"/>
    <cellStyle name="Euro 18 8 2" xfId="4582"/>
    <cellStyle name="Euro 18 9" xfId="261"/>
    <cellStyle name="Euro 18 9 2" xfId="4583"/>
    <cellStyle name="Euro 19" xfId="262"/>
    <cellStyle name="Euro 19 10" xfId="263"/>
    <cellStyle name="Euro 19 10 2" xfId="4584"/>
    <cellStyle name="Euro 19 11" xfId="264"/>
    <cellStyle name="Euro 19 11 2" xfId="4585"/>
    <cellStyle name="Euro 19 12" xfId="265"/>
    <cellStyle name="Euro 19 12 2" xfId="4586"/>
    <cellStyle name="Euro 19 13" xfId="266"/>
    <cellStyle name="Euro 19 13 2" xfId="4587"/>
    <cellStyle name="Euro 19 14" xfId="267"/>
    <cellStyle name="Euro 19 14 2" xfId="4588"/>
    <cellStyle name="Euro 19 15" xfId="268"/>
    <cellStyle name="Euro 19 15 2" xfId="4589"/>
    <cellStyle name="Euro 19 16" xfId="269"/>
    <cellStyle name="Euro 19 16 2" xfId="4590"/>
    <cellStyle name="Euro 19 17" xfId="270"/>
    <cellStyle name="Euro 19 17 2" xfId="4591"/>
    <cellStyle name="Euro 19 18" xfId="271"/>
    <cellStyle name="Euro 19 18 2" xfId="4592"/>
    <cellStyle name="Euro 19 19" xfId="272"/>
    <cellStyle name="Euro 19 19 2" xfId="4593"/>
    <cellStyle name="Euro 19 2" xfId="273"/>
    <cellStyle name="Euro 19 2 2" xfId="4594"/>
    <cellStyle name="Euro 19 20" xfId="274"/>
    <cellStyle name="Euro 19 20 2" xfId="4595"/>
    <cellStyle name="Euro 19 21" xfId="275"/>
    <cellStyle name="Euro 19 21 2" xfId="4596"/>
    <cellStyle name="Euro 19 22" xfId="276"/>
    <cellStyle name="Euro 19 22 2" xfId="4597"/>
    <cellStyle name="Euro 19 23" xfId="277"/>
    <cellStyle name="Euro 19 23 2" xfId="4598"/>
    <cellStyle name="Euro 19 24" xfId="278"/>
    <cellStyle name="Euro 19 24 2" xfId="4599"/>
    <cellStyle name="Euro 19 25" xfId="279"/>
    <cellStyle name="Euro 19 25 2" xfId="4600"/>
    <cellStyle name="Euro 19 26" xfId="280"/>
    <cellStyle name="Euro 19 26 2" xfId="4601"/>
    <cellStyle name="Euro 19 27" xfId="281"/>
    <cellStyle name="Euro 19 27 2" xfId="4602"/>
    <cellStyle name="Euro 19 28" xfId="282"/>
    <cellStyle name="Euro 19 28 2" xfId="4603"/>
    <cellStyle name="Euro 19 29" xfId="4604"/>
    <cellStyle name="Euro 19 3" xfId="283"/>
    <cellStyle name="Euro 19 3 2" xfId="4605"/>
    <cellStyle name="Euro 19 4" xfId="284"/>
    <cellStyle name="Euro 19 4 2" xfId="4606"/>
    <cellStyle name="Euro 19 5" xfId="285"/>
    <cellStyle name="Euro 19 5 2" xfId="4607"/>
    <cellStyle name="Euro 19 6" xfId="286"/>
    <cellStyle name="Euro 19 6 2" xfId="4608"/>
    <cellStyle name="Euro 19 7" xfId="287"/>
    <cellStyle name="Euro 19 7 2" xfId="4609"/>
    <cellStyle name="Euro 19 8" xfId="288"/>
    <cellStyle name="Euro 19 8 2" xfId="4610"/>
    <cellStyle name="Euro 19 9" xfId="289"/>
    <cellStyle name="Euro 19 9 2" xfId="4611"/>
    <cellStyle name="Euro 2" xfId="290"/>
    <cellStyle name="Euro 2 10" xfId="291"/>
    <cellStyle name="Euro 2 10 2" xfId="4612"/>
    <cellStyle name="Euro 2 11" xfId="292"/>
    <cellStyle name="Euro 2 11 2" xfId="4613"/>
    <cellStyle name="Euro 2 12" xfId="293"/>
    <cellStyle name="Euro 2 12 2" xfId="4614"/>
    <cellStyle name="Euro 2 13" xfId="294"/>
    <cellStyle name="Euro 2 13 2" xfId="4615"/>
    <cellStyle name="Euro 2 14" xfId="295"/>
    <cellStyle name="Euro 2 14 2" xfId="4616"/>
    <cellStyle name="Euro 2 15" xfId="296"/>
    <cellStyle name="Euro 2 15 2" xfId="4617"/>
    <cellStyle name="Euro 2 16" xfId="297"/>
    <cellStyle name="Euro 2 16 2" xfId="4618"/>
    <cellStyle name="Euro 2 17" xfId="298"/>
    <cellStyle name="Euro 2 17 2" xfId="4619"/>
    <cellStyle name="Euro 2 18" xfId="299"/>
    <cellStyle name="Euro 2 18 2" xfId="4620"/>
    <cellStyle name="Euro 2 19" xfId="300"/>
    <cellStyle name="Euro 2 19 2" xfId="4621"/>
    <cellStyle name="Euro 2 2" xfId="301"/>
    <cellStyle name="Euro 2 2 2" xfId="4102"/>
    <cellStyle name="Euro 2 20" xfId="302"/>
    <cellStyle name="Euro 2 20 2" xfId="4622"/>
    <cellStyle name="Euro 2 21" xfId="303"/>
    <cellStyle name="Euro 2 21 2" xfId="4623"/>
    <cellStyle name="Euro 2 22" xfId="304"/>
    <cellStyle name="Euro 2 22 2" xfId="4624"/>
    <cellStyle name="Euro 2 23" xfId="305"/>
    <cellStyle name="Euro 2 23 2" xfId="4625"/>
    <cellStyle name="Euro 2 24" xfId="306"/>
    <cellStyle name="Euro 2 24 2" xfId="4626"/>
    <cellStyle name="Euro 2 25" xfId="307"/>
    <cellStyle name="Euro 2 25 2" xfId="4627"/>
    <cellStyle name="Euro 2 26" xfId="308"/>
    <cellStyle name="Euro 2 26 2" xfId="4628"/>
    <cellStyle name="Euro 2 27" xfId="309"/>
    <cellStyle name="Euro 2 27 2" xfId="4629"/>
    <cellStyle name="Euro 2 28" xfId="310"/>
    <cellStyle name="Euro 2 28 2" xfId="4630"/>
    <cellStyle name="Euro 2 29" xfId="4027"/>
    <cellStyle name="Euro 2 3" xfId="311"/>
    <cellStyle name="Euro 2 3 2" xfId="4061"/>
    <cellStyle name="Euro 2 4" xfId="312"/>
    <cellStyle name="Euro 2 4 2" xfId="4631"/>
    <cellStyle name="Euro 2 5" xfId="313"/>
    <cellStyle name="Euro 2 5 2" xfId="4632"/>
    <cellStyle name="Euro 2 6" xfId="314"/>
    <cellStyle name="Euro 2 6 2" xfId="4633"/>
    <cellStyle name="Euro 2 7" xfId="315"/>
    <cellStyle name="Euro 2 7 2" xfId="4634"/>
    <cellStyle name="Euro 2 8" xfId="316"/>
    <cellStyle name="Euro 2 8 2" xfId="4635"/>
    <cellStyle name="Euro 2 9" xfId="317"/>
    <cellStyle name="Euro 2 9 2" xfId="4636"/>
    <cellStyle name="Euro 20" xfId="318"/>
    <cellStyle name="Euro 20 10" xfId="319"/>
    <cellStyle name="Euro 20 10 2" xfId="4637"/>
    <cellStyle name="Euro 20 11" xfId="320"/>
    <cellStyle name="Euro 20 11 2" xfId="4638"/>
    <cellStyle name="Euro 20 12" xfId="321"/>
    <cellStyle name="Euro 20 12 2" xfId="4639"/>
    <cellStyle name="Euro 20 13" xfId="322"/>
    <cellStyle name="Euro 20 13 2" xfId="4640"/>
    <cellStyle name="Euro 20 14" xfId="323"/>
    <cellStyle name="Euro 20 14 2" xfId="4641"/>
    <cellStyle name="Euro 20 15" xfId="324"/>
    <cellStyle name="Euro 20 15 2" xfId="4642"/>
    <cellStyle name="Euro 20 16" xfId="325"/>
    <cellStyle name="Euro 20 16 2" xfId="4643"/>
    <cellStyle name="Euro 20 17" xfId="326"/>
    <cellStyle name="Euro 20 17 2" xfId="4644"/>
    <cellStyle name="Euro 20 18" xfId="327"/>
    <cellStyle name="Euro 20 18 2" xfId="4645"/>
    <cellStyle name="Euro 20 19" xfId="328"/>
    <cellStyle name="Euro 20 19 2" xfId="4646"/>
    <cellStyle name="Euro 20 2" xfId="329"/>
    <cellStyle name="Euro 20 2 2" xfId="4647"/>
    <cellStyle name="Euro 20 20" xfId="330"/>
    <cellStyle name="Euro 20 20 2" xfId="4648"/>
    <cellStyle name="Euro 20 21" xfId="331"/>
    <cellStyle name="Euro 20 21 2" xfId="4649"/>
    <cellStyle name="Euro 20 22" xfId="332"/>
    <cellStyle name="Euro 20 22 2" xfId="4650"/>
    <cellStyle name="Euro 20 23" xfId="333"/>
    <cellStyle name="Euro 20 23 2" xfId="4651"/>
    <cellStyle name="Euro 20 24" xfId="334"/>
    <cellStyle name="Euro 20 24 2" xfId="4652"/>
    <cellStyle name="Euro 20 25" xfId="335"/>
    <cellStyle name="Euro 20 25 2" xfId="4653"/>
    <cellStyle name="Euro 20 26" xfId="336"/>
    <cellStyle name="Euro 20 26 2" xfId="4654"/>
    <cellStyle name="Euro 20 27" xfId="337"/>
    <cellStyle name="Euro 20 27 2" xfId="4655"/>
    <cellStyle name="Euro 20 28" xfId="338"/>
    <cellStyle name="Euro 20 28 2" xfId="4656"/>
    <cellStyle name="Euro 20 29" xfId="4657"/>
    <cellStyle name="Euro 20 3" xfId="339"/>
    <cellStyle name="Euro 20 3 2" xfId="4658"/>
    <cellStyle name="Euro 20 4" xfId="340"/>
    <cellStyle name="Euro 20 4 2" xfId="4659"/>
    <cellStyle name="Euro 20 5" xfId="341"/>
    <cellStyle name="Euro 20 5 2" xfId="4660"/>
    <cellStyle name="Euro 20 6" xfId="342"/>
    <cellStyle name="Euro 20 6 2" xfId="4661"/>
    <cellStyle name="Euro 20 7" xfId="343"/>
    <cellStyle name="Euro 20 7 2" xfId="4662"/>
    <cellStyle name="Euro 20 8" xfId="344"/>
    <cellStyle name="Euro 20 8 2" xfId="4663"/>
    <cellStyle name="Euro 20 9" xfId="345"/>
    <cellStyle name="Euro 20 9 2" xfId="4664"/>
    <cellStyle name="Euro 21" xfId="346"/>
    <cellStyle name="Euro 21 10" xfId="347"/>
    <cellStyle name="Euro 21 10 2" xfId="4665"/>
    <cellStyle name="Euro 21 11" xfId="348"/>
    <cellStyle name="Euro 21 11 2" xfId="4666"/>
    <cellStyle name="Euro 21 12" xfId="349"/>
    <cellStyle name="Euro 21 12 2" xfId="4667"/>
    <cellStyle name="Euro 21 13" xfId="350"/>
    <cellStyle name="Euro 21 13 2" xfId="4668"/>
    <cellStyle name="Euro 21 14" xfId="351"/>
    <cellStyle name="Euro 21 14 2" xfId="4669"/>
    <cellStyle name="Euro 21 15" xfId="352"/>
    <cellStyle name="Euro 21 15 2" xfId="4670"/>
    <cellStyle name="Euro 21 16" xfId="353"/>
    <cellStyle name="Euro 21 16 2" xfId="4671"/>
    <cellStyle name="Euro 21 17" xfId="354"/>
    <cellStyle name="Euro 21 17 2" xfId="4672"/>
    <cellStyle name="Euro 21 18" xfId="355"/>
    <cellStyle name="Euro 21 18 2" xfId="4673"/>
    <cellStyle name="Euro 21 19" xfId="356"/>
    <cellStyle name="Euro 21 19 2" xfId="4674"/>
    <cellStyle name="Euro 21 2" xfId="357"/>
    <cellStyle name="Euro 21 2 2" xfId="4675"/>
    <cellStyle name="Euro 21 20" xfId="358"/>
    <cellStyle name="Euro 21 20 2" xfId="4676"/>
    <cellStyle name="Euro 21 21" xfId="359"/>
    <cellStyle name="Euro 21 21 2" xfId="4677"/>
    <cellStyle name="Euro 21 22" xfId="360"/>
    <cellStyle name="Euro 21 22 2" xfId="4678"/>
    <cellStyle name="Euro 21 23" xfId="361"/>
    <cellStyle name="Euro 21 23 2" xfId="4679"/>
    <cellStyle name="Euro 21 24" xfId="362"/>
    <cellStyle name="Euro 21 24 2" xfId="4680"/>
    <cellStyle name="Euro 21 25" xfId="363"/>
    <cellStyle name="Euro 21 25 2" xfId="4681"/>
    <cellStyle name="Euro 21 26" xfId="364"/>
    <cellStyle name="Euro 21 26 2" xfId="4682"/>
    <cellStyle name="Euro 21 27" xfId="365"/>
    <cellStyle name="Euro 21 27 2" xfId="4683"/>
    <cellStyle name="Euro 21 28" xfId="366"/>
    <cellStyle name="Euro 21 28 2" xfId="4684"/>
    <cellStyle name="Euro 21 29" xfId="4685"/>
    <cellStyle name="Euro 21 3" xfId="367"/>
    <cellStyle name="Euro 21 3 2" xfId="4686"/>
    <cellStyle name="Euro 21 4" xfId="368"/>
    <cellStyle name="Euro 21 4 2" xfId="4687"/>
    <cellStyle name="Euro 21 5" xfId="369"/>
    <cellStyle name="Euro 21 5 2" xfId="4688"/>
    <cellStyle name="Euro 21 6" xfId="370"/>
    <cellStyle name="Euro 21 6 2" xfId="4689"/>
    <cellStyle name="Euro 21 7" xfId="371"/>
    <cellStyle name="Euro 21 7 2" xfId="4690"/>
    <cellStyle name="Euro 21 8" xfId="372"/>
    <cellStyle name="Euro 21 8 2" xfId="4691"/>
    <cellStyle name="Euro 21 9" xfId="373"/>
    <cellStyle name="Euro 21 9 2" xfId="4692"/>
    <cellStyle name="Euro 22" xfId="374"/>
    <cellStyle name="Euro 22 10" xfId="375"/>
    <cellStyle name="Euro 22 10 2" xfId="4693"/>
    <cellStyle name="Euro 22 11" xfId="376"/>
    <cellStyle name="Euro 22 11 2" xfId="4694"/>
    <cellStyle name="Euro 22 12" xfId="377"/>
    <cellStyle name="Euro 22 12 2" xfId="4695"/>
    <cellStyle name="Euro 22 13" xfId="378"/>
    <cellStyle name="Euro 22 13 2" xfId="4696"/>
    <cellStyle name="Euro 22 14" xfId="379"/>
    <cellStyle name="Euro 22 14 2" xfId="4697"/>
    <cellStyle name="Euro 22 15" xfId="380"/>
    <cellStyle name="Euro 22 15 2" xfId="4698"/>
    <cellStyle name="Euro 22 16" xfId="381"/>
    <cellStyle name="Euro 22 16 2" xfId="4699"/>
    <cellStyle name="Euro 22 17" xfId="382"/>
    <cellStyle name="Euro 22 17 2" xfId="4700"/>
    <cellStyle name="Euro 22 18" xfId="383"/>
    <cellStyle name="Euro 22 18 2" xfId="4701"/>
    <cellStyle name="Euro 22 19" xfId="384"/>
    <cellStyle name="Euro 22 19 2" xfId="4702"/>
    <cellStyle name="Euro 22 2" xfId="385"/>
    <cellStyle name="Euro 22 2 2" xfId="4703"/>
    <cellStyle name="Euro 22 20" xfId="386"/>
    <cellStyle name="Euro 22 20 2" xfId="4704"/>
    <cellStyle name="Euro 22 21" xfId="387"/>
    <cellStyle name="Euro 22 21 2" xfId="4705"/>
    <cellStyle name="Euro 22 22" xfId="388"/>
    <cellStyle name="Euro 22 22 2" xfId="4706"/>
    <cellStyle name="Euro 22 23" xfId="389"/>
    <cellStyle name="Euro 22 23 2" xfId="4707"/>
    <cellStyle name="Euro 22 24" xfId="390"/>
    <cellStyle name="Euro 22 24 2" xfId="4708"/>
    <cellStyle name="Euro 22 25" xfId="391"/>
    <cellStyle name="Euro 22 25 2" xfId="4709"/>
    <cellStyle name="Euro 22 26" xfId="392"/>
    <cellStyle name="Euro 22 26 2" xfId="4710"/>
    <cellStyle name="Euro 22 27" xfId="393"/>
    <cellStyle name="Euro 22 27 2" xfId="4711"/>
    <cellStyle name="Euro 22 28" xfId="394"/>
    <cellStyle name="Euro 22 28 2" xfId="4712"/>
    <cellStyle name="Euro 22 29" xfId="4713"/>
    <cellStyle name="Euro 22 3" xfId="395"/>
    <cellStyle name="Euro 22 3 2" xfId="4714"/>
    <cellStyle name="Euro 22 4" xfId="396"/>
    <cellStyle name="Euro 22 4 2" xfId="4715"/>
    <cellStyle name="Euro 22 5" xfId="397"/>
    <cellStyle name="Euro 22 5 2" xfId="4716"/>
    <cellStyle name="Euro 22 6" xfId="398"/>
    <cellStyle name="Euro 22 6 2" xfId="4717"/>
    <cellStyle name="Euro 22 7" xfId="399"/>
    <cellStyle name="Euro 22 7 2" xfId="4718"/>
    <cellStyle name="Euro 22 8" xfId="400"/>
    <cellStyle name="Euro 22 8 2" xfId="4719"/>
    <cellStyle name="Euro 22 9" xfId="401"/>
    <cellStyle name="Euro 22 9 2" xfId="4720"/>
    <cellStyle name="Euro 23" xfId="402"/>
    <cellStyle name="Euro 23 10" xfId="403"/>
    <cellStyle name="Euro 23 10 2" xfId="4721"/>
    <cellStyle name="Euro 23 11" xfId="404"/>
    <cellStyle name="Euro 23 11 2" xfId="4722"/>
    <cellStyle name="Euro 23 12" xfId="405"/>
    <cellStyle name="Euro 23 12 2" xfId="4723"/>
    <cellStyle name="Euro 23 13" xfId="406"/>
    <cellStyle name="Euro 23 13 2" xfId="4724"/>
    <cellStyle name="Euro 23 14" xfId="407"/>
    <cellStyle name="Euro 23 14 2" xfId="4725"/>
    <cellStyle name="Euro 23 15" xfId="408"/>
    <cellStyle name="Euro 23 15 2" xfId="4726"/>
    <cellStyle name="Euro 23 16" xfId="409"/>
    <cellStyle name="Euro 23 16 2" xfId="4727"/>
    <cellStyle name="Euro 23 17" xfId="410"/>
    <cellStyle name="Euro 23 17 2" xfId="4728"/>
    <cellStyle name="Euro 23 18" xfId="411"/>
    <cellStyle name="Euro 23 18 2" xfId="4729"/>
    <cellStyle name="Euro 23 19" xfId="412"/>
    <cellStyle name="Euro 23 19 2" xfId="4730"/>
    <cellStyle name="Euro 23 2" xfId="413"/>
    <cellStyle name="Euro 23 2 2" xfId="4731"/>
    <cellStyle name="Euro 23 20" xfId="414"/>
    <cellStyle name="Euro 23 20 2" xfId="4732"/>
    <cellStyle name="Euro 23 21" xfId="415"/>
    <cellStyle name="Euro 23 21 2" xfId="4733"/>
    <cellStyle name="Euro 23 22" xfId="416"/>
    <cellStyle name="Euro 23 22 2" xfId="4734"/>
    <cellStyle name="Euro 23 23" xfId="417"/>
    <cellStyle name="Euro 23 23 2" xfId="4735"/>
    <cellStyle name="Euro 23 24" xfId="418"/>
    <cellStyle name="Euro 23 24 2" xfId="4736"/>
    <cellStyle name="Euro 23 25" xfId="419"/>
    <cellStyle name="Euro 23 25 2" xfId="4737"/>
    <cellStyle name="Euro 23 26" xfId="420"/>
    <cellStyle name="Euro 23 26 2" xfId="4738"/>
    <cellStyle name="Euro 23 27" xfId="421"/>
    <cellStyle name="Euro 23 27 2" xfId="4739"/>
    <cellStyle name="Euro 23 28" xfId="422"/>
    <cellStyle name="Euro 23 28 2" xfId="4740"/>
    <cellStyle name="Euro 23 29" xfId="4741"/>
    <cellStyle name="Euro 23 3" xfId="423"/>
    <cellStyle name="Euro 23 3 2" xfId="4742"/>
    <cellStyle name="Euro 23 4" xfId="424"/>
    <cellStyle name="Euro 23 4 2" xfId="4743"/>
    <cellStyle name="Euro 23 5" xfId="425"/>
    <cellStyle name="Euro 23 5 2" xfId="4744"/>
    <cellStyle name="Euro 23 6" xfId="426"/>
    <cellStyle name="Euro 23 6 2" xfId="4745"/>
    <cellStyle name="Euro 23 7" xfId="427"/>
    <cellStyle name="Euro 23 7 2" xfId="4746"/>
    <cellStyle name="Euro 23 8" xfId="428"/>
    <cellStyle name="Euro 23 8 2" xfId="4747"/>
    <cellStyle name="Euro 23 9" xfId="429"/>
    <cellStyle name="Euro 23 9 2" xfId="4748"/>
    <cellStyle name="Euro 24" xfId="430"/>
    <cellStyle name="Euro 24 10" xfId="431"/>
    <cellStyle name="Euro 24 10 2" xfId="4749"/>
    <cellStyle name="Euro 24 11" xfId="432"/>
    <cellStyle name="Euro 24 11 2" xfId="4750"/>
    <cellStyle name="Euro 24 12" xfId="433"/>
    <cellStyle name="Euro 24 12 2" xfId="4751"/>
    <cellStyle name="Euro 24 13" xfId="434"/>
    <cellStyle name="Euro 24 13 2" xfId="4752"/>
    <cellStyle name="Euro 24 14" xfId="435"/>
    <cellStyle name="Euro 24 14 2" xfId="4753"/>
    <cellStyle name="Euro 24 15" xfId="436"/>
    <cellStyle name="Euro 24 15 2" xfId="4754"/>
    <cellStyle name="Euro 24 16" xfId="437"/>
    <cellStyle name="Euro 24 16 2" xfId="4755"/>
    <cellStyle name="Euro 24 17" xfId="438"/>
    <cellStyle name="Euro 24 17 2" xfId="4756"/>
    <cellStyle name="Euro 24 18" xfId="439"/>
    <cellStyle name="Euro 24 18 2" xfId="4757"/>
    <cellStyle name="Euro 24 19" xfId="440"/>
    <cellStyle name="Euro 24 19 2" xfId="4758"/>
    <cellStyle name="Euro 24 2" xfId="441"/>
    <cellStyle name="Euro 24 2 2" xfId="4759"/>
    <cellStyle name="Euro 24 20" xfId="442"/>
    <cellStyle name="Euro 24 20 2" xfId="4760"/>
    <cellStyle name="Euro 24 21" xfId="443"/>
    <cellStyle name="Euro 24 21 2" xfId="4761"/>
    <cellStyle name="Euro 24 22" xfId="444"/>
    <cellStyle name="Euro 24 22 2" xfId="4762"/>
    <cellStyle name="Euro 24 23" xfId="445"/>
    <cellStyle name="Euro 24 23 2" xfId="4763"/>
    <cellStyle name="Euro 24 24" xfId="446"/>
    <cellStyle name="Euro 24 24 2" xfId="4764"/>
    <cellStyle name="Euro 24 25" xfId="447"/>
    <cellStyle name="Euro 24 25 2" xfId="4765"/>
    <cellStyle name="Euro 24 26" xfId="448"/>
    <cellStyle name="Euro 24 26 2" xfId="4766"/>
    <cellStyle name="Euro 24 27" xfId="449"/>
    <cellStyle name="Euro 24 27 2" xfId="4767"/>
    <cellStyle name="Euro 24 28" xfId="450"/>
    <cellStyle name="Euro 24 28 2" xfId="4768"/>
    <cellStyle name="Euro 24 29" xfId="4769"/>
    <cellStyle name="Euro 24 3" xfId="451"/>
    <cellStyle name="Euro 24 3 2" xfId="4770"/>
    <cellStyle name="Euro 24 4" xfId="452"/>
    <cellStyle name="Euro 24 4 2" xfId="4771"/>
    <cellStyle name="Euro 24 5" xfId="453"/>
    <cellStyle name="Euro 24 5 2" xfId="4772"/>
    <cellStyle name="Euro 24 6" xfId="454"/>
    <cellStyle name="Euro 24 6 2" xfId="4773"/>
    <cellStyle name="Euro 24 7" xfId="455"/>
    <cellStyle name="Euro 24 7 2" xfId="4774"/>
    <cellStyle name="Euro 24 8" xfId="456"/>
    <cellStyle name="Euro 24 8 2" xfId="4775"/>
    <cellStyle name="Euro 24 9" xfId="457"/>
    <cellStyle name="Euro 24 9 2" xfId="4776"/>
    <cellStyle name="Euro 25" xfId="458"/>
    <cellStyle name="Euro 25 10" xfId="459"/>
    <cellStyle name="Euro 25 10 2" xfId="4777"/>
    <cellStyle name="Euro 25 11" xfId="460"/>
    <cellStyle name="Euro 25 11 2" xfId="4778"/>
    <cellStyle name="Euro 25 12" xfId="461"/>
    <cellStyle name="Euro 25 12 2" xfId="4779"/>
    <cellStyle name="Euro 25 13" xfId="462"/>
    <cellStyle name="Euro 25 13 2" xfId="4780"/>
    <cellStyle name="Euro 25 14" xfId="463"/>
    <cellStyle name="Euro 25 14 2" xfId="4781"/>
    <cellStyle name="Euro 25 15" xfId="464"/>
    <cellStyle name="Euro 25 15 2" xfId="4782"/>
    <cellStyle name="Euro 25 16" xfId="465"/>
    <cellStyle name="Euro 25 16 2" xfId="4783"/>
    <cellStyle name="Euro 25 17" xfId="466"/>
    <cellStyle name="Euro 25 17 2" xfId="4784"/>
    <cellStyle name="Euro 25 18" xfId="467"/>
    <cellStyle name="Euro 25 18 2" xfId="4785"/>
    <cellStyle name="Euro 25 19" xfId="468"/>
    <cellStyle name="Euro 25 19 2" xfId="4786"/>
    <cellStyle name="Euro 25 2" xfId="469"/>
    <cellStyle name="Euro 25 2 2" xfId="4787"/>
    <cellStyle name="Euro 25 20" xfId="470"/>
    <cellStyle name="Euro 25 20 2" xfId="4788"/>
    <cellStyle name="Euro 25 21" xfId="471"/>
    <cellStyle name="Euro 25 21 2" xfId="4789"/>
    <cellStyle name="Euro 25 22" xfId="472"/>
    <cellStyle name="Euro 25 22 2" xfId="4790"/>
    <cellStyle name="Euro 25 23" xfId="473"/>
    <cellStyle name="Euro 25 23 2" xfId="4791"/>
    <cellStyle name="Euro 25 24" xfId="474"/>
    <cellStyle name="Euro 25 24 2" xfId="4792"/>
    <cellStyle name="Euro 25 25" xfId="475"/>
    <cellStyle name="Euro 25 25 2" xfId="4793"/>
    <cellStyle name="Euro 25 26" xfId="476"/>
    <cellStyle name="Euro 25 26 2" xfId="4794"/>
    <cellStyle name="Euro 25 27" xfId="477"/>
    <cellStyle name="Euro 25 27 2" xfId="4795"/>
    <cellStyle name="Euro 25 28" xfId="478"/>
    <cellStyle name="Euro 25 28 2" xfId="4796"/>
    <cellStyle name="Euro 25 29" xfId="4797"/>
    <cellStyle name="Euro 25 3" xfId="479"/>
    <cellStyle name="Euro 25 3 2" xfId="4798"/>
    <cellStyle name="Euro 25 4" xfId="480"/>
    <cellStyle name="Euro 25 4 2" xfId="4799"/>
    <cellStyle name="Euro 25 5" xfId="481"/>
    <cellStyle name="Euro 25 5 2" xfId="4800"/>
    <cellStyle name="Euro 25 6" xfId="482"/>
    <cellStyle name="Euro 25 6 2" xfId="4801"/>
    <cellStyle name="Euro 25 7" xfId="483"/>
    <cellStyle name="Euro 25 7 2" xfId="4802"/>
    <cellStyle name="Euro 25 8" xfId="484"/>
    <cellStyle name="Euro 25 8 2" xfId="4803"/>
    <cellStyle name="Euro 25 9" xfId="485"/>
    <cellStyle name="Euro 25 9 2" xfId="4804"/>
    <cellStyle name="Euro 26" xfId="486"/>
    <cellStyle name="Euro 26 10" xfId="487"/>
    <cellStyle name="Euro 26 10 2" xfId="4805"/>
    <cellStyle name="Euro 26 11" xfId="488"/>
    <cellStyle name="Euro 26 11 2" xfId="4806"/>
    <cellStyle name="Euro 26 12" xfId="489"/>
    <cellStyle name="Euro 26 12 2" xfId="4807"/>
    <cellStyle name="Euro 26 13" xfId="490"/>
    <cellStyle name="Euro 26 13 2" xfId="4808"/>
    <cellStyle name="Euro 26 14" xfId="491"/>
    <cellStyle name="Euro 26 14 2" xfId="4809"/>
    <cellStyle name="Euro 26 15" xfId="492"/>
    <cellStyle name="Euro 26 15 2" xfId="4810"/>
    <cellStyle name="Euro 26 16" xfId="493"/>
    <cellStyle name="Euro 26 16 2" xfId="4811"/>
    <cellStyle name="Euro 26 17" xfId="494"/>
    <cellStyle name="Euro 26 17 2" xfId="4812"/>
    <cellStyle name="Euro 26 18" xfId="495"/>
    <cellStyle name="Euro 26 18 2" xfId="4813"/>
    <cellStyle name="Euro 26 19" xfId="496"/>
    <cellStyle name="Euro 26 19 2" xfId="4814"/>
    <cellStyle name="Euro 26 2" xfId="497"/>
    <cellStyle name="Euro 26 2 2" xfId="4815"/>
    <cellStyle name="Euro 26 20" xfId="498"/>
    <cellStyle name="Euro 26 20 2" xfId="4816"/>
    <cellStyle name="Euro 26 21" xfId="499"/>
    <cellStyle name="Euro 26 21 2" xfId="4817"/>
    <cellStyle name="Euro 26 22" xfId="500"/>
    <cellStyle name="Euro 26 22 2" xfId="4818"/>
    <cellStyle name="Euro 26 23" xfId="501"/>
    <cellStyle name="Euro 26 23 2" xfId="4819"/>
    <cellStyle name="Euro 26 24" xfId="502"/>
    <cellStyle name="Euro 26 24 2" xfId="4820"/>
    <cellStyle name="Euro 26 25" xfId="503"/>
    <cellStyle name="Euro 26 25 2" xfId="4821"/>
    <cellStyle name="Euro 26 26" xfId="504"/>
    <cellStyle name="Euro 26 26 2" xfId="4822"/>
    <cellStyle name="Euro 26 27" xfId="505"/>
    <cellStyle name="Euro 26 27 2" xfId="4823"/>
    <cellStyle name="Euro 26 28" xfId="506"/>
    <cellStyle name="Euro 26 28 2" xfId="4824"/>
    <cellStyle name="Euro 26 29" xfId="4825"/>
    <cellStyle name="Euro 26 3" xfId="507"/>
    <cellStyle name="Euro 26 3 2" xfId="4826"/>
    <cellStyle name="Euro 26 4" xfId="508"/>
    <cellStyle name="Euro 26 4 2" xfId="4827"/>
    <cellStyle name="Euro 26 5" xfId="509"/>
    <cellStyle name="Euro 26 5 2" xfId="4828"/>
    <cellStyle name="Euro 26 6" xfId="510"/>
    <cellStyle name="Euro 26 6 2" xfId="4829"/>
    <cellStyle name="Euro 26 7" xfId="511"/>
    <cellStyle name="Euro 26 7 2" xfId="4830"/>
    <cellStyle name="Euro 26 8" xfId="512"/>
    <cellStyle name="Euro 26 8 2" xfId="4831"/>
    <cellStyle name="Euro 26 9" xfId="513"/>
    <cellStyle name="Euro 26 9 2" xfId="4832"/>
    <cellStyle name="Euro 27" xfId="514"/>
    <cellStyle name="Euro 27 10" xfId="515"/>
    <cellStyle name="Euro 27 10 2" xfId="4833"/>
    <cellStyle name="Euro 27 11" xfId="516"/>
    <cellStyle name="Euro 27 11 2" xfId="4834"/>
    <cellStyle name="Euro 27 12" xfId="517"/>
    <cellStyle name="Euro 27 12 2" xfId="4835"/>
    <cellStyle name="Euro 27 13" xfId="518"/>
    <cellStyle name="Euro 27 13 2" xfId="4836"/>
    <cellStyle name="Euro 27 14" xfId="519"/>
    <cellStyle name="Euro 27 14 2" xfId="4837"/>
    <cellStyle name="Euro 27 15" xfId="520"/>
    <cellStyle name="Euro 27 15 2" xfId="4838"/>
    <cellStyle name="Euro 27 16" xfId="521"/>
    <cellStyle name="Euro 27 16 2" xfId="4839"/>
    <cellStyle name="Euro 27 17" xfId="522"/>
    <cellStyle name="Euro 27 17 2" xfId="4840"/>
    <cellStyle name="Euro 27 18" xfId="523"/>
    <cellStyle name="Euro 27 18 2" xfId="4841"/>
    <cellStyle name="Euro 27 19" xfId="524"/>
    <cellStyle name="Euro 27 19 2" xfId="4842"/>
    <cellStyle name="Euro 27 2" xfId="525"/>
    <cellStyle name="Euro 27 2 2" xfId="4843"/>
    <cellStyle name="Euro 27 20" xfId="526"/>
    <cellStyle name="Euro 27 20 2" xfId="4844"/>
    <cellStyle name="Euro 27 21" xfId="527"/>
    <cellStyle name="Euro 27 21 2" xfId="4845"/>
    <cellStyle name="Euro 27 22" xfId="528"/>
    <cellStyle name="Euro 27 22 2" xfId="4846"/>
    <cellStyle name="Euro 27 23" xfId="529"/>
    <cellStyle name="Euro 27 23 2" xfId="4847"/>
    <cellStyle name="Euro 27 24" xfId="530"/>
    <cellStyle name="Euro 27 24 2" xfId="4848"/>
    <cellStyle name="Euro 27 25" xfId="531"/>
    <cellStyle name="Euro 27 25 2" xfId="4849"/>
    <cellStyle name="Euro 27 26" xfId="532"/>
    <cellStyle name="Euro 27 26 2" xfId="4850"/>
    <cellStyle name="Euro 27 27" xfId="533"/>
    <cellStyle name="Euro 27 27 2" xfId="4851"/>
    <cellStyle name="Euro 27 28" xfId="534"/>
    <cellStyle name="Euro 27 28 2" xfId="4852"/>
    <cellStyle name="Euro 27 29" xfId="4853"/>
    <cellStyle name="Euro 27 3" xfId="535"/>
    <cellStyle name="Euro 27 3 2" xfId="4854"/>
    <cellStyle name="Euro 27 4" xfId="536"/>
    <cellStyle name="Euro 27 4 2" xfId="4855"/>
    <cellStyle name="Euro 27 5" xfId="537"/>
    <cellStyle name="Euro 27 5 2" xfId="4856"/>
    <cellStyle name="Euro 27 6" xfId="538"/>
    <cellStyle name="Euro 27 6 2" xfId="4857"/>
    <cellStyle name="Euro 27 7" xfId="539"/>
    <cellStyle name="Euro 27 7 2" xfId="4858"/>
    <cellStyle name="Euro 27 8" xfId="540"/>
    <cellStyle name="Euro 27 8 2" xfId="4859"/>
    <cellStyle name="Euro 27 9" xfId="541"/>
    <cellStyle name="Euro 27 9 2" xfId="4860"/>
    <cellStyle name="Euro 28" xfId="542"/>
    <cellStyle name="Euro 28 10" xfId="543"/>
    <cellStyle name="Euro 28 10 2" xfId="4861"/>
    <cellStyle name="Euro 28 11" xfId="544"/>
    <cellStyle name="Euro 28 11 2" xfId="4862"/>
    <cellStyle name="Euro 28 12" xfId="545"/>
    <cellStyle name="Euro 28 12 2" xfId="4863"/>
    <cellStyle name="Euro 28 13" xfId="546"/>
    <cellStyle name="Euro 28 13 2" xfId="4864"/>
    <cellStyle name="Euro 28 14" xfId="547"/>
    <cellStyle name="Euro 28 14 2" xfId="4865"/>
    <cellStyle name="Euro 28 15" xfId="548"/>
    <cellStyle name="Euro 28 15 2" xfId="4866"/>
    <cellStyle name="Euro 28 16" xfId="549"/>
    <cellStyle name="Euro 28 16 2" xfId="4867"/>
    <cellStyle name="Euro 28 17" xfId="550"/>
    <cellStyle name="Euro 28 17 2" xfId="4868"/>
    <cellStyle name="Euro 28 18" xfId="551"/>
    <cellStyle name="Euro 28 18 2" xfId="4869"/>
    <cellStyle name="Euro 28 19" xfId="552"/>
    <cellStyle name="Euro 28 19 2" xfId="4870"/>
    <cellStyle name="Euro 28 2" xfId="553"/>
    <cellStyle name="Euro 28 2 2" xfId="4871"/>
    <cellStyle name="Euro 28 20" xfId="554"/>
    <cellStyle name="Euro 28 20 2" xfId="4872"/>
    <cellStyle name="Euro 28 21" xfId="555"/>
    <cellStyle name="Euro 28 21 2" xfId="4873"/>
    <cellStyle name="Euro 28 22" xfId="556"/>
    <cellStyle name="Euro 28 22 2" xfId="4874"/>
    <cellStyle name="Euro 28 23" xfId="557"/>
    <cellStyle name="Euro 28 23 2" xfId="4875"/>
    <cellStyle name="Euro 28 24" xfId="558"/>
    <cellStyle name="Euro 28 24 2" xfId="4876"/>
    <cellStyle name="Euro 28 25" xfId="559"/>
    <cellStyle name="Euro 28 25 2" xfId="4877"/>
    <cellStyle name="Euro 28 26" xfId="560"/>
    <cellStyle name="Euro 28 26 2" xfId="4878"/>
    <cellStyle name="Euro 28 27" xfId="561"/>
    <cellStyle name="Euro 28 27 2" xfId="4879"/>
    <cellStyle name="Euro 28 28" xfId="562"/>
    <cellStyle name="Euro 28 28 2" xfId="4880"/>
    <cellStyle name="Euro 28 29" xfId="4881"/>
    <cellStyle name="Euro 28 3" xfId="563"/>
    <cellStyle name="Euro 28 3 2" xfId="4882"/>
    <cellStyle name="Euro 28 4" xfId="564"/>
    <cellStyle name="Euro 28 4 2" xfId="4883"/>
    <cellStyle name="Euro 28 5" xfId="565"/>
    <cellStyle name="Euro 28 5 2" xfId="4884"/>
    <cellStyle name="Euro 28 6" xfId="566"/>
    <cellStyle name="Euro 28 6 2" xfId="4885"/>
    <cellStyle name="Euro 28 7" xfId="567"/>
    <cellStyle name="Euro 28 7 2" xfId="4886"/>
    <cellStyle name="Euro 28 8" xfId="568"/>
    <cellStyle name="Euro 28 8 2" xfId="4887"/>
    <cellStyle name="Euro 28 9" xfId="569"/>
    <cellStyle name="Euro 28 9 2" xfId="4888"/>
    <cellStyle name="Euro 29" xfId="570"/>
    <cellStyle name="Euro 29 10" xfId="571"/>
    <cellStyle name="Euro 29 10 2" xfId="4889"/>
    <cellStyle name="Euro 29 11" xfId="572"/>
    <cellStyle name="Euro 29 11 2" xfId="4890"/>
    <cellStyle name="Euro 29 12" xfId="573"/>
    <cellStyle name="Euro 29 12 2" xfId="4891"/>
    <cellStyle name="Euro 29 13" xfId="574"/>
    <cellStyle name="Euro 29 13 2" xfId="4892"/>
    <cellStyle name="Euro 29 14" xfId="575"/>
    <cellStyle name="Euro 29 14 2" xfId="4893"/>
    <cellStyle name="Euro 29 15" xfId="576"/>
    <cellStyle name="Euro 29 15 2" xfId="4894"/>
    <cellStyle name="Euro 29 16" xfId="577"/>
    <cellStyle name="Euro 29 16 2" xfId="4895"/>
    <cellStyle name="Euro 29 17" xfId="578"/>
    <cellStyle name="Euro 29 17 2" xfId="4896"/>
    <cellStyle name="Euro 29 18" xfId="579"/>
    <cellStyle name="Euro 29 18 2" xfId="4897"/>
    <cellStyle name="Euro 29 19" xfId="580"/>
    <cellStyle name="Euro 29 19 2" xfId="4898"/>
    <cellStyle name="Euro 29 2" xfId="581"/>
    <cellStyle name="Euro 29 2 2" xfId="4899"/>
    <cellStyle name="Euro 29 20" xfId="582"/>
    <cellStyle name="Euro 29 20 2" xfId="4900"/>
    <cellStyle name="Euro 29 21" xfId="583"/>
    <cellStyle name="Euro 29 21 2" xfId="4901"/>
    <cellStyle name="Euro 29 22" xfId="584"/>
    <cellStyle name="Euro 29 22 2" xfId="4902"/>
    <cellStyle name="Euro 29 23" xfId="585"/>
    <cellStyle name="Euro 29 23 2" xfId="4903"/>
    <cellStyle name="Euro 29 24" xfId="586"/>
    <cellStyle name="Euro 29 24 2" xfId="4904"/>
    <cellStyle name="Euro 29 25" xfId="587"/>
    <cellStyle name="Euro 29 25 2" xfId="4905"/>
    <cellStyle name="Euro 29 26" xfId="588"/>
    <cellStyle name="Euro 29 26 2" xfId="4906"/>
    <cellStyle name="Euro 29 27" xfId="589"/>
    <cellStyle name="Euro 29 27 2" xfId="4907"/>
    <cellStyle name="Euro 29 28" xfId="590"/>
    <cellStyle name="Euro 29 28 2" xfId="4908"/>
    <cellStyle name="Euro 29 29" xfId="4909"/>
    <cellStyle name="Euro 29 3" xfId="591"/>
    <cellStyle name="Euro 29 3 2" xfId="4910"/>
    <cellStyle name="Euro 29 4" xfId="592"/>
    <cellStyle name="Euro 29 4 2" xfId="4911"/>
    <cellStyle name="Euro 29 5" xfId="593"/>
    <cellStyle name="Euro 29 5 2" xfId="4912"/>
    <cellStyle name="Euro 29 6" xfId="594"/>
    <cellStyle name="Euro 29 6 2" xfId="4913"/>
    <cellStyle name="Euro 29 7" xfId="595"/>
    <cellStyle name="Euro 29 7 2" xfId="4914"/>
    <cellStyle name="Euro 29 8" xfId="596"/>
    <cellStyle name="Euro 29 8 2" xfId="4915"/>
    <cellStyle name="Euro 29 9" xfId="597"/>
    <cellStyle name="Euro 29 9 2" xfId="4916"/>
    <cellStyle name="Euro 3" xfId="598"/>
    <cellStyle name="Euro 3 10" xfId="599"/>
    <cellStyle name="Euro 3 10 2" xfId="4917"/>
    <cellStyle name="Euro 3 11" xfId="600"/>
    <cellStyle name="Euro 3 11 2" xfId="4918"/>
    <cellStyle name="Euro 3 12" xfId="601"/>
    <cellStyle name="Euro 3 12 2" xfId="4919"/>
    <cellStyle name="Euro 3 13" xfId="602"/>
    <cellStyle name="Euro 3 13 2" xfId="4920"/>
    <cellStyle name="Euro 3 14" xfId="603"/>
    <cellStyle name="Euro 3 14 2" xfId="4921"/>
    <cellStyle name="Euro 3 15" xfId="604"/>
    <cellStyle name="Euro 3 15 2" xfId="4922"/>
    <cellStyle name="Euro 3 16" xfId="605"/>
    <cellStyle name="Euro 3 16 2" xfId="4923"/>
    <cellStyle name="Euro 3 17" xfId="606"/>
    <cellStyle name="Euro 3 17 2" xfId="4924"/>
    <cellStyle name="Euro 3 18" xfId="607"/>
    <cellStyle name="Euro 3 18 2" xfId="4925"/>
    <cellStyle name="Euro 3 19" xfId="608"/>
    <cellStyle name="Euro 3 19 2" xfId="4926"/>
    <cellStyle name="Euro 3 2" xfId="609"/>
    <cellStyle name="Euro 3 2 2" xfId="4103"/>
    <cellStyle name="Euro 3 20" xfId="610"/>
    <cellStyle name="Euro 3 20 2" xfId="4927"/>
    <cellStyle name="Euro 3 21" xfId="611"/>
    <cellStyle name="Euro 3 21 2" xfId="4928"/>
    <cellStyle name="Euro 3 22" xfId="612"/>
    <cellStyle name="Euro 3 22 2" xfId="4929"/>
    <cellStyle name="Euro 3 23" xfId="613"/>
    <cellStyle name="Euro 3 23 2" xfId="4930"/>
    <cellStyle name="Euro 3 24" xfId="614"/>
    <cellStyle name="Euro 3 24 2" xfId="4931"/>
    <cellStyle name="Euro 3 25" xfId="615"/>
    <cellStyle name="Euro 3 25 2" xfId="4932"/>
    <cellStyle name="Euro 3 26" xfId="616"/>
    <cellStyle name="Euro 3 26 2" xfId="4933"/>
    <cellStyle name="Euro 3 27" xfId="617"/>
    <cellStyle name="Euro 3 27 2" xfId="4934"/>
    <cellStyle name="Euro 3 28" xfId="618"/>
    <cellStyle name="Euro 3 28 2" xfId="4935"/>
    <cellStyle name="Euro 3 29" xfId="4028"/>
    <cellStyle name="Euro 3 3" xfId="619"/>
    <cellStyle name="Euro 3 3 2" xfId="4062"/>
    <cellStyle name="Euro 3 4" xfId="620"/>
    <cellStyle name="Euro 3 4 2" xfId="4936"/>
    <cellStyle name="Euro 3 5" xfId="621"/>
    <cellStyle name="Euro 3 5 2" xfId="4937"/>
    <cellStyle name="Euro 3 6" xfId="622"/>
    <cellStyle name="Euro 3 6 2" xfId="4938"/>
    <cellStyle name="Euro 3 7" xfId="623"/>
    <cellStyle name="Euro 3 7 2" xfId="4939"/>
    <cellStyle name="Euro 3 8" xfId="624"/>
    <cellStyle name="Euro 3 8 2" xfId="4940"/>
    <cellStyle name="Euro 3 9" xfId="625"/>
    <cellStyle name="Euro 3 9 2" xfId="4941"/>
    <cellStyle name="Euro 4" xfId="626"/>
    <cellStyle name="Euro 4 10" xfId="627"/>
    <cellStyle name="Euro 4 10 2" xfId="4942"/>
    <cellStyle name="Euro 4 11" xfId="628"/>
    <cellStyle name="Euro 4 11 2" xfId="4943"/>
    <cellStyle name="Euro 4 12" xfId="629"/>
    <cellStyle name="Euro 4 12 2" xfId="4944"/>
    <cellStyle name="Euro 4 13" xfId="630"/>
    <cellStyle name="Euro 4 13 2" xfId="4945"/>
    <cellStyle name="Euro 4 14" xfId="631"/>
    <cellStyle name="Euro 4 14 2" xfId="4946"/>
    <cellStyle name="Euro 4 15" xfId="632"/>
    <cellStyle name="Euro 4 15 2" xfId="4947"/>
    <cellStyle name="Euro 4 16" xfId="633"/>
    <cellStyle name="Euro 4 16 2" xfId="4948"/>
    <cellStyle name="Euro 4 17" xfId="634"/>
    <cellStyle name="Euro 4 17 2" xfId="4949"/>
    <cellStyle name="Euro 4 18" xfId="635"/>
    <cellStyle name="Euro 4 18 2" xfId="4950"/>
    <cellStyle name="Euro 4 19" xfId="636"/>
    <cellStyle name="Euro 4 19 2" xfId="4951"/>
    <cellStyle name="Euro 4 2" xfId="637"/>
    <cellStyle name="Euro 4 2 2" xfId="4112"/>
    <cellStyle name="Euro 4 20" xfId="638"/>
    <cellStyle name="Euro 4 20 2" xfId="4952"/>
    <cellStyle name="Euro 4 21" xfId="639"/>
    <cellStyle name="Euro 4 21 2" xfId="4953"/>
    <cellStyle name="Euro 4 22" xfId="640"/>
    <cellStyle name="Euro 4 22 2" xfId="4954"/>
    <cellStyle name="Euro 4 23" xfId="641"/>
    <cellStyle name="Euro 4 23 2" xfId="4955"/>
    <cellStyle name="Euro 4 24" xfId="642"/>
    <cellStyle name="Euro 4 24 2" xfId="4956"/>
    <cellStyle name="Euro 4 25" xfId="643"/>
    <cellStyle name="Euro 4 25 2" xfId="4957"/>
    <cellStyle name="Euro 4 26" xfId="644"/>
    <cellStyle name="Euro 4 26 2" xfId="4958"/>
    <cellStyle name="Euro 4 27" xfId="645"/>
    <cellStyle name="Euro 4 27 2" xfId="4959"/>
    <cellStyle name="Euro 4 28" xfId="646"/>
    <cellStyle name="Euro 4 28 2" xfId="4960"/>
    <cellStyle name="Euro 4 29" xfId="4038"/>
    <cellStyle name="Euro 4 3" xfId="647"/>
    <cellStyle name="Euro 4 3 2" xfId="4071"/>
    <cellStyle name="Euro 4 4" xfId="648"/>
    <cellStyle name="Euro 4 4 2" xfId="4961"/>
    <cellStyle name="Euro 4 5" xfId="649"/>
    <cellStyle name="Euro 4 5 2" xfId="4962"/>
    <cellStyle name="Euro 4 6" xfId="650"/>
    <cellStyle name="Euro 4 6 2" xfId="4963"/>
    <cellStyle name="Euro 4 7" xfId="651"/>
    <cellStyle name="Euro 4 7 2" xfId="4964"/>
    <cellStyle name="Euro 4 8" xfId="652"/>
    <cellStyle name="Euro 4 8 2" xfId="4965"/>
    <cellStyle name="Euro 4 9" xfId="653"/>
    <cellStyle name="Euro 4 9 2" xfId="4966"/>
    <cellStyle name="Euro 5" xfId="654"/>
    <cellStyle name="Euro 5 10" xfId="655"/>
    <cellStyle name="Euro 5 10 2" xfId="4967"/>
    <cellStyle name="Euro 5 11" xfId="656"/>
    <cellStyle name="Euro 5 11 2" xfId="4968"/>
    <cellStyle name="Euro 5 12" xfId="657"/>
    <cellStyle name="Euro 5 12 2" xfId="4969"/>
    <cellStyle name="Euro 5 13" xfId="658"/>
    <cellStyle name="Euro 5 13 2" xfId="4970"/>
    <cellStyle name="Euro 5 14" xfId="659"/>
    <cellStyle name="Euro 5 14 2" xfId="4971"/>
    <cellStyle name="Euro 5 15" xfId="660"/>
    <cellStyle name="Euro 5 15 2" xfId="4972"/>
    <cellStyle name="Euro 5 16" xfId="661"/>
    <cellStyle name="Euro 5 16 2" xfId="4973"/>
    <cellStyle name="Euro 5 17" xfId="662"/>
    <cellStyle name="Euro 5 17 2" xfId="4974"/>
    <cellStyle name="Euro 5 18" xfId="663"/>
    <cellStyle name="Euro 5 18 2" xfId="4975"/>
    <cellStyle name="Euro 5 19" xfId="664"/>
    <cellStyle name="Euro 5 19 2" xfId="4976"/>
    <cellStyle name="Euro 5 2" xfId="665"/>
    <cellStyle name="Euro 5 2 2" xfId="4115"/>
    <cellStyle name="Euro 5 20" xfId="666"/>
    <cellStyle name="Euro 5 20 2" xfId="4977"/>
    <cellStyle name="Euro 5 21" xfId="667"/>
    <cellStyle name="Euro 5 21 2" xfId="4978"/>
    <cellStyle name="Euro 5 22" xfId="668"/>
    <cellStyle name="Euro 5 22 2" xfId="4979"/>
    <cellStyle name="Euro 5 23" xfId="669"/>
    <cellStyle name="Euro 5 23 2" xfId="4980"/>
    <cellStyle name="Euro 5 24" xfId="670"/>
    <cellStyle name="Euro 5 24 2" xfId="4981"/>
    <cellStyle name="Euro 5 25" xfId="671"/>
    <cellStyle name="Euro 5 25 2" xfId="4982"/>
    <cellStyle name="Euro 5 26" xfId="672"/>
    <cellStyle name="Euro 5 26 2" xfId="4983"/>
    <cellStyle name="Euro 5 27" xfId="673"/>
    <cellStyle name="Euro 5 27 2" xfId="4984"/>
    <cellStyle name="Euro 5 28" xfId="674"/>
    <cellStyle name="Euro 5 28 2" xfId="4985"/>
    <cellStyle name="Euro 5 29" xfId="4041"/>
    <cellStyle name="Euro 5 3" xfId="675"/>
    <cellStyle name="Euro 5 3 2" xfId="4074"/>
    <cellStyle name="Euro 5 4" xfId="676"/>
    <cellStyle name="Euro 5 4 2" xfId="4986"/>
    <cellStyle name="Euro 5 5" xfId="677"/>
    <cellStyle name="Euro 5 5 2" xfId="4987"/>
    <cellStyle name="Euro 5 6" xfId="678"/>
    <cellStyle name="Euro 5 6 2" xfId="4988"/>
    <cellStyle name="Euro 5 7" xfId="679"/>
    <cellStyle name="Euro 5 7 2" xfId="4989"/>
    <cellStyle name="Euro 5 8" xfId="680"/>
    <cellStyle name="Euro 5 8 2" xfId="4990"/>
    <cellStyle name="Euro 5 9" xfId="681"/>
    <cellStyle name="Euro 5 9 2" xfId="4991"/>
    <cellStyle name="Euro 6" xfId="682"/>
    <cellStyle name="Euro 6 10" xfId="683"/>
    <cellStyle name="Euro 6 10 2" xfId="4992"/>
    <cellStyle name="Euro 6 11" xfId="684"/>
    <cellStyle name="Euro 6 11 2" xfId="4993"/>
    <cellStyle name="Euro 6 12" xfId="685"/>
    <cellStyle name="Euro 6 12 2" xfId="4994"/>
    <cellStyle name="Euro 6 13" xfId="686"/>
    <cellStyle name="Euro 6 13 2" xfId="4995"/>
    <cellStyle name="Euro 6 14" xfId="687"/>
    <cellStyle name="Euro 6 14 2" xfId="4996"/>
    <cellStyle name="Euro 6 15" xfId="688"/>
    <cellStyle name="Euro 6 15 2" xfId="4997"/>
    <cellStyle name="Euro 6 16" xfId="689"/>
    <cellStyle name="Euro 6 16 2" xfId="4998"/>
    <cellStyle name="Euro 6 17" xfId="690"/>
    <cellStyle name="Euro 6 17 2" xfId="4999"/>
    <cellStyle name="Euro 6 18" xfId="691"/>
    <cellStyle name="Euro 6 18 2" xfId="5000"/>
    <cellStyle name="Euro 6 19" xfId="692"/>
    <cellStyle name="Euro 6 19 2" xfId="5001"/>
    <cellStyle name="Euro 6 2" xfId="693"/>
    <cellStyle name="Euro 6 2 2" xfId="4111"/>
    <cellStyle name="Euro 6 20" xfId="694"/>
    <cellStyle name="Euro 6 20 2" xfId="5002"/>
    <cellStyle name="Euro 6 21" xfId="695"/>
    <cellStyle name="Euro 6 21 2" xfId="5003"/>
    <cellStyle name="Euro 6 22" xfId="696"/>
    <cellStyle name="Euro 6 22 2" xfId="5004"/>
    <cellStyle name="Euro 6 23" xfId="697"/>
    <cellStyle name="Euro 6 23 2" xfId="5005"/>
    <cellStyle name="Euro 6 24" xfId="698"/>
    <cellStyle name="Euro 6 24 2" xfId="5006"/>
    <cellStyle name="Euro 6 25" xfId="699"/>
    <cellStyle name="Euro 6 25 2" xfId="5007"/>
    <cellStyle name="Euro 6 26" xfId="700"/>
    <cellStyle name="Euro 6 26 2" xfId="5008"/>
    <cellStyle name="Euro 6 27" xfId="701"/>
    <cellStyle name="Euro 6 27 2" xfId="5009"/>
    <cellStyle name="Euro 6 28" xfId="702"/>
    <cellStyle name="Euro 6 28 2" xfId="5010"/>
    <cellStyle name="Euro 6 29" xfId="4037"/>
    <cellStyle name="Euro 6 3" xfId="703"/>
    <cellStyle name="Euro 6 3 2" xfId="4070"/>
    <cellStyle name="Euro 6 4" xfId="704"/>
    <cellStyle name="Euro 6 4 2" xfId="5011"/>
    <cellStyle name="Euro 6 5" xfId="705"/>
    <cellStyle name="Euro 6 5 2" xfId="5012"/>
    <cellStyle name="Euro 6 6" xfId="706"/>
    <cellStyle name="Euro 6 6 2" xfId="5013"/>
    <cellStyle name="Euro 6 7" xfId="707"/>
    <cellStyle name="Euro 6 7 2" xfId="5014"/>
    <cellStyle name="Euro 6 8" xfId="708"/>
    <cellStyle name="Euro 6 8 2" xfId="5015"/>
    <cellStyle name="Euro 6 9" xfId="709"/>
    <cellStyle name="Euro 6 9 2" xfId="5016"/>
    <cellStyle name="Euro 7" xfId="710"/>
    <cellStyle name="Euro 7 10" xfId="711"/>
    <cellStyle name="Euro 7 10 2" xfId="5017"/>
    <cellStyle name="Euro 7 11" xfId="712"/>
    <cellStyle name="Euro 7 11 2" xfId="5018"/>
    <cellStyle name="Euro 7 12" xfId="713"/>
    <cellStyle name="Euro 7 12 2" xfId="5019"/>
    <cellStyle name="Euro 7 13" xfId="714"/>
    <cellStyle name="Euro 7 13 2" xfId="5020"/>
    <cellStyle name="Euro 7 14" xfId="715"/>
    <cellStyle name="Euro 7 14 2" xfId="5021"/>
    <cellStyle name="Euro 7 15" xfId="716"/>
    <cellStyle name="Euro 7 15 2" xfId="5022"/>
    <cellStyle name="Euro 7 16" xfId="717"/>
    <cellStyle name="Euro 7 16 2" xfId="5023"/>
    <cellStyle name="Euro 7 17" xfId="718"/>
    <cellStyle name="Euro 7 17 2" xfId="5024"/>
    <cellStyle name="Euro 7 18" xfId="719"/>
    <cellStyle name="Euro 7 18 2" xfId="5025"/>
    <cellStyle name="Euro 7 19" xfId="720"/>
    <cellStyle name="Euro 7 19 2" xfId="5026"/>
    <cellStyle name="Euro 7 2" xfId="721"/>
    <cellStyle name="Euro 7 2 2" xfId="4113"/>
    <cellStyle name="Euro 7 20" xfId="722"/>
    <cellStyle name="Euro 7 20 2" xfId="5027"/>
    <cellStyle name="Euro 7 21" xfId="723"/>
    <cellStyle name="Euro 7 21 2" xfId="5028"/>
    <cellStyle name="Euro 7 22" xfId="724"/>
    <cellStyle name="Euro 7 22 2" xfId="5029"/>
    <cellStyle name="Euro 7 23" xfId="725"/>
    <cellStyle name="Euro 7 23 2" xfId="5030"/>
    <cellStyle name="Euro 7 24" xfId="726"/>
    <cellStyle name="Euro 7 24 2" xfId="5031"/>
    <cellStyle name="Euro 7 25" xfId="727"/>
    <cellStyle name="Euro 7 25 2" xfId="5032"/>
    <cellStyle name="Euro 7 26" xfId="728"/>
    <cellStyle name="Euro 7 26 2" xfId="5033"/>
    <cellStyle name="Euro 7 27" xfId="729"/>
    <cellStyle name="Euro 7 27 2" xfId="5034"/>
    <cellStyle name="Euro 7 28" xfId="730"/>
    <cellStyle name="Euro 7 28 2" xfId="5035"/>
    <cellStyle name="Euro 7 29" xfId="4039"/>
    <cellStyle name="Euro 7 3" xfId="731"/>
    <cellStyle name="Euro 7 3 2" xfId="4072"/>
    <cellStyle name="Euro 7 4" xfId="732"/>
    <cellStyle name="Euro 7 4 2" xfId="5036"/>
    <cellStyle name="Euro 7 5" xfId="733"/>
    <cellStyle name="Euro 7 5 2" xfId="5037"/>
    <cellStyle name="Euro 7 6" xfId="734"/>
    <cellStyle name="Euro 7 6 2" xfId="5038"/>
    <cellStyle name="Euro 7 7" xfId="735"/>
    <cellStyle name="Euro 7 7 2" xfId="5039"/>
    <cellStyle name="Euro 7 8" xfId="736"/>
    <cellStyle name="Euro 7 8 2" xfId="5040"/>
    <cellStyle name="Euro 7 9" xfId="737"/>
    <cellStyle name="Euro 7 9 2" xfId="5041"/>
    <cellStyle name="Euro 8" xfId="738"/>
    <cellStyle name="Euro 8 10" xfId="739"/>
    <cellStyle name="Euro 8 10 2" xfId="5042"/>
    <cellStyle name="Euro 8 11" xfId="740"/>
    <cellStyle name="Euro 8 11 2" xfId="5043"/>
    <cellStyle name="Euro 8 12" xfId="741"/>
    <cellStyle name="Euro 8 12 2" xfId="5044"/>
    <cellStyle name="Euro 8 13" xfId="742"/>
    <cellStyle name="Euro 8 13 2" xfId="5045"/>
    <cellStyle name="Euro 8 14" xfId="743"/>
    <cellStyle name="Euro 8 14 2" xfId="5046"/>
    <cellStyle name="Euro 8 15" xfId="744"/>
    <cellStyle name="Euro 8 15 2" xfId="5047"/>
    <cellStyle name="Euro 8 16" xfId="745"/>
    <cellStyle name="Euro 8 16 2" xfId="5048"/>
    <cellStyle name="Euro 8 17" xfId="746"/>
    <cellStyle name="Euro 8 17 2" xfId="5049"/>
    <cellStyle name="Euro 8 18" xfId="747"/>
    <cellStyle name="Euro 8 18 2" xfId="5050"/>
    <cellStyle name="Euro 8 19" xfId="748"/>
    <cellStyle name="Euro 8 19 2" xfId="5051"/>
    <cellStyle name="Euro 8 2" xfId="749"/>
    <cellStyle name="Euro 8 2 2" xfId="4122"/>
    <cellStyle name="Euro 8 20" xfId="750"/>
    <cellStyle name="Euro 8 20 2" xfId="5052"/>
    <cellStyle name="Euro 8 21" xfId="751"/>
    <cellStyle name="Euro 8 21 2" xfId="5053"/>
    <cellStyle name="Euro 8 22" xfId="752"/>
    <cellStyle name="Euro 8 22 2" xfId="5054"/>
    <cellStyle name="Euro 8 23" xfId="753"/>
    <cellStyle name="Euro 8 23 2" xfId="5055"/>
    <cellStyle name="Euro 8 24" xfId="754"/>
    <cellStyle name="Euro 8 24 2" xfId="5056"/>
    <cellStyle name="Euro 8 25" xfId="755"/>
    <cellStyle name="Euro 8 25 2" xfId="5057"/>
    <cellStyle name="Euro 8 26" xfId="756"/>
    <cellStyle name="Euro 8 26 2" xfId="5058"/>
    <cellStyle name="Euro 8 27" xfId="757"/>
    <cellStyle name="Euro 8 27 2" xfId="5059"/>
    <cellStyle name="Euro 8 28" xfId="758"/>
    <cellStyle name="Euro 8 28 2" xfId="5060"/>
    <cellStyle name="Euro 8 29" xfId="4048"/>
    <cellStyle name="Euro 8 3" xfId="759"/>
    <cellStyle name="Euro 8 3 2" xfId="4081"/>
    <cellStyle name="Euro 8 4" xfId="760"/>
    <cellStyle name="Euro 8 4 2" xfId="5061"/>
    <cellStyle name="Euro 8 5" xfId="761"/>
    <cellStyle name="Euro 8 5 2" xfId="5062"/>
    <cellStyle name="Euro 8 6" xfId="762"/>
    <cellStyle name="Euro 8 6 2" xfId="5063"/>
    <cellStyle name="Euro 8 7" xfId="763"/>
    <cellStyle name="Euro 8 7 2" xfId="5064"/>
    <cellStyle name="Euro 8 8" xfId="764"/>
    <cellStyle name="Euro 8 8 2" xfId="5065"/>
    <cellStyle name="Euro 8 9" xfId="765"/>
    <cellStyle name="Euro 8 9 2" xfId="5066"/>
    <cellStyle name="Euro 9" xfId="766"/>
    <cellStyle name="Euro 9 10" xfId="767"/>
    <cellStyle name="Euro 9 10 2" xfId="5067"/>
    <cellStyle name="Euro 9 11" xfId="768"/>
    <cellStyle name="Euro 9 11 2" xfId="5068"/>
    <cellStyle name="Euro 9 12" xfId="769"/>
    <cellStyle name="Euro 9 12 2" xfId="5069"/>
    <cellStyle name="Euro 9 13" xfId="770"/>
    <cellStyle name="Euro 9 13 2" xfId="5070"/>
    <cellStyle name="Euro 9 14" xfId="771"/>
    <cellStyle name="Euro 9 14 2" xfId="5071"/>
    <cellStyle name="Euro 9 15" xfId="772"/>
    <cellStyle name="Euro 9 15 2" xfId="5072"/>
    <cellStyle name="Euro 9 16" xfId="773"/>
    <cellStyle name="Euro 9 16 2" xfId="5073"/>
    <cellStyle name="Euro 9 17" xfId="774"/>
    <cellStyle name="Euro 9 17 2" xfId="5074"/>
    <cellStyle name="Euro 9 18" xfId="775"/>
    <cellStyle name="Euro 9 18 2" xfId="5075"/>
    <cellStyle name="Euro 9 19" xfId="776"/>
    <cellStyle name="Euro 9 19 2" xfId="5076"/>
    <cellStyle name="Euro 9 2" xfId="777"/>
    <cellStyle name="Euro 9 2 2" xfId="4114"/>
    <cellStyle name="Euro 9 20" xfId="778"/>
    <cellStyle name="Euro 9 20 2" xfId="5077"/>
    <cellStyle name="Euro 9 21" xfId="779"/>
    <cellStyle name="Euro 9 21 2" xfId="5078"/>
    <cellStyle name="Euro 9 22" xfId="780"/>
    <cellStyle name="Euro 9 22 2" xfId="5079"/>
    <cellStyle name="Euro 9 23" xfId="781"/>
    <cellStyle name="Euro 9 23 2" xfId="5080"/>
    <cellStyle name="Euro 9 24" xfId="782"/>
    <cellStyle name="Euro 9 24 2" xfId="5081"/>
    <cellStyle name="Euro 9 25" xfId="783"/>
    <cellStyle name="Euro 9 25 2" xfId="5082"/>
    <cellStyle name="Euro 9 26" xfId="784"/>
    <cellStyle name="Euro 9 26 2" xfId="5083"/>
    <cellStyle name="Euro 9 27" xfId="785"/>
    <cellStyle name="Euro 9 27 2" xfId="5084"/>
    <cellStyle name="Euro 9 28" xfId="786"/>
    <cellStyle name="Euro 9 28 2" xfId="5085"/>
    <cellStyle name="Euro 9 29" xfId="4040"/>
    <cellStyle name="Euro 9 3" xfId="787"/>
    <cellStyle name="Euro 9 3 2" xfId="4073"/>
    <cellStyle name="Euro 9 4" xfId="788"/>
    <cellStyle name="Euro 9 4 2" xfId="5086"/>
    <cellStyle name="Euro 9 5" xfId="789"/>
    <cellStyle name="Euro 9 5 2" xfId="5087"/>
    <cellStyle name="Euro 9 6" xfId="790"/>
    <cellStyle name="Euro 9 6 2" xfId="5088"/>
    <cellStyle name="Euro 9 7" xfId="791"/>
    <cellStyle name="Euro 9 7 2" xfId="5089"/>
    <cellStyle name="Euro 9 8" xfId="792"/>
    <cellStyle name="Euro 9 8 2" xfId="5090"/>
    <cellStyle name="Euro 9 9" xfId="793"/>
    <cellStyle name="Euro 9 9 2" xfId="5091"/>
    <cellStyle name="Fecha" xfId="794"/>
    <cellStyle name="Fijo" xfId="795"/>
    <cellStyle name="Hipervínculo" xfId="10686" builtinId="8"/>
    <cellStyle name="Hipervínculo 2" xfId="796"/>
    <cellStyle name="Hipervínculo 2 2" xfId="4093"/>
    <cellStyle name="Millares" xfId="1" builtinId="3"/>
    <cellStyle name="Millares 10" xfId="797"/>
    <cellStyle name="Millares 10 2" xfId="4141"/>
    <cellStyle name="Millares 10 2 2" xfId="9809"/>
    <cellStyle name="Millares 10 3" xfId="9808"/>
    <cellStyle name="Millares 10 4" xfId="3842"/>
    <cellStyle name="Millares 11" xfId="798"/>
    <cellStyle name="Millares 11 2" xfId="4259"/>
    <cellStyle name="Millares 11 2 2" xfId="9810"/>
    <cellStyle name="Millares 12" xfId="799"/>
    <cellStyle name="Millares 12 2" xfId="4258"/>
    <cellStyle name="Millares 12 2 2" xfId="9811"/>
    <cellStyle name="Millares 13" xfId="800"/>
    <cellStyle name="Millares 13 2" xfId="4260"/>
    <cellStyle name="Millares 13 2 2" xfId="9812"/>
    <cellStyle name="Millares 14" xfId="801"/>
    <cellStyle name="Millares 14 2" xfId="4276"/>
    <cellStyle name="Millares 14 2 2" xfId="9813"/>
    <cellStyle name="Millares 15" xfId="802"/>
    <cellStyle name="Millares 15 2" xfId="4274"/>
    <cellStyle name="Millares 15 2 2" xfId="9814"/>
    <cellStyle name="Millares 16" xfId="803"/>
    <cellStyle name="Millares 16 2" xfId="4272"/>
    <cellStyle name="Millares 16 2 2" xfId="9815"/>
    <cellStyle name="Millares 17" xfId="804"/>
    <cellStyle name="Millares 17 2" xfId="4277"/>
    <cellStyle name="Millares 17 2 2" xfId="9816"/>
    <cellStyle name="Millares 18" xfId="4278"/>
    <cellStyle name="Millares 18 2" xfId="9817"/>
    <cellStyle name="Millares 19" xfId="4281"/>
    <cellStyle name="Millares 19 2" xfId="9818"/>
    <cellStyle name="Millares 2" xfId="805"/>
    <cellStyle name="Millares 2 10" xfId="806"/>
    <cellStyle name="Millares 2 10 2" xfId="7556"/>
    <cellStyle name="Millares 2 10 2 2" xfId="9821"/>
    <cellStyle name="Millares 2 10 3" xfId="9820"/>
    <cellStyle name="Millares 2 10 4" xfId="3844"/>
    <cellStyle name="Millares 2 11" xfId="807"/>
    <cellStyle name="Millares 2 11 2" xfId="7557"/>
    <cellStyle name="Millares 2 11 2 2" xfId="9823"/>
    <cellStyle name="Millares 2 11 3" xfId="9822"/>
    <cellStyle name="Millares 2 11 4" xfId="3845"/>
    <cellStyle name="Millares 2 12" xfId="808"/>
    <cellStyle name="Millares 2 12 2" xfId="7558"/>
    <cellStyle name="Millares 2 12 2 2" xfId="9825"/>
    <cellStyle name="Millares 2 12 3" xfId="9824"/>
    <cellStyle name="Millares 2 12 4" xfId="3846"/>
    <cellStyle name="Millares 2 13" xfId="809"/>
    <cellStyle name="Millares 2 13 2" xfId="7559"/>
    <cellStyle name="Millares 2 13 2 2" xfId="9827"/>
    <cellStyle name="Millares 2 13 3" xfId="9826"/>
    <cellStyle name="Millares 2 13 4" xfId="3847"/>
    <cellStyle name="Millares 2 14" xfId="810"/>
    <cellStyle name="Millares 2 14 2" xfId="7560"/>
    <cellStyle name="Millares 2 14 2 2" xfId="9829"/>
    <cellStyle name="Millares 2 14 3" xfId="9828"/>
    <cellStyle name="Millares 2 14 4" xfId="3848"/>
    <cellStyle name="Millares 2 15" xfId="811"/>
    <cellStyle name="Millares 2 15 2" xfId="7561"/>
    <cellStyle name="Millares 2 15 2 2" xfId="9831"/>
    <cellStyle name="Millares 2 15 3" xfId="9830"/>
    <cellStyle name="Millares 2 15 4" xfId="3849"/>
    <cellStyle name="Millares 2 16" xfId="812"/>
    <cellStyle name="Millares 2 16 2" xfId="7562"/>
    <cellStyle name="Millares 2 16 2 2" xfId="9833"/>
    <cellStyle name="Millares 2 16 3" xfId="9832"/>
    <cellStyle name="Millares 2 16 4" xfId="3850"/>
    <cellStyle name="Millares 2 17" xfId="813"/>
    <cellStyle name="Millares 2 17 2" xfId="7563"/>
    <cellStyle name="Millares 2 17 2 2" xfId="9835"/>
    <cellStyle name="Millares 2 17 3" xfId="9834"/>
    <cellStyle name="Millares 2 17 4" xfId="3851"/>
    <cellStyle name="Millares 2 18" xfId="814"/>
    <cellStyle name="Millares 2 18 2" xfId="7564"/>
    <cellStyle name="Millares 2 18 2 2" xfId="9837"/>
    <cellStyle name="Millares 2 18 3" xfId="9836"/>
    <cellStyle name="Millares 2 18 4" xfId="3852"/>
    <cellStyle name="Millares 2 19" xfId="815"/>
    <cellStyle name="Millares 2 19 2" xfId="7565"/>
    <cellStyle name="Millares 2 19 2 2" xfId="9839"/>
    <cellStyle name="Millares 2 19 3" xfId="9838"/>
    <cellStyle name="Millares 2 19 4" xfId="3853"/>
    <cellStyle name="Millares 2 2" xfId="816"/>
    <cellStyle name="Millares 2 2 10" xfId="817"/>
    <cellStyle name="Millares 2 2 10 2" xfId="5092"/>
    <cellStyle name="Millares 2 2 10 2 2" xfId="9842"/>
    <cellStyle name="Millares 2 2 10 3" xfId="7566"/>
    <cellStyle name="Millares 2 2 10 3 2" xfId="9843"/>
    <cellStyle name="Millares 2 2 10 4" xfId="9841"/>
    <cellStyle name="Millares 2 2 10 5" xfId="3855"/>
    <cellStyle name="Millares 2 2 11" xfId="818"/>
    <cellStyle name="Millares 2 2 11 2" xfId="5093"/>
    <cellStyle name="Millares 2 2 11 2 2" xfId="9845"/>
    <cellStyle name="Millares 2 2 11 3" xfId="7567"/>
    <cellStyle name="Millares 2 2 11 3 2" xfId="9846"/>
    <cellStyle name="Millares 2 2 11 4" xfId="9844"/>
    <cellStyle name="Millares 2 2 11 5" xfId="3856"/>
    <cellStyle name="Millares 2 2 12" xfId="819"/>
    <cellStyle name="Millares 2 2 12 2" xfId="5094"/>
    <cellStyle name="Millares 2 2 12 2 2" xfId="9848"/>
    <cellStyle name="Millares 2 2 12 3" xfId="7568"/>
    <cellStyle name="Millares 2 2 12 3 2" xfId="9849"/>
    <cellStyle name="Millares 2 2 12 4" xfId="9847"/>
    <cellStyle name="Millares 2 2 12 5" xfId="3857"/>
    <cellStyle name="Millares 2 2 13" xfId="820"/>
    <cellStyle name="Millares 2 2 13 2" xfId="5095"/>
    <cellStyle name="Millares 2 2 13 2 2" xfId="9851"/>
    <cellStyle name="Millares 2 2 13 3" xfId="7569"/>
    <cellStyle name="Millares 2 2 13 3 2" xfId="9852"/>
    <cellStyle name="Millares 2 2 13 4" xfId="9850"/>
    <cellStyle name="Millares 2 2 13 5" xfId="3858"/>
    <cellStyle name="Millares 2 2 14" xfId="821"/>
    <cellStyle name="Millares 2 2 14 2" xfId="5096"/>
    <cellStyle name="Millares 2 2 14 2 2" xfId="9854"/>
    <cellStyle name="Millares 2 2 14 3" xfId="7570"/>
    <cellStyle name="Millares 2 2 14 3 2" xfId="9855"/>
    <cellStyle name="Millares 2 2 14 4" xfId="9853"/>
    <cellStyle name="Millares 2 2 14 5" xfId="3859"/>
    <cellStyle name="Millares 2 2 15" xfId="822"/>
    <cellStyle name="Millares 2 2 15 2" xfId="5097"/>
    <cellStyle name="Millares 2 2 15 2 2" xfId="9857"/>
    <cellStyle name="Millares 2 2 15 3" xfId="7571"/>
    <cellStyle name="Millares 2 2 15 3 2" xfId="9858"/>
    <cellStyle name="Millares 2 2 15 4" xfId="9856"/>
    <cellStyle name="Millares 2 2 15 5" xfId="3860"/>
    <cellStyle name="Millares 2 2 16" xfId="823"/>
    <cellStyle name="Millares 2 2 16 2" xfId="5098"/>
    <cellStyle name="Millares 2 2 16 2 2" xfId="9860"/>
    <cellStyle name="Millares 2 2 16 3" xfId="7572"/>
    <cellStyle name="Millares 2 2 16 3 2" xfId="9861"/>
    <cellStyle name="Millares 2 2 16 4" xfId="9859"/>
    <cellStyle name="Millares 2 2 16 5" xfId="3861"/>
    <cellStyle name="Millares 2 2 17" xfId="824"/>
    <cellStyle name="Millares 2 2 17 2" xfId="5099"/>
    <cellStyle name="Millares 2 2 17 2 2" xfId="9863"/>
    <cellStyle name="Millares 2 2 17 3" xfId="7573"/>
    <cellStyle name="Millares 2 2 17 3 2" xfId="9864"/>
    <cellStyle name="Millares 2 2 17 4" xfId="9862"/>
    <cellStyle name="Millares 2 2 17 5" xfId="3862"/>
    <cellStyle name="Millares 2 2 18" xfId="825"/>
    <cellStyle name="Millares 2 2 18 2" xfId="5100"/>
    <cellStyle name="Millares 2 2 18 2 2" xfId="9866"/>
    <cellStyle name="Millares 2 2 18 3" xfId="7574"/>
    <cellStyle name="Millares 2 2 18 3 2" xfId="9867"/>
    <cellStyle name="Millares 2 2 18 4" xfId="9865"/>
    <cellStyle name="Millares 2 2 18 5" xfId="3863"/>
    <cellStyle name="Millares 2 2 19" xfId="826"/>
    <cellStyle name="Millares 2 2 19 2" xfId="5101"/>
    <cellStyle name="Millares 2 2 19 2 2" xfId="9869"/>
    <cellStyle name="Millares 2 2 19 3" xfId="7575"/>
    <cellStyle name="Millares 2 2 19 3 2" xfId="9870"/>
    <cellStyle name="Millares 2 2 19 4" xfId="9868"/>
    <cellStyle name="Millares 2 2 19 5" xfId="3864"/>
    <cellStyle name="Millares 2 2 2" xfId="827"/>
    <cellStyle name="Millares 2 2 2 2" xfId="4104"/>
    <cellStyle name="Millares 2 2 2 2 2" xfId="4233"/>
    <cellStyle name="Millares 2 2 2 2 2 2" xfId="9668"/>
    <cellStyle name="Millares 2 2 2 2 2 2 2" xfId="9874"/>
    <cellStyle name="Millares 2 2 2 2 2 3" xfId="9873"/>
    <cellStyle name="Millares 2 2 2 2 3" xfId="9565"/>
    <cellStyle name="Millares 2 2 2 2 3 2" xfId="9875"/>
    <cellStyle name="Millares 2 2 2 2 4" xfId="9872"/>
    <cellStyle name="Millares 2 2 2 3" xfId="4182"/>
    <cellStyle name="Millares 2 2 2 3 2" xfId="9617"/>
    <cellStyle name="Millares 2 2 2 3 2 2" xfId="9877"/>
    <cellStyle name="Millares 2 2 2 3 3" xfId="9876"/>
    <cellStyle name="Millares 2 2 2 4" xfId="4286"/>
    <cellStyle name="Millares 2 2 2 4 2" xfId="9702"/>
    <cellStyle name="Millares 2 2 2 4 2 2" xfId="9879"/>
    <cellStyle name="Millares 2 2 2 4 3" xfId="9878"/>
    <cellStyle name="Millares 2 2 2 5" xfId="7576"/>
    <cellStyle name="Millares 2 2 2 5 2" xfId="9880"/>
    <cellStyle name="Millares 2 2 2 6" xfId="9871"/>
    <cellStyle name="Millares 2 2 2 7" xfId="3865"/>
    <cellStyle name="Millares 2 2 20" xfId="828"/>
    <cellStyle name="Millares 2 2 20 2" xfId="5102"/>
    <cellStyle name="Millares 2 2 20 2 2" xfId="9882"/>
    <cellStyle name="Millares 2 2 20 3" xfId="7577"/>
    <cellStyle name="Millares 2 2 20 3 2" xfId="9883"/>
    <cellStyle name="Millares 2 2 20 4" xfId="9881"/>
    <cellStyle name="Millares 2 2 20 5" xfId="3866"/>
    <cellStyle name="Millares 2 2 21" xfId="829"/>
    <cellStyle name="Millares 2 2 21 2" xfId="5103"/>
    <cellStyle name="Millares 2 2 21 2 2" xfId="9885"/>
    <cellStyle name="Millares 2 2 21 3" xfId="7578"/>
    <cellStyle name="Millares 2 2 21 3 2" xfId="9886"/>
    <cellStyle name="Millares 2 2 21 4" xfId="9884"/>
    <cellStyle name="Millares 2 2 21 5" xfId="3867"/>
    <cellStyle name="Millares 2 2 22" xfId="830"/>
    <cellStyle name="Millares 2 2 22 2" xfId="5104"/>
    <cellStyle name="Millares 2 2 22 2 2" xfId="9888"/>
    <cellStyle name="Millares 2 2 22 3" xfId="7579"/>
    <cellStyle name="Millares 2 2 22 3 2" xfId="9889"/>
    <cellStyle name="Millares 2 2 22 4" xfId="9887"/>
    <cellStyle name="Millares 2 2 22 5" xfId="3868"/>
    <cellStyle name="Millares 2 2 23" xfId="831"/>
    <cellStyle name="Millares 2 2 23 2" xfId="5105"/>
    <cellStyle name="Millares 2 2 23 2 2" xfId="9891"/>
    <cellStyle name="Millares 2 2 23 3" xfId="7580"/>
    <cellStyle name="Millares 2 2 23 3 2" xfId="9892"/>
    <cellStyle name="Millares 2 2 23 4" xfId="9890"/>
    <cellStyle name="Millares 2 2 23 5" xfId="3869"/>
    <cellStyle name="Millares 2 2 24" xfId="832"/>
    <cellStyle name="Millares 2 2 24 2" xfId="5106"/>
    <cellStyle name="Millares 2 2 24 2 2" xfId="9894"/>
    <cellStyle name="Millares 2 2 24 3" xfId="7581"/>
    <cellStyle name="Millares 2 2 24 3 2" xfId="9895"/>
    <cellStyle name="Millares 2 2 24 4" xfId="9893"/>
    <cellStyle name="Millares 2 2 24 5" xfId="3870"/>
    <cellStyle name="Millares 2 2 25" xfId="833"/>
    <cellStyle name="Millares 2 2 25 2" xfId="5107"/>
    <cellStyle name="Millares 2 2 25 2 2" xfId="9897"/>
    <cellStyle name="Millares 2 2 25 3" xfId="7582"/>
    <cellStyle name="Millares 2 2 25 3 2" xfId="9898"/>
    <cellStyle name="Millares 2 2 25 4" xfId="9896"/>
    <cellStyle name="Millares 2 2 25 5" xfId="3871"/>
    <cellStyle name="Millares 2 2 26" xfId="834"/>
    <cellStyle name="Millares 2 2 26 2" xfId="5108"/>
    <cellStyle name="Millares 2 2 26 2 2" xfId="9900"/>
    <cellStyle name="Millares 2 2 26 3" xfId="7583"/>
    <cellStyle name="Millares 2 2 26 3 2" xfId="9901"/>
    <cellStyle name="Millares 2 2 26 4" xfId="9899"/>
    <cellStyle name="Millares 2 2 26 5" xfId="3872"/>
    <cellStyle name="Millares 2 2 27" xfId="835"/>
    <cellStyle name="Millares 2 2 27 2" xfId="5109"/>
    <cellStyle name="Millares 2 2 27 2 2" xfId="9903"/>
    <cellStyle name="Millares 2 2 27 3" xfId="7584"/>
    <cellStyle name="Millares 2 2 27 3 2" xfId="9904"/>
    <cellStyle name="Millares 2 2 27 4" xfId="9902"/>
    <cellStyle name="Millares 2 2 27 5" xfId="3873"/>
    <cellStyle name="Millares 2 2 28" xfId="836"/>
    <cellStyle name="Millares 2 2 28 2" xfId="5110"/>
    <cellStyle name="Millares 2 2 28 2 2" xfId="9906"/>
    <cellStyle name="Millares 2 2 28 3" xfId="7585"/>
    <cellStyle name="Millares 2 2 28 3 2" xfId="9907"/>
    <cellStyle name="Millares 2 2 28 4" xfId="9905"/>
    <cellStyle name="Millares 2 2 28 5" xfId="3874"/>
    <cellStyle name="Millares 2 2 29" xfId="837"/>
    <cellStyle name="Millares 2 2 29 2" xfId="5111"/>
    <cellStyle name="Millares 2 2 29 2 2" xfId="9909"/>
    <cellStyle name="Millares 2 2 29 3" xfId="7586"/>
    <cellStyle name="Millares 2 2 29 3 2" xfId="9910"/>
    <cellStyle name="Millares 2 2 29 4" xfId="9908"/>
    <cellStyle name="Millares 2 2 29 5" xfId="3875"/>
    <cellStyle name="Millares 2 2 3" xfId="838"/>
    <cellStyle name="Millares 2 2 3 2" xfId="4063"/>
    <cellStyle name="Millares 2 2 3 2 2" xfId="4215"/>
    <cellStyle name="Millares 2 2 3 2 2 2" xfId="9650"/>
    <cellStyle name="Millares 2 2 3 2 2 2 2" xfId="9914"/>
    <cellStyle name="Millares 2 2 3 2 2 3" xfId="9913"/>
    <cellStyle name="Millares 2 2 3 2 3" xfId="9546"/>
    <cellStyle name="Millares 2 2 3 2 3 2" xfId="9915"/>
    <cellStyle name="Millares 2 2 3 2 4" xfId="9912"/>
    <cellStyle name="Millares 2 2 3 3" xfId="4164"/>
    <cellStyle name="Millares 2 2 3 3 2" xfId="9599"/>
    <cellStyle name="Millares 2 2 3 3 2 2" xfId="9917"/>
    <cellStyle name="Millares 2 2 3 3 3" xfId="9916"/>
    <cellStyle name="Millares 2 2 3 4" xfId="4303"/>
    <cellStyle name="Millares 2 2 3 4 2" xfId="9714"/>
    <cellStyle name="Millares 2 2 3 4 2 2" xfId="9919"/>
    <cellStyle name="Millares 2 2 3 4 3" xfId="9918"/>
    <cellStyle name="Millares 2 2 3 5" xfId="7587"/>
    <cellStyle name="Millares 2 2 3 5 2" xfId="9920"/>
    <cellStyle name="Millares 2 2 3 6" xfId="9911"/>
    <cellStyle name="Millares 2 2 3 7" xfId="3876"/>
    <cellStyle name="Millares 2 2 30" xfId="839"/>
    <cellStyle name="Millares 2 2 30 2" xfId="7588"/>
    <cellStyle name="Millares 2 2 30 2 2" xfId="9922"/>
    <cellStyle name="Millares 2 2 30 3" xfId="9921"/>
    <cellStyle name="Millares 2 2 30 4" xfId="3877"/>
    <cellStyle name="Millares 2 2 31" xfId="840"/>
    <cellStyle name="Millares 2 2 31 2" xfId="7589"/>
    <cellStyle name="Millares 2 2 31 2 2" xfId="9924"/>
    <cellStyle name="Millares 2 2 31 3" xfId="9923"/>
    <cellStyle name="Millares 2 2 31 4" xfId="3878"/>
    <cellStyle name="Millares 2 2 32" xfId="841"/>
    <cellStyle name="Millares 2 2 32 2" xfId="7590"/>
    <cellStyle name="Millares 2 2 32 2 2" xfId="9926"/>
    <cellStyle name="Millares 2 2 32 3" xfId="9925"/>
    <cellStyle name="Millares 2 2 32 4" xfId="3879"/>
    <cellStyle name="Millares 2 2 33" xfId="842"/>
    <cellStyle name="Millares 2 2 33 2" xfId="7591"/>
    <cellStyle name="Millares 2 2 33 2 2" xfId="9928"/>
    <cellStyle name="Millares 2 2 33 3" xfId="9927"/>
    <cellStyle name="Millares 2 2 33 4" xfId="3880"/>
    <cellStyle name="Millares 2 2 34" xfId="843"/>
    <cellStyle name="Millares 2 2 34 2" xfId="7592"/>
    <cellStyle name="Millares 2 2 34 2 2" xfId="9930"/>
    <cellStyle name="Millares 2 2 34 3" xfId="9929"/>
    <cellStyle name="Millares 2 2 34 4" xfId="3881"/>
    <cellStyle name="Millares 2 2 35" xfId="844"/>
    <cellStyle name="Millares 2 2 35 2" xfId="7593"/>
    <cellStyle name="Millares 2 2 35 2 2" xfId="9932"/>
    <cellStyle name="Millares 2 2 35 3" xfId="9931"/>
    <cellStyle name="Millares 2 2 35 4" xfId="3882"/>
    <cellStyle name="Millares 2 2 36" xfId="4029"/>
    <cellStyle name="Millares 2 2 36 2" xfId="9530"/>
    <cellStyle name="Millares 2 2 36 2 2" xfId="9934"/>
    <cellStyle name="Millares 2 2 36 3" xfId="9933"/>
    <cellStyle name="Millares 2 2 37" xfId="4148"/>
    <cellStyle name="Millares 2 2 37 2" xfId="9583"/>
    <cellStyle name="Millares 2 2 37 2 2" xfId="9936"/>
    <cellStyle name="Millares 2 2 37 3" xfId="9935"/>
    <cellStyle name="Millares 2 2 38" xfId="4251"/>
    <cellStyle name="Millares 2 2 38 2" xfId="9684"/>
    <cellStyle name="Millares 2 2 38 2 2" xfId="9938"/>
    <cellStyle name="Millares 2 2 38 3" xfId="9937"/>
    <cellStyle name="Millares 2 2 39" xfId="4262"/>
    <cellStyle name="Millares 2 2 39 2" xfId="9688"/>
    <cellStyle name="Millares 2 2 39 2 2" xfId="9940"/>
    <cellStyle name="Millares 2 2 39 3" xfId="9939"/>
    <cellStyle name="Millares 2 2 4" xfId="845"/>
    <cellStyle name="Millares 2 2 4 2" xfId="4199"/>
    <cellStyle name="Millares 2 2 4 2 2" xfId="9634"/>
    <cellStyle name="Millares 2 2 4 2 2 2" xfId="9943"/>
    <cellStyle name="Millares 2 2 4 2 3" xfId="9942"/>
    <cellStyle name="Millares 2 2 4 3" xfId="7594"/>
    <cellStyle name="Millares 2 2 4 3 2" xfId="9944"/>
    <cellStyle name="Millares 2 2 4 4" xfId="9941"/>
    <cellStyle name="Millares 2 2 4 5" xfId="3883"/>
    <cellStyle name="Millares 2 2 40" xfId="4268"/>
    <cellStyle name="Millares 2 2 40 2" xfId="9694"/>
    <cellStyle name="Millares 2 2 40 2 2" xfId="9946"/>
    <cellStyle name="Millares 2 2 40 3" xfId="9945"/>
    <cellStyle name="Millares 2 2 41" xfId="4326"/>
    <cellStyle name="Millares 2 2 41 2" xfId="9734"/>
    <cellStyle name="Millares 2 2 41 2 2" xfId="9948"/>
    <cellStyle name="Millares 2 2 41 3" xfId="9947"/>
    <cellStyle name="Millares 2 2 42" xfId="9798"/>
    <cellStyle name="Millares 2 2 42 2" xfId="9949"/>
    <cellStyle name="Millares 2 2 43" xfId="9840"/>
    <cellStyle name="Millares 2 2 44" xfId="3854"/>
    <cellStyle name="Millares 2 2 5" xfId="846"/>
    <cellStyle name="Millares 2 2 5 2" xfId="5112"/>
    <cellStyle name="Millares 2 2 5 2 2" xfId="9951"/>
    <cellStyle name="Millares 2 2 5 3" xfId="7595"/>
    <cellStyle name="Millares 2 2 5 3 2" xfId="9952"/>
    <cellStyle name="Millares 2 2 5 4" xfId="9950"/>
    <cellStyle name="Millares 2 2 5 5" xfId="3884"/>
    <cellStyle name="Millares 2 2 6" xfId="847"/>
    <cellStyle name="Millares 2 2 6 2" xfId="5113"/>
    <cellStyle name="Millares 2 2 6 2 2" xfId="9954"/>
    <cellStyle name="Millares 2 2 6 3" xfId="7596"/>
    <cellStyle name="Millares 2 2 6 3 2" xfId="9955"/>
    <cellStyle name="Millares 2 2 6 4" xfId="9953"/>
    <cellStyle name="Millares 2 2 6 5" xfId="3885"/>
    <cellStyle name="Millares 2 2 7" xfId="848"/>
    <cellStyle name="Millares 2 2 7 2" xfId="5114"/>
    <cellStyle name="Millares 2 2 7 2 2" xfId="9957"/>
    <cellStyle name="Millares 2 2 7 3" xfId="7597"/>
    <cellStyle name="Millares 2 2 7 3 2" xfId="9958"/>
    <cellStyle name="Millares 2 2 7 4" xfId="9956"/>
    <cellStyle name="Millares 2 2 7 5" xfId="3886"/>
    <cellStyle name="Millares 2 2 8" xfId="849"/>
    <cellStyle name="Millares 2 2 8 2" xfId="5115"/>
    <cellStyle name="Millares 2 2 8 2 2" xfId="9960"/>
    <cellStyle name="Millares 2 2 8 3" xfId="7598"/>
    <cellStyle name="Millares 2 2 8 3 2" xfId="9961"/>
    <cellStyle name="Millares 2 2 8 4" xfId="9959"/>
    <cellStyle name="Millares 2 2 8 5" xfId="3887"/>
    <cellStyle name="Millares 2 2 9" xfId="850"/>
    <cellStyle name="Millares 2 2 9 2" xfId="5116"/>
    <cellStyle name="Millares 2 2 9 2 2" xfId="9963"/>
    <cellStyle name="Millares 2 2 9 3" xfId="7599"/>
    <cellStyle name="Millares 2 2 9 3 2" xfId="9964"/>
    <cellStyle name="Millares 2 2 9 4" xfId="9962"/>
    <cellStyle name="Millares 2 2 9 5" xfId="3888"/>
    <cellStyle name="Millares 2 20" xfId="851"/>
    <cellStyle name="Millares 2 20 2" xfId="7600"/>
    <cellStyle name="Millares 2 20 2 2" xfId="9966"/>
    <cellStyle name="Millares 2 20 3" xfId="9965"/>
    <cellStyle name="Millares 2 20 4" xfId="3889"/>
    <cellStyle name="Millares 2 21" xfId="852"/>
    <cellStyle name="Millares 2 21 2" xfId="7601"/>
    <cellStyle name="Millares 2 21 2 2" xfId="9968"/>
    <cellStyle name="Millares 2 21 3" xfId="9967"/>
    <cellStyle name="Millares 2 21 4" xfId="3890"/>
    <cellStyle name="Millares 2 22" xfId="853"/>
    <cellStyle name="Millares 2 22 2" xfId="7602"/>
    <cellStyle name="Millares 2 22 2 2" xfId="9970"/>
    <cellStyle name="Millares 2 22 3" xfId="9969"/>
    <cellStyle name="Millares 2 22 4" xfId="3891"/>
    <cellStyle name="Millares 2 23" xfId="854"/>
    <cellStyle name="Millares 2 23 2" xfId="7603"/>
    <cellStyle name="Millares 2 23 2 2" xfId="9972"/>
    <cellStyle name="Millares 2 23 3" xfId="9971"/>
    <cellStyle name="Millares 2 23 4" xfId="3892"/>
    <cellStyle name="Millares 2 24" xfId="855"/>
    <cellStyle name="Millares 2 24 2" xfId="7604"/>
    <cellStyle name="Millares 2 24 2 2" xfId="9974"/>
    <cellStyle name="Millares 2 24 3" xfId="9973"/>
    <cellStyle name="Millares 2 24 4" xfId="3893"/>
    <cellStyle name="Millares 2 25" xfId="856"/>
    <cellStyle name="Millares 2 25 2" xfId="7605"/>
    <cellStyle name="Millares 2 25 2 2" xfId="9976"/>
    <cellStyle name="Millares 2 25 3" xfId="9975"/>
    <cellStyle name="Millares 2 25 4" xfId="3894"/>
    <cellStyle name="Millares 2 26" xfId="857"/>
    <cellStyle name="Millares 2 26 2" xfId="7606"/>
    <cellStyle name="Millares 2 26 2 2" xfId="9978"/>
    <cellStyle name="Millares 2 26 3" xfId="9977"/>
    <cellStyle name="Millares 2 26 4" xfId="3895"/>
    <cellStyle name="Millares 2 27" xfId="858"/>
    <cellStyle name="Millares 2 27 2" xfId="7607"/>
    <cellStyle name="Millares 2 27 2 2" xfId="9980"/>
    <cellStyle name="Millares 2 27 3" xfId="9979"/>
    <cellStyle name="Millares 2 27 4" xfId="3896"/>
    <cellStyle name="Millares 2 28" xfId="859"/>
    <cellStyle name="Millares 2 28 2" xfId="7608"/>
    <cellStyle name="Millares 2 28 2 2" xfId="9982"/>
    <cellStyle name="Millares 2 28 3" xfId="9981"/>
    <cellStyle name="Millares 2 28 4" xfId="3897"/>
    <cellStyle name="Millares 2 29" xfId="860"/>
    <cellStyle name="Millares 2 29 2" xfId="7609"/>
    <cellStyle name="Millares 2 29 2 2" xfId="9984"/>
    <cellStyle name="Millares 2 29 3" xfId="9983"/>
    <cellStyle name="Millares 2 29 4" xfId="3898"/>
    <cellStyle name="Millares 2 3" xfId="861"/>
    <cellStyle name="Millares 2 3 10" xfId="4179"/>
    <cellStyle name="Millares 2 3 10 2" xfId="9614"/>
    <cellStyle name="Millares 2 3 10 2 2" xfId="9987"/>
    <cellStyle name="Millares 2 3 10 3" xfId="9986"/>
    <cellStyle name="Millares 2 3 11" xfId="4285"/>
    <cellStyle name="Millares 2 3 11 2" xfId="9988"/>
    <cellStyle name="Millares 2 3 12" xfId="9985"/>
    <cellStyle name="Millares 2 3 13" xfId="3899"/>
    <cellStyle name="Millares 2 3 2" xfId="862"/>
    <cellStyle name="Millares 2 3 2 2" xfId="4230"/>
    <cellStyle name="Millares 2 3 2 2 2" xfId="9665"/>
    <cellStyle name="Millares 2 3 2 2 2 2" xfId="9990"/>
    <cellStyle name="Millares 2 3 2 2 3" xfId="9989"/>
    <cellStyle name="Millares 2 3 2 3" xfId="7610"/>
    <cellStyle name="Millares 2 3 3" xfId="863"/>
    <cellStyle name="Millares 2 3 3 2" xfId="7611"/>
    <cellStyle name="Millares 2 3 4" xfId="864"/>
    <cellStyle name="Millares 2 3 4 2" xfId="7612"/>
    <cellStyle name="Millares 2 3 5" xfId="865"/>
    <cellStyle name="Millares 2 3 5 2" xfId="7613"/>
    <cellStyle name="Millares 2 3 6" xfId="866"/>
    <cellStyle name="Millares 2 3 6 2" xfId="7614"/>
    <cellStyle name="Millares 2 3 7" xfId="867"/>
    <cellStyle name="Millares 2 3 7 2" xfId="7615"/>
    <cellStyle name="Millares 2 3 8" xfId="868"/>
    <cellStyle name="Millares 2 3 8 2" xfId="7616"/>
    <cellStyle name="Millares 2 3 9" xfId="4095"/>
    <cellStyle name="Millares 2 3 9 2" xfId="9562"/>
    <cellStyle name="Millares 2 3 9 2 2" xfId="9992"/>
    <cellStyle name="Millares 2 3 9 3" xfId="9991"/>
    <cellStyle name="Millares 2 30" xfId="869"/>
    <cellStyle name="Millares 2 30 2" xfId="7617"/>
    <cellStyle name="Millares 2 30 2 2" xfId="9994"/>
    <cellStyle name="Millares 2 30 3" xfId="9993"/>
    <cellStyle name="Millares 2 30 4" xfId="3900"/>
    <cellStyle name="Millares 2 31" xfId="870"/>
    <cellStyle name="Millares 2 31 2" xfId="7618"/>
    <cellStyle name="Millares 2 31 2 2" xfId="9996"/>
    <cellStyle name="Millares 2 31 3" xfId="9995"/>
    <cellStyle name="Millares 2 31 4" xfId="3901"/>
    <cellStyle name="Millares 2 32" xfId="871"/>
    <cellStyle name="Millares 2 32 2" xfId="9997"/>
    <cellStyle name="Millares 2 32 3" xfId="3902"/>
    <cellStyle name="Millares 2 33" xfId="872"/>
    <cellStyle name="Millares 2 33 2" xfId="9998"/>
    <cellStyle name="Millares 2 33 3" xfId="3903"/>
    <cellStyle name="Millares 2 34" xfId="873"/>
    <cellStyle name="Millares 2 34 2" xfId="9999"/>
    <cellStyle name="Millares 2 34 3" xfId="3904"/>
    <cellStyle name="Millares 2 35" xfId="874"/>
    <cellStyle name="Millares 2 35 2" xfId="10000"/>
    <cellStyle name="Millares 2 35 3" xfId="3905"/>
    <cellStyle name="Millares 2 36" xfId="875"/>
    <cellStyle name="Millares 2 36 2" xfId="10001"/>
    <cellStyle name="Millares 2 36 3" xfId="3906"/>
    <cellStyle name="Millares 2 37" xfId="876"/>
    <cellStyle name="Millares 2 37 2" xfId="10002"/>
    <cellStyle name="Millares 2 37 3" xfId="3907"/>
    <cellStyle name="Millares 2 38" xfId="877"/>
    <cellStyle name="Millares 2 38 2" xfId="10003"/>
    <cellStyle name="Millares 2 38 3" xfId="3908"/>
    <cellStyle name="Millares 2 39" xfId="878"/>
    <cellStyle name="Millares 2 39 2" xfId="10004"/>
    <cellStyle name="Millares 2 39 3" xfId="3909"/>
    <cellStyle name="Millares 2 4" xfId="879"/>
    <cellStyle name="Millares 2 4 10" xfId="4161"/>
    <cellStyle name="Millares 2 4 10 2" xfId="9596"/>
    <cellStyle name="Millares 2 4 10 2 2" xfId="10007"/>
    <cellStyle name="Millares 2 4 10 3" xfId="10006"/>
    <cellStyle name="Millares 2 4 11" xfId="7619"/>
    <cellStyle name="Millares 2 4 11 2" xfId="10008"/>
    <cellStyle name="Millares 2 4 12" xfId="10005"/>
    <cellStyle name="Millares 2 4 13" xfId="3910"/>
    <cellStyle name="Millares 2 4 2" xfId="880"/>
    <cellStyle name="Millares 2 4 2 2" xfId="4212"/>
    <cellStyle name="Millares 2 4 2 2 2" xfId="9647"/>
    <cellStyle name="Millares 2 4 2 2 2 2" xfId="10010"/>
    <cellStyle name="Millares 2 4 2 2 3" xfId="10009"/>
    <cellStyle name="Millares 2 4 3" xfId="881"/>
    <cellStyle name="Millares 2 4 4" xfId="882"/>
    <cellStyle name="Millares 2 4 5" xfId="883"/>
    <cellStyle name="Millares 2 4 6" xfId="884"/>
    <cellStyle name="Millares 2 4 7" xfId="885"/>
    <cellStyle name="Millares 2 4 8" xfId="886"/>
    <cellStyle name="Millares 2 4 9" xfId="4057"/>
    <cellStyle name="Millares 2 4 9 2" xfId="9543"/>
    <cellStyle name="Millares 2 4 9 2 2" xfId="10012"/>
    <cellStyle name="Millares 2 4 9 3" xfId="10011"/>
    <cellStyle name="Millares 2 40" xfId="887"/>
    <cellStyle name="Millares 2 40 2" xfId="10013"/>
    <cellStyle name="Millares 2 40 3" xfId="3911"/>
    <cellStyle name="Millares 2 41" xfId="888"/>
    <cellStyle name="Millares 2 41 2" xfId="10014"/>
    <cellStyle name="Millares 2 41 3" xfId="3912"/>
    <cellStyle name="Millares 2 42" xfId="889"/>
    <cellStyle name="Millares 2 42 2" xfId="10015"/>
    <cellStyle name="Millares 2 42 3" xfId="3913"/>
    <cellStyle name="Millares 2 43" xfId="890"/>
    <cellStyle name="Millares 2 43 2" xfId="10016"/>
    <cellStyle name="Millares 2 43 3" xfId="3914"/>
    <cellStyle name="Millares 2 44" xfId="891"/>
    <cellStyle name="Millares 2 44 2" xfId="10017"/>
    <cellStyle name="Millares 2 44 3" xfId="3915"/>
    <cellStyle name="Millares 2 45" xfId="892"/>
    <cellStyle name="Millares 2 45 2" xfId="10018"/>
    <cellStyle name="Millares 2 45 3" xfId="3916"/>
    <cellStyle name="Millares 2 46" xfId="893"/>
    <cellStyle name="Millares 2 46 2" xfId="10019"/>
    <cellStyle name="Millares 2 46 3" xfId="3917"/>
    <cellStyle name="Millares 2 47" xfId="894"/>
    <cellStyle name="Millares 2 47 2" xfId="10020"/>
    <cellStyle name="Millares 2 47 3" xfId="3918"/>
    <cellStyle name="Millares 2 48" xfId="895"/>
    <cellStyle name="Millares 2 48 2" xfId="10021"/>
    <cellStyle name="Millares 2 48 3" xfId="3919"/>
    <cellStyle name="Millares 2 49" xfId="896"/>
    <cellStyle name="Millares 2 49 2" xfId="10022"/>
    <cellStyle name="Millares 2 49 3" xfId="3920"/>
    <cellStyle name="Millares 2 5" xfId="897"/>
    <cellStyle name="Millares 2 5 2" xfId="4196"/>
    <cellStyle name="Millares 2 5 2 2" xfId="9631"/>
    <cellStyle name="Millares 2 5 2 2 2" xfId="10025"/>
    <cellStyle name="Millares 2 5 2 3" xfId="10024"/>
    <cellStyle name="Millares 2 5 3" xfId="7620"/>
    <cellStyle name="Millares 2 5 3 2" xfId="10026"/>
    <cellStyle name="Millares 2 5 4" xfId="10023"/>
    <cellStyle name="Millares 2 5 5" xfId="3921"/>
    <cellStyle name="Millares 2 50" xfId="898"/>
    <cellStyle name="Millares 2 50 2" xfId="10027"/>
    <cellStyle name="Millares 2 50 3" xfId="3922"/>
    <cellStyle name="Millares 2 51" xfId="899"/>
    <cellStyle name="Millares 2 51 2" xfId="10028"/>
    <cellStyle name="Millares 2 51 3" xfId="3923"/>
    <cellStyle name="Millares 2 52" xfId="900"/>
    <cellStyle name="Millares 2 52 2" xfId="10029"/>
    <cellStyle name="Millares 2 52 3" xfId="3924"/>
    <cellStyle name="Millares 2 53" xfId="901"/>
    <cellStyle name="Millares 2 53 2" xfId="10030"/>
    <cellStyle name="Millares 2 53 3" xfId="3925"/>
    <cellStyle name="Millares 2 54" xfId="902"/>
    <cellStyle name="Millares 2 54 2" xfId="10031"/>
    <cellStyle name="Millares 2 54 3" xfId="3926"/>
    <cellStyle name="Millares 2 55" xfId="903"/>
    <cellStyle name="Millares 2 55 2" xfId="10032"/>
    <cellStyle name="Millares 2 55 3" xfId="3927"/>
    <cellStyle name="Millares 2 56" xfId="904"/>
    <cellStyle name="Millares 2 56 2" xfId="10033"/>
    <cellStyle name="Millares 2 56 3" xfId="3928"/>
    <cellStyle name="Millares 2 57" xfId="905"/>
    <cellStyle name="Millares 2 57 2" xfId="10034"/>
    <cellStyle name="Millares 2 57 3" xfId="3929"/>
    <cellStyle name="Millares 2 58" xfId="906"/>
    <cellStyle name="Millares 2 58 2" xfId="10035"/>
    <cellStyle name="Millares 2 58 3" xfId="3930"/>
    <cellStyle name="Millares 2 59" xfId="907"/>
    <cellStyle name="Millares 2 59 2" xfId="10036"/>
    <cellStyle name="Millares 2 59 3" xfId="3931"/>
    <cellStyle name="Millares 2 6" xfId="908"/>
    <cellStyle name="Millares 2 6 2" xfId="4246"/>
    <cellStyle name="Millares 2 6 2 2" xfId="10038"/>
    <cellStyle name="Millares 2 6 3" xfId="10037"/>
    <cellStyle name="Millares 2 6 4" xfId="3932"/>
    <cellStyle name="Millares 2 60" xfId="909"/>
    <cellStyle name="Millares 2 60 2" xfId="10039"/>
    <cellStyle name="Millares 2 60 3" xfId="3933"/>
    <cellStyle name="Millares 2 61" xfId="910"/>
    <cellStyle name="Millares 2 61 2" xfId="10040"/>
    <cellStyle name="Millares 2 61 3" xfId="3934"/>
    <cellStyle name="Millares 2 62" xfId="911"/>
    <cellStyle name="Millares 2 62 2" xfId="10041"/>
    <cellStyle name="Millares 2 62 3" xfId="3935"/>
    <cellStyle name="Millares 2 63" xfId="912"/>
    <cellStyle name="Millares 2 63 2" xfId="10042"/>
    <cellStyle name="Millares 2 63 3" xfId="3936"/>
    <cellStyle name="Millares 2 64" xfId="913"/>
    <cellStyle name="Millares 2 64 2" xfId="10043"/>
    <cellStyle name="Millares 2 64 3" xfId="3937"/>
    <cellStyle name="Millares 2 65" xfId="914"/>
    <cellStyle name="Millares 2 65 2" xfId="10044"/>
    <cellStyle name="Millares 2 65 3" xfId="3938"/>
    <cellStyle name="Millares 2 66" xfId="915"/>
    <cellStyle name="Millares 2 66 2" xfId="10045"/>
    <cellStyle name="Millares 2 66 3" xfId="3939"/>
    <cellStyle name="Millares 2 67" xfId="916"/>
    <cellStyle name="Millares 2 67 2" xfId="10046"/>
    <cellStyle name="Millares 2 67 3" xfId="3940"/>
    <cellStyle name="Millares 2 68" xfId="917"/>
    <cellStyle name="Millares 2 68 2" xfId="10047"/>
    <cellStyle name="Millares 2 68 3" xfId="3941"/>
    <cellStyle name="Millares 2 69" xfId="918"/>
    <cellStyle name="Millares 2 69 2" xfId="10048"/>
    <cellStyle name="Millares 2 69 3" xfId="3942"/>
    <cellStyle name="Millares 2 7" xfId="919"/>
    <cellStyle name="Millares 2 7 2" xfId="7621"/>
    <cellStyle name="Millares 2 7 2 2" xfId="10050"/>
    <cellStyle name="Millares 2 7 3" xfId="10049"/>
    <cellStyle name="Millares 2 7 4" xfId="3943"/>
    <cellStyle name="Millares 2 70" xfId="920"/>
    <cellStyle name="Millares 2 70 2" xfId="10051"/>
    <cellStyle name="Millares 2 70 3" xfId="3944"/>
    <cellStyle name="Millares 2 71" xfId="921"/>
    <cellStyle name="Millares 2 71 2" xfId="10052"/>
    <cellStyle name="Millares 2 71 3" xfId="3945"/>
    <cellStyle name="Millares 2 72" xfId="922"/>
    <cellStyle name="Millares 2 72 2" xfId="10053"/>
    <cellStyle name="Millares 2 72 3" xfId="3946"/>
    <cellStyle name="Millares 2 73" xfId="923"/>
    <cellStyle name="Millares 2 73 2" xfId="10054"/>
    <cellStyle name="Millares 2 73 3" xfId="3947"/>
    <cellStyle name="Millares 2 74" xfId="924"/>
    <cellStyle name="Millares 2 74 2" xfId="10055"/>
    <cellStyle name="Millares 2 74 3" xfId="3948"/>
    <cellStyle name="Millares 2 75" xfId="925"/>
    <cellStyle name="Millares 2 75 2" xfId="10056"/>
    <cellStyle name="Millares 2 75 3" xfId="3949"/>
    <cellStyle name="Millares 2 76" xfId="926"/>
    <cellStyle name="Millares 2 76 2" xfId="10057"/>
    <cellStyle name="Millares 2 76 3" xfId="3950"/>
    <cellStyle name="Millares 2 77" xfId="927"/>
    <cellStyle name="Millares 2 77 2" xfId="10058"/>
    <cellStyle name="Millares 2 77 3" xfId="3951"/>
    <cellStyle name="Millares 2 78" xfId="928"/>
    <cellStyle name="Millares 2 78 2" xfId="10059"/>
    <cellStyle name="Millares 2 78 3" xfId="3952"/>
    <cellStyle name="Millares 2 79" xfId="929"/>
    <cellStyle name="Millares 2 79 2" xfId="10060"/>
    <cellStyle name="Millares 2 79 3" xfId="3953"/>
    <cellStyle name="Millares 2 8" xfId="930"/>
    <cellStyle name="Millares 2 8 2" xfId="7622"/>
    <cellStyle name="Millares 2 8 2 2" xfId="10062"/>
    <cellStyle name="Millares 2 8 3" xfId="10061"/>
    <cellStyle name="Millares 2 8 4" xfId="3954"/>
    <cellStyle name="Millares 2 80" xfId="931"/>
    <cellStyle name="Millares 2 80 2" xfId="10063"/>
    <cellStyle name="Millares 2 80 3" xfId="3955"/>
    <cellStyle name="Millares 2 81" xfId="932"/>
    <cellStyle name="Millares 2 81 2" xfId="10064"/>
    <cellStyle name="Millares 2 81 3" xfId="3956"/>
    <cellStyle name="Millares 2 82" xfId="933"/>
    <cellStyle name="Millares 2 82 2" xfId="10065"/>
    <cellStyle name="Millares 2 82 3" xfId="3957"/>
    <cellStyle name="Millares 2 83" xfId="934"/>
    <cellStyle name="Millares 2 83 2" xfId="10066"/>
    <cellStyle name="Millares 2 83 3" xfId="3958"/>
    <cellStyle name="Millares 2 84" xfId="4021"/>
    <cellStyle name="Millares 2 84 2" xfId="9527"/>
    <cellStyle name="Millares 2 84 2 2" xfId="10068"/>
    <cellStyle name="Millares 2 84 3" xfId="10067"/>
    <cellStyle name="Millares 2 85" xfId="4142"/>
    <cellStyle name="Millares 2 85 2" xfId="9580"/>
    <cellStyle name="Millares 2 85 2 2" xfId="10070"/>
    <cellStyle name="Millares 2 85 3" xfId="10069"/>
    <cellStyle name="Millares 2 86" xfId="9819"/>
    <cellStyle name="Millares 2 87" xfId="3843"/>
    <cellStyle name="Millares 2 9" xfId="935"/>
    <cellStyle name="Millares 2 9 2" xfId="7623"/>
    <cellStyle name="Millares 2 9 2 2" xfId="10072"/>
    <cellStyle name="Millares 2 9 3" xfId="10071"/>
    <cellStyle name="Millares 2 9 4" xfId="3959"/>
    <cellStyle name="Millares 20" xfId="4280"/>
    <cellStyle name="Millares 20 2" xfId="10073"/>
    <cellStyle name="Millares 21" xfId="4289"/>
    <cellStyle name="Millares 21 2" xfId="10074"/>
    <cellStyle name="Millares 22" xfId="4290"/>
    <cellStyle name="Millares 22 2" xfId="10075"/>
    <cellStyle name="Millares 23" xfId="4273"/>
    <cellStyle name="Millares 23 2" xfId="10076"/>
    <cellStyle name="Millares 24" xfId="4299"/>
    <cellStyle name="Millares 24 2" xfId="10077"/>
    <cellStyle name="Millares 25" xfId="4298"/>
    <cellStyle name="Millares 25 2" xfId="10078"/>
    <cellStyle name="Millares 26" xfId="7555"/>
    <cellStyle name="Millares 26 2" xfId="10079"/>
    <cellStyle name="Millares 27" xfId="3841"/>
    <cellStyle name="Millares 3" xfId="936"/>
    <cellStyle name="Millares 3 10" xfId="937"/>
    <cellStyle name="Millares 3 11" xfId="938"/>
    <cellStyle name="Millares 3 12" xfId="939"/>
    <cellStyle name="Millares 3 12 2" xfId="7625"/>
    <cellStyle name="Millares 3 12 2 2" xfId="10081"/>
    <cellStyle name="Millares 3 12 3" xfId="10080"/>
    <cellStyle name="Millares 3 12 4" xfId="3960"/>
    <cellStyle name="Millares 3 13" xfId="940"/>
    <cellStyle name="Millares 3 13 2" xfId="7626"/>
    <cellStyle name="Millares 3 13 2 2" xfId="10083"/>
    <cellStyle name="Millares 3 13 3" xfId="10082"/>
    <cellStyle name="Millares 3 13 4" xfId="3961"/>
    <cellStyle name="Millares 3 14" xfId="941"/>
    <cellStyle name="Millares 3 14 2" xfId="7627"/>
    <cellStyle name="Millares 3 14 2 2" xfId="10085"/>
    <cellStyle name="Millares 3 14 3" xfId="10084"/>
    <cellStyle name="Millares 3 14 4" xfId="3962"/>
    <cellStyle name="Millares 3 15" xfId="942"/>
    <cellStyle name="Millares 3 15 2" xfId="7628"/>
    <cellStyle name="Millares 3 15 2 2" xfId="10087"/>
    <cellStyle name="Millares 3 15 3" xfId="10086"/>
    <cellStyle name="Millares 3 15 4" xfId="3963"/>
    <cellStyle name="Millares 3 16" xfId="943"/>
    <cellStyle name="Millares 3 16 2" xfId="7629"/>
    <cellStyle name="Millares 3 16 2 2" xfId="10089"/>
    <cellStyle name="Millares 3 16 3" xfId="10088"/>
    <cellStyle name="Millares 3 16 4" xfId="3964"/>
    <cellStyle name="Millares 3 17" xfId="944"/>
    <cellStyle name="Millares 3 17 2" xfId="7630"/>
    <cellStyle name="Millares 3 17 2 2" xfId="10091"/>
    <cellStyle name="Millares 3 17 3" xfId="10090"/>
    <cellStyle name="Millares 3 17 4" xfId="3965"/>
    <cellStyle name="Millares 3 18" xfId="945"/>
    <cellStyle name="Millares 3 18 2" xfId="7631"/>
    <cellStyle name="Millares 3 18 2 2" xfId="10093"/>
    <cellStyle name="Millares 3 18 3" xfId="10092"/>
    <cellStyle name="Millares 3 18 4" xfId="3966"/>
    <cellStyle name="Millares 3 19" xfId="946"/>
    <cellStyle name="Millares 3 19 2" xfId="7632"/>
    <cellStyle name="Millares 3 19 2 2" xfId="10095"/>
    <cellStyle name="Millares 3 19 3" xfId="10094"/>
    <cellStyle name="Millares 3 19 4" xfId="3967"/>
    <cellStyle name="Millares 3 2" xfId="947"/>
    <cellStyle name="Millares 3 2 10" xfId="4193"/>
    <cellStyle name="Millares 3 2 10 2" xfId="9628"/>
    <cellStyle name="Millares 3 2 10 2 2" xfId="10098"/>
    <cellStyle name="Millares 3 2 10 3" xfId="10097"/>
    <cellStyle name="Millares 3 2 11" xfId="7633"/>
    <cellStyle name="Millares 3 2 11 2" xfId="10099"/>
    <cellStyle name="Millares 3 2 12" xfId="10096"/>
    <cellStyle name="Millares 3 2 13" xfId="3968"/>
    <cellStyle name="Millares 3 2 2" xfId="948"/>
    <cellStyle name="Millares 3 2 2 2" xfId="4244"/>
    <cellStyle name="Millares 3 2 2 2 2" xfId="9679"/>
    <cellStyle name="Millares 3 2 2 2 2 2" xfId="10101"/>
    <cellStyle name="Millares 3 2 2 2 3" xfId="10100"/>
    <cellStyle name="Millares 3 2 3" xfId="949"/>
    <cellStyle name="Millares 3 2 4" xfId="950"/>
    <cellStyle name="Millares 3 2 5" xfId="951"/>
    <cellStyle name="Millares 3 2 6" xfId="952"/>
    <cellStyle name="Millares 3 2 7" xfId="953"/>
    <cellStyle name="Millares 3 2 8" xfId="954"/>
    <cellStyle name="Millares 3 2 9" xfId="4129"/>
    <cellStyle name="Millares 3 2 9 2" xfId="9576"/>
    <cellStyle name="Millares 3 2 9 2 2" xfId="10103"/>
    <cellStyle name="Millares 3 2 9 3" xfId="10102"/>
    <cellStyle name="Millares 3 20" xfId="955"/>
    <cellStyle name="Millares 3 20 2" xfId="7634"/>
    <cellStyle name="Millares 3 20 2 2" xfId="10105"/>
    <cellStyle name="Millares 3 20 3" xfId="10104"/>
    <cellStyle name="Millares 3 20 4" xfId="3969"/>
    <cellStyle name="Millares 3 21" xfId="956"/>
    <cellStyle name="Millares 3 21 2" xfId="7635"/>
    <cellStyle name="Millares 3 21 2 2" xfId="10107"/>
    <cellStyle name="Millares 3 21 3" xfId="10106"/>
    <cellStyle name="Millares 3 21 4" xfId="3970"/>
    <cellStyle name="Millares 3 22" xfId="957"/>
    <cellStyle name="Millares 3 22 2" xfId="7636"/>
    <cellStyle name="Millares 3 22 2 2" xfId="10109"/>
    <cellStyle name="Millares 3 22 3" xfId="10108"/>
    <cellStyle name="Millares 3 22 4" xfId="3971"/>
    <cellStyle name="Millares 3 23" xfId="958"/>
    <cellStyle name="Millares 3 23 2" xfId="7637"/>
    <cellStyle name="Millares 3 23 2 2" xfId="10111"/>
    <cellStyle name="Millares 3 23 3" xfId="10110"/>
    <cellStyle name="Millares 3 23 4" xfId="3972"/>
    <cellStyle name="Millares 3 24" xfId="959"/>
    <cellStyle name="Millares 3 24 2" xfId="7638"/>
    <cellStyle name="Millares 3 24 2 2" xfId="10113"/>
    <cellStyle name="Millares 3 24 3" xfId="10112"/>
    <cellStyle name="Millares 3 24 4" xfId="3973"/>
    <cellStyle name="Millares 3 25" xfId="960"/>
    <cellStyle name="Millares 3 25 2" xfId="7639"/>
    <cellStyle name="Millares 3 25 2 2" xfId="10115"/>
    <cellStyle name="Millares 3 25 3" xfId="10114"/>
    <cellStyle name="Millares 3 25 4" xfId="3974"/>
    <cellStyle name="Millares 3 26" xfId="961"/>
    <cellStyle name="Millares 3 26 2" xfId="7640"/>
    <cellStyle name="Millares 3 26 2 2" xfId="10117"/>
    <cellStyle name="Millares 3 26 3" xfId="10116"/>
    <cellStyle name="Millares 3 26 4" xfId="3975"/>
    <cellStyle name="Millares 3 27" xfId="962"/>
    <cellStyle name="Millares 3 27 2" xfId="7641"/>
    <cellStyle name="Millares 3 27 2 2" xfId="10119"/>
    <cellStyle name="Millares 3 27 3" xfId="10118"/>
    <cellStyle name="Millares 3 27 4" xfId="3976"/>
    <cellStyle name="Millares 3 28" xfId="963"/>
    <cellStyle name="Millares 3 28 2" xfId="7642"/>
    <cellStyle name="Millares 3 28 2 2" xfId="10121"/>
    <cellStyle name="Millares 3 28 3" xfId="10120"/>
    <cellStyle name="Millares 3 28 4" xfId="3977"/>
    <cellStyle name="Millares 3 29" xfId="964"/>
    <cellStyle name="Millares 3 29 2" xfId="7643"/>
    <cellStyle name="Millares 3 29 2 2" xfId="10123"/>
    <cellStyle name="Millares 3 29 3" xfId="10122"/>
    <cellStyle name="Millares 3 29 4" xfId="3978"/>
    <cellStyle name="Millares 3 3" xfId="965"/>
    <cellStyle name="Millares 3 3 2" xfId="4088"/>
    <cellStyle name="Millares 3 3 2 2" xfId="4226"/>
    <cellStyle name="Millares 3 3 2 2 2" xfId="9661"/>
    <cellStyle name="Millares 3 3 2 2 2 2" xfId="10127"/>
    <cellStyle name="Millares 3 3 2 2 3" xfId="10126"/>
    <cellStyle name="Millares 3 3 2 3" xfId="9557"/>
    <cellStyle name="Millares 3 3 2 3 2" xfId="10128"/>
    <cellStyle name="Millares 3 3 2 4" xfId="10125"/>
    <cellStyle name="Millares 3 3 3" xfId="4175"/>
    <cellStyle name="Millares 3 3 3 2" xfId="9610"/>
    <cellStyle name="Millares 3 3 3 2 2" xfId="10130"/>
    <cellStyle name="Millares 3 3 3 3" xfId="10129"/>
    <cellStyle name="Millares 3 3 4" xfId="7644"/>
    <cellStyle name="Millares 3 3 4 2" xfId="10131"/>
    <cellStyle name="Millares 3 3 5" xfId="10124"/>
    <cellStyle name="Millares 3 3 6" xfId="3979"/>
    <cellStyle name="Millares 3 30" xfId="966"/>
    <cellStyle name="Millares 3 30 2" xfId="7645"/>
    <cellStyle name="Millares 3 30 2 2" xfId="10133"/>
    <cellStyle name="Millares 3 30 3" xfId="10132"/>
    <cellStyle name="Millares 3 30 4" xfId="3980"/>
    <cellStyle name="Millares 3 31" xfId="4055"/>
    <cellStyle name="Millares 3 31 2" xfId="9541"/>
    <cellStyle name="Millares 3 31 2 2" xfId="10135"/>
    <cellStyle name="Millares 3 31 3" xfId="10134"/>
    <cellStyle name="Millares 3 32" xfId="4159"/>
    <cellStyle name="Millares 3 32 2" xfId="9594"/>
    <cellStyle name="Millares 3 32 2 2" xfId="10137"/>
    <cellStyle name="Millares 3 32 3" xfId="10136"/>
    <cellStyle name="Millares 3 33" xfId="4250"/>
    <cellStyle name="Millares 3 33 2" xfId="10138"/>
    <cellStyle name="Millares 3 34" xfId="7624"/>
    <cellStyle name="Millares 3 4" xfId="967"/>
    <cellStyle name="Millares 3 4 2" xfId="4210"/>
    <cellStyle name="Millares 3 4 2 2" xfId="9645"/>
    <cellStyle name="Millares 3 4 2 2 2" xfId="10141"/>
    <cellStyle name="Millares 3 4 2 3" xfId="10140"/>
    <cellStyle name="Millares 3 4 3" xfId="7646"/>
    <cellStyle name="Millares 3 4 3 2" xfId="10142"/>
    <cellStyle name="Millares 3 4 4" xfId="10139"/>
    <cellStyle name="Millares 3 4 5" xfId="3981"/>
    <cellStyle name="Millares 3 5" xfId="968"/>
    <cellStyle name="Millares 3 6" xfId="969"/>
    <cellStyle name="Millares 3 7" xfId="970"/>
    <cellStyle name="Millares 3 8" xfId="971"/>
    <cellStyle name="Millares 3 9" xfId="972"/>
    <cellStyle name="Millares 4" xfId="973"/>
    <cellStyle name="Millares 4 10" xfId="4318"/>
    <cellStyle name="Millares 4 2" xfId="974"/>
    <cellStyle name="Millares 4 2 2" xfId="10143"/>
    <cellStyle name="Millares 4 2 3" xfId="3982"/>
    <cellStyle name="Millares 4 3" xfId="975"/>
    <cellStyle name="Millares 4 3 2" xfId="10144"/>
    <cellStyle name="Millares 4 3 3" xfId="3983"/>
    <cellStyle name="Millares 4 4" xfId="976"/>
    <cellStyle name="Millares 4 4 2" xfId="10145"/>
    <cellStyle name="Millares 4 4 3" xfId="3984"/>
    <cellStyle name="Millares 4 5" xfId="977"/>
    <cellStyle name="Millares 4 5 2" xfId="10146"/>
    <cellStyle name="Millares 4 5 3" xfId="3985"/>
    <cellStyle name="Millares 4 6" xfId="978"/>
    <cellStyle name="Millares 4 6 2" xfId="10147"/>
    <cellStyle name="Millares 4 6 3" xfId="3986"/>
    <cellStyle name="Millares 4 7" xfId="979"/>
    <cellStyle name="Millares 4 7 2" xfId="10148"/>
    <cellStyle name="Millares 4 7 3" xfId="3987"/>
    <cellStyle name="Millares 4 8" xfId="980"/>
    <cellStyle name="Millares 4 8 2" xfId="10149"/>
    <cellStyle name="Millares 4 8 3" xfId="3988"/>
    <cellStyle name="Millares 4 9" xfId="4094"/>
    <cellStyle name="Millares 4 9 2" xfId="10150"/>
    <cellStyle name="Millares 5" xfId="981"/>
    <cellStyle name="Millares 5 10" xfId="7647"/>
    <cellStyle name="Millares 5 2" xfId="982"/>
    <cellStyle name="Millares 5 2 2" xfId="10151"/>
    <cellStyle name="Millares 5 2 3" xfId="3989"/>
    <cellStyle name="Millares 5 3" xfId="983"/>
    <cellStyle name="Millares 5 3 2" xfId="10152"/>
    <cellStyle name="Millares 5 3 3" xfId="3990"/>
    <cellStyle name="Millares 5 4" xfId="984"/>
    <cellStyle name="Millares 5 4 2" xfId="10153"/>
    <cellStyle name="Millares 5 4 3" xfId="3991"/>
    <cellStyle name="Millares 5 5" xfId="985"/>
    <cellStyle name="Millares 5 5 2" xfId="10154"/>
    <cellStyle name="Millares 5 5 3" xfId="3992"/>
    <cellStyle name="Millares 5 6" xfId="986"/>
    <cellStyle name="Millares 5 6 2" xfId="10155"/>
    <cellStyle name="Millares 5 6 3" xfId="3993"/>
    <cellStyle name="Millares 5 7" xfId="987"/>
    <cellStyle name="Millares 5 7 2" xfId="10156"/>
    <cellStyle name="Millares 5 7 3" xfId="3994"/>
    <cellStyle name="Millares 5 8" xfId="988"/>
    <cellStyle name="Millares 5 8 2" xfId="10157"/>
    <cellStyle name="Millares 5 8 3" xfId="3995"/>
    <cellStyle name="Millares 5 9" xfId="4131"/>
    <cellStyle name="Millares 5 9 2" xfId="10158"/>
    <cellStyle name="Millares 6" xfId="989"/>
    <cellStyle name="Millares 6 10" xfId="7538"/>
    <cellStyle name="Millares 6 2" xfId="990"/>
    <cellStyle name="Millares 6 3" xfId="991"/>
    <cellStyle name="Millares 6 4" xfId="992"/>
    <cellStyle name="Millares 6 5" xfId="993"/>
    <cellStyle name="Millares 6 6" xfId="994"/>
    <cellStyle name="Millares 6 7" xfId="995"/>
    <cellStyle name="Millares 6 8" xfId="996"/>
    <cellStyle name="Millares 6 9" xfId="4136"/>
    <cellStyle name="Millares 6 9 2" xfId="10159"/>
    <cellStyle name="Millares 7" xfId="997"/>
    <cellStyle name="Millares 7 10" xfId="7539"/>
    <cellStyle name="Millares 7 2" xfId="998"/>
    <cellStyle name="Millares 7 3" xfId="999"/>
    <cellStyle name="Millares 7 4" xfId="1000"/>
    <cellStyle name="Millares 7 5" xfId="1001"/>
    <cellStyle name="Millares 7 6" xfId="1002"/>
    <cellStyle name="Millares 7 7" xfId="1003"/>
    <cellStyle name="Millares 7 8" xfId="1004"/>
    <cellStyle name="Millares 7 9" xfId="4134"/>
    <cellStyle name="Millares 7 9 2" xfId="10160"/>
    <cellStyle name="Millares 8" xfId="1005"/>
    <cellStyle name="Millares 8 10" xfId="4320"/>
    <cellStyle name="Millares 8 2" xfId="1006"/>
    <cellStyle name="Millares 8 3" xfId="1007"/>
    <cellStyle name="Millares 8 4" xfId="1008"/>
    <cellStyle name="Millares 8 5" xfId="1009"/>
    <cellStyle name="Millares 8 6" xfId="1010"/>
    <cellStyle name="Millares 8 7" xfId="1011"/>
    <cellStyle name="Millares 8 8" xfId="1012"/>
    <cellStyle name="Millares 8 9" xfId="4138"/>
    <cellStyle name="Millares 8 9 2" xfId="10161"/>
    <cellStyle name="Millares 9" xfId="1013"/>
    <cellStyle name="Millares 9 10" xfId="10162"/>
    <cellStyle name="Millares 9 11" xfId="3996"/>
    <cellStyle name="Millares 9 2" xfId="1014"/>
    <cellStyle name="Millares 9 2 2" xfId="10163"/>
    <cellStyle name="Millares 9 2 3" xfId="3997"/>
    <cellStyle name="Millares 9 3" xfId="1015"/>
    <cellStyle name="Millares 9 3 2" xfId="10164"/>
    <cellStyle name="Millares 9 3 3" xfId="3998"/>
    <cellStyle name="Millares 9 4" xfId="1016"/>
    <cellStyle name="Millares 9 4 2" xfId="10165"/>
    <cellStyle name="Millares 9 4 3" xfId="3999"/>
    <cellStyle name="Millares 9 5" xfId="1017"/>
    <cellStyle name="Millares 9 5 2" xfId="10166"/>
    <cellStyle name="Millares 9 5 3" xfId="4000"/>
    <cellStyle name="Millares 9 6" xfId="1018"/>
    <cellStyle name="Millares 9 6 2" xfId="10167"/>
    <cellStyle name="Millares 9 6 3" xfId="4001"/>
    <cellStyle name="Millares 9 7" xfId="1019"/>
    <cellStyle name="Millares 9 7 2" xfId="10168"/>
    <cellStyle name="Millares 9 7 3" xfId="4002"/>
    <cellStyle name="Millares 9 8" xfId="1020"/>
    <cellStyle name="Millares 9 8 2" xfId="10169"/>
    <cellStyle name="Millares 9 8 3" xfId="4003"/>
    <cellStyle name="Millares 9 9" xfId="4020"/>
    <cellStyle name="Millares 9 9 2" xfId="10170"/>
    <cellStyle name="Millares_EIL GENERAL TOTAL AGLOS" xfId="6"/>
    <cellStyle name="Moneda 10" xfId="4256"/>
    <cellStyle name="Moneda 10 2" xfId="10171"/>
    <cellStyle name="Moneda 11" xfId="4255"/>
    <cellStyle name="Moneda 11 2" xfId="10172"/>
    <cellStyle name="Moneda 12" xfId="4257"/>
    <cellStyle name="Moneda 12 2" xfId="10173"/>
    <cellStyle name="Moneda 2" xfId="1021"/>
    <cellStyle name="Moneda 2 10" xfId="10174"/>
    <cellStyle name="Moneda 2 11" xfId="4004"/>
    <cellStyle name="Moneda 2 2" xfId="1022"/>
    <cellStyle name="Moneda 2 2 2" xfId="4105"/>
    <cellStyle name="Moneda 2 2 2 2" xfId="10175"/>
    <cellStyle name="Moneda 2 3" xfId="1023"/>
    <cellStyle name="Moneda 2 3 2" xfId="4064"/>
    <cellStyle name="Moneda 2 3 2 2" xfId="10176"/>
    <cellStyle name="Moneda 2 4" xfId="1024"/>
    <cellStyle name="Moneda 2 5" xfId="1025"/>
    <cellStyle name="Moneda 2 6" xfId="1026"/>
    <cellStyle name="Moneda 2 7" xfId="1027"/>
    <cellStyle name="Moneda 2 8" xfId="1028"/>
    <cellStyle name="Moneda 2 9" xfId="4030"/>
    <cellStyle name="Moneda 2 9 2" xfId="10177"/>
    <cellStyle name="Moneda 3" xfId="1029"/>
    <cellStyle name="Moneda 3 2" xfId="4096"/>
    <cellStyle name="Moneda 3 2 2" xfId="10178"/>
    <cellStyle name="Moneda 4" xfId="4132"/>
    <cellStyle name="Moneda 4 2" xfId="10179"/>
    <cellStyle name="Moneda 5" xfId="4135"/>
    <cellStyle name="Moneda 5 2" xfId="10180"/>
    <cellStyle name="Moneda 6" xfId="4133"/>
    <cellStyle name="Moneda 6 2" xfId="10181"/>
    <cellStyle name="Moneda 7" xfId="4137"/>
    <cellStyle name="Moneda 7 2" xfId="10182"/>
    <cellStyle name="Moneda 8" xfId="4022"/>
    <cellStyle name="Moneda 8 2" xfId="10183"/>
    <cellStyle name="Moneda 9" xfId="4143"/>
    <cellStyle name="Moneda 9 2" xfId="10184"/>
    <cellStyle name="Monetario" xfId="1030"/>
    <cellStyle name="Monetario0" xfId="1031"/>
    <cellStyle name="Normal" xfId="0" builtinId="0"/>
    <cellStyle name="Normal 10" xfId="3839"/>
    <cellStyle name="Normal 10 2" xfId="4012"/>
    <cellStyle name="Normal 10 2 2" xfId="7536"/>
    <cellStyle name="Normal 11" xfId="4008"/>
    <cellStyle name="Normal 11 2" xfId="4322"/>
    <cellStyle name="Normal 11 2 2" xfId="9730"/>
    <cellStyle name="Normal 11 2 2 2" xfId="10187"/>
    <cellStyle name="Normal 11 2 3" xfId="10186"/>
    <cellStyle name="Normal 11 3" xfId="4324"/>
    <cellStyle name="Normal 11 3 2" xfId="4330"/>
    <cellStyle name="Normal 11 3 2 2" xfId="9738"/>
    <cellStyle name="Normal 11 3 2 2 2" xfId="10190"/>
    <cellStyle name="Normal 11 3 2 3" xfId="10189"/>
    <cellStyle name="Normal 11 3 3" xfId="9732"/>
    <cellStyle name="Normal 11 3 3 2" xfId="10191"/>
    <cellStyle name="Normal 11 3 4" xfId="9801"/>
    <cellStyle name="Normal 11 3 4 2" xfId="10192"/>
    <cellStyle name="Normal 11 3 5" xfId="9803"/>
    <cellStyle name="Normal 11 3 6" xfId="10188"/>
    <cellStyle name="Normal 11 4" xfId="7535"/>
    <cellStyle name="Normal 11 4 2" xfId="9783"/>
    <cellStyle name="Normal 11 4 2 2" xfId="10194"/>
    <cellStyle name="Normal 11 4 3" xfId="9805"/>
    <cellStyle name="Normal 11 4 4" xfId="10193"/>
    <cellStyle name="Normal 11 5" xfId="9518"/>
    <cellStyle name="Normal 11 5 2" xfId="10195"/>
    <cellStyle name="Normal 11 6" xfId="10185"/>
    <cellStyle name="Normal 12" xfId="4013"/>
    <cellStyle name="Normal 12 2" xfId="7537"/>
    <cellStyle name="Normal 12 2 2" xfId="9784"/>
    <cellStyle name="Normal 12 2 2 2" xfId="10198"/>
    <cellStyle name="Normal 12 2 3" xfId="9806"/>
    <cellStyle name="Normal 12 2 4" xfId="10197"/>
    <cellStyle name="Normal 12 3" xfId="9520"/>
    <cellStyle name="Normal 12 3 2" xfId="10199"/>
    <cellStyle name="Normal 12 4" xfId="10196"/>
    <cellStyle name="Normal 13" xfId="4014"/>
    <cellStyle name="Normal 13 2" xfId="7540"/>
    <cellStyle name="Normal 13 2 2" xfId="9785"/>
    <cellStyle name="Normal 13 2 2 2" xfId="10202"/>
    <cellStyle name="Normal 13 2 3" xfId="9807"/>
    <cellStyle name="Normal 13 2 4" xfId="10201"/>
    <cellStyle name="Normal 13 2 5" xfId="10677"/>
    <cellStyle name="Normal 13 3" xfId="9521"/>
    <cellStyle name="Normal 13 3 2" xfId="10203"/>
    <cellStyle name="Normal 13 4" xfId="10200"/>
    <cellStyle name="Normal 14" xfId="4015"/>
    <cellStyle name="Normal 14 2" xfId="7541"/>
    <cellStyle name="Normal 14 2 2" xfId="7547"/>
    <cellStyle name="Normal 14 2 2 2" xfId="9792"/>
    <cellStyle name="Normal 14 2 2 2 2" xfId="10207"/>
    <cellStyle name="Normal 14 2 2 3" xfId="10206"/>
    <cellStyle name="Normal 14 2 2 4" xfId="10678"/>
    <cellStyle name="Normal 14 2 3" xfId="9786"/>
    <cellStyle name="Normal 14 2 3 2" xfId="10208"/>
    <cellStyle name="Normal 14 2 4" xfId="10205"/>
    <cellStyle name="Normal 14 3" xfId="9522"/>
    <cellStyle name="Normal 14 3 2" xfId="10209"/>
    <cellStyle name="Normal 14 4" xfId="10204"/>
    <cellStyle name="Normal 15" xfId="4016"/>
    <cellStyle name="Normal 15 2" xfId="4321"/>
    <cellStyle name="Normal 15 2 2" xfId="7545"/>
    <cellStyle name="Normal 15 2 2 2" xfId="7546"/>
    <cellStyle name="Normal 15 2 2 2 2" xfId="7552"/>
    <cellStyle name="Normal 15 2 2 2 2 2" xfId="9797"/>
    <cellStyle name="Normal 15 2 2 2 2 2 2" xfId="10215"/>
    <cellStyle name="Normal 15 2 2 2 2 3" xfId="9802"/>
    <cellStyle name="Normal 15 2 2 2 2 3 2" xfId="10216"/>
    <cellStyle name="Normal 15 2 2 2 2 3 3" xfId="10684"/>
    <cellStyle name="Normal 15 2 2 2 2 4" xfId="10214"/>
    <cellStyle name="Normal 15 2 2 2 2 5" xfId="10683"/>
    <cellStyle name="Normal 15 2 2 2 2 6" xfId="10685"/>
    <cellStyle name="Normal 15 2 2 2 3" xfId="9791"/>
    <cellStyle name="Normal 15 2 2 2 3 2" xfId="10217"/>
    <cellStyle name="Normal 15 2 2 2 4" xfId="10213"/>
    <cellStyle name="Normal 15 2 2 3" xfId="7551"/>
    <cellStyle name="Normal 15 2 2 3 2" xfId="9796"/>
    <cellStyle name="Normal 15 2 2 3 2 2" xfId="10219"/>
    <cellStyle name="Normal 15 2 2 3 3" xfId="10218"/>
    <cellStyle name="Normal 15 2 2 3 4" xfId="10682"/>
    <cellStyle name="Normal 15 2 2 4" xfId="9790"/>
    <cellStyle name="Normal 15 2 2 4 2" xfId="10220"/>
    <cellStyle name="Normal 15 2 2 5" xfId="10212"/>
    <cellStyle name="Normal 15 2 3" xfId="9729"/>
    <cellStyle name="Normal 15 2 3 2" xfId="10221"/>
    <cellStyle name="Normal 15 2 4" xfId="10211"/>
    <cellStyle name="Normal 15 3" xfId="7542"/>
    <cellStyle name="Normal 15 3 2" xfId="7548"/>
    <cellStyle name="Normal 15 3 2 2" xfId="9793"/>
    <cellStyle name="Normal 15 3 2 2 2" xfId="10224"/>
    <cellStyle name="Normal 15 3 2 3" xfId="10223"/>
    <cellStyle name="Normal 15 3 2 4" xfId="10679"/>
    <cellStyle name="Normal 15 3 3" xfId="9787"/>
    <cellStyle name="Normal 15 3 3 2" xfId="10225"/>
    <cellStyle name="Normal 15 3 4" xfId="10222"/>
    <cellStyle name="Normal 15 4" xfId="9523"/>
    <cellStyle name="Normal 15 4 2" xfId="10226"/>
    <cellStyle name="Normal 15 5" xfId="10210"/>
    <cellStyle name="Normal 16" xfId="4017"/>
    <cellStyle name="Normal 16 2" xfId="4319"/>
    <cellStyle name="Normal 16 2 2" xfId="7544"/>
    <cellStyle name="Normal 16 2 2 2" xfId="7550"/>
    <cellStyle name="Normal 16 2 2 2 2" xfId="9795"/>
    <cellStyle name="Normal 16 2 2 2 2 2" xfId="10231"/>
    <cellStyle name="Normal 16 2 2 2 3" xfId="10230"/>
    <cellStyle name="Normal 16 2 2 2 4" xfId="10681"/>
    <cellStyle name="Normal 16 2 2 3" xfId="9789"/>
    <cellStyle name="Normal 16 2 2 3 2" xfId="10232"/>
    <cellStyle name="Normal 16 2 2 4" xfId="10229"/>
    <cellStyle name="Normal 16 2 3" xfId="9728"/>
    <cellStyle name="Normal 16 2 3 2" xfId="10233"/>
    <cellStyle name="Normal 16 2 4" xfId="10228"/>
    <cellStyle name="Normal 16 3" xfId="7543"/>
    <cellStyle name="Normal 16 3 2" xfId="7549"/>
    <cellStyle name="Normal 16 3 2 2" xfId="9794"/>
    <cellStyle name="Normal 16 3 2 2 2" xfId="10236"/>
    <cellStyle name="Normal 16 3 2 3" xfId="10235"/>
    <cellStyle name="Normal 16 3 2 4" xfId="10680"/>
    <cellStyle name="Normal 16 3 3" xfId="9788"/>
    <cellStyle name="Normal 16 3 3 2" xfId="10237"/>
    <cellStyle name="Normal 16 3 4" xfId="10234"/>
    <cellStyle name="Normal 16 4" xfId="9524"/>
    <cellStyle name="Normal 16 4 2" xfId="10238"/>
    <cellStyle name="Normal 16 5" xfId="10227"/>
    <cellStyle name="Normal 17" xfId="4018"/>
    <cellStyle name="Normal 17 2" xfId="9525"/>
    <cellStyle name="Normal 17 2 2" xfId="10240"/>
    <cellStyle name="Normal 17 3" xfId="10239"/>
    <cellStyle name="Normal 18" xfId="4139"/>
    <cellStyle name="Normal 18 2" xfId="9578"/>
    <cellStyle name="Normal 18 2 2" xfId="10242"/>
    <cellStyle name="Normal 18 3" xfId="10241"/>
    <cellStyle name="Normal 19" xfId="4247"/>
    <cellStyle name="Normal 19 2" xfId="9681"/>
    <cellStyle name="Normal 19 2 2" xfId="10244"/>
    <cellStyle name="Normal 19 3" xfId="10243"/>
    <cellStyle name="Normal 2" xfId="1032"/>
    <cellStyle name="Normal 2 10" xfId="1033"/>
    <cellStyle name="Normal 2 10 10" xfId="4180"/>
    <cellStyle name="Normal 2 10 10 2" xfId="9615"/>
    <cellStyle name="Normal 2 10 10 2 2" xfId="10246"/>
    <cellStyle name="Normal 2 10 10 3" xfId="10245"/>
    <cellStyle name="Normal 2 10 11" xfId="4291"/>
    <cellStyle name="Normal 2 10 2" xfId="1034"/>
    <cellStyle name="Normal 2 10 2 2" xfId="1035"/>
    <cellStyle name="Normal 2 10 2 2 2" xfId="9666"/>
    <cellStyle name="Normal 2 10 2 2 2 2" xfId="10248"/>
    <cellStyle name="Normal 2 10 2 2 3" xfId="10247"/>
    <cellStyle name="Normal 2 10 2 2 4" xfId="4231"/>
    <cellStyle name="Normal 2 10 3" xfId="1036"/>
    <cellStyle name="Normal 2 10 4" xfId="1037"/>
    <cellStyle name="Normal 2 10 5" xfId="1038"/>
    <cellStyle name="Normal 2 10 6" xfId="1039"/>
    <cellStyle name="Normal 2 10 7" xfId="1040"/>
    <cellStyle name="Normal 2 10 8" xfId="1041"/>
    <cellStyle name="Normal 2 10 9" xfId="4097"/>
    <cellStyle name="Normal 2 10 9 2" xfId="9563"/>
    <cellStyle name="Normal 2 10 9 2 2" xfId="10250"/>
    <cellStyle name="Normal 2 10 9 3" xfId="10249"/>
    <cellStyle name="Normal 2 100" xfId="1042"/>
    <cellStyle name="Normal 2 100 2" xfId="7648"/>
    <cellStyle name="Normal 2 101" xfId="1043"/>
    <cellStyle name="Normal 2 101 2" xfId="7649"/>
    <cellStyle name="Normal 2 102" xfId="1044"/>
    <cellStyle name="Normal 2 102 2" xfId="7650"/>
    <cellStyle name="Normal 2 103" xfId="1045"/>
    <cellStyle name="Normal 2 103 2" xfId="7651"/>
    <cellStyle name="Normal 2 104" xfId="1046"/>
    <cellStyle name="Normal 2 104 2" xfId="7652"/>
    <cellStyle name="Normal 2 105" xfId="1047"/>
    <cellStyle name="Normal 2 105 2" xfId="7653"/>
    <cellStyle name="Normal 2 106" xfId="1048"/>
    <cellStyle name="Normal 2 106 2" xfId="7654"/>
    <cellStyle name="Normal 2 107" xfId="4006"/>
    <cellStyle name="Normal 2 107 2" xfId="4010"/>
    <cellStyle name="Normal 2 107 2 2" xfId="9519"/>
    <cellStyle name="Normal 2 107 2 2 2" xfId="10253"/>
    <cellStyle name="Normal 2 107 2 3" xfId="10252"/>
    <cellStyle name="Normal 2 107 3" xfId="4323"/>
    <cellStyle name="Normal 2 107 3 2" xfId="9731"/>
    <cellStyle name="Normal 2 107 3 2 2" xfId="10255"/>
    <cellStyle name="Normal 2 107 3 3" xfId="10254"/>
    <cellStyle name="Normal 2 107 4" xfId="4325"/>
    <cellStyle name="Normal 2 107 4 2" xfId="9733"/>
    <cellStyle name="Normal 2 107 4 2 2" xfId="10257"/>
    <cellStyle name="Normal 2 107 4 3" xfId="9804"/>
    <cellStyle name="Normal 2 107 4 4" xfId="10256"/>
    <cellStyle name="Normal 2 107 5" xfId="9516"/>
    <cellStyle name="Normal 2 107 5 2" xfId="10258"/>
    <cellStyle name="Normal 2 107 6" xfId="10251"/>
    <cellStyle name="Normal 2 108" xfId="4023"/>
    <cellStyle name="Normal 2 108 2" xfId="9528"/>
    <cellStyle name="Normal 2 108 2 2" xfId="10260"/>
    <cellStyle name="Normal 2 108 3" xfId="10259"/>
    <cellStyle name="Normal 2 109" xfId="4144"/>
    <cellStyle name="Normal 2 109 2" xfId="9581"/>
    <cellStyle name="Normal 2 109 2 2" xfId="10262"/>
    <cellStyle name="Normal 2 109 3" xfId="10261"/>
    <cellStyle name="Normal 2 11" xfId="1049"/>
    <cellStyle name="Normal 2 11 10" xfId="4162"/>
    <cellStyle name="Normal 2 11 10 2" xfId="9597"/>
    <cellStyle name="Normal 2 11 10 2 2" xfId="10264"/>
    <cellStyle name="Normal 2 11 10 3" xfId="10263"/>
    <cellStyle name="Normal 2 11 11" xfId="4304"/>
    <cellStyle name="Normal 2 11 11 2" xfId="9715"/>
    <cellStyle name="Normal 2 11 11 2 2" xfId="10266"/>
    <cellStyle name="Normal 2 11 11 3" xfId="10265"/>
    <cellStyle name="Normal 2 11 12" xfId="7655"/>
    <cellStyle name="Normal 2 11 2" xfId="1050"/>
    <cellStyle name="Normal 2 11 2 2" xfId="4213"/>
    <cellStyle name="Normal 2 11 2 2 2" xfId="9648"/>
    <cellStyle name="Normal 2 11 2 2 2 2" xfId="10268"/>
    <cellStyle name="Normal 2 11 2 2 3" xfId="10267"/>
    <cellStyle name="Normal 2 11 3" xfId="1051"/>
    <cellStyle name="Normal 2 11 4" xfId="1052"/>
    <cellStyle name="Normal 2 11 5" xfId="1053"/>
    <cellStyle name="Normal 2 11 6" xfId="1054"/>
    <cellStyle name="Normal 2 11 7" xfId="1055"/>
    <cellStyle name="Normal 2 11 8" xfId="1056"/>
    <cellStyle name="Normal 2 11 9" xfId="4058"/>
    <cellStyle name="Normal 2 11 9 2" xfId="9544"/>
    <cellStyle name="Normal 2 11 9 2 2" xfId="10270"/>
    <cellStyle name="Normal 2 11 9 3" xfId="10269"/>
    <cellStyle name="Normal 2 110" xfId="4252"/>
    <cellStyle name="Normal 2 110 2" xfId="9685"/>
    <cellStyle name="Normal 2 110 2 2" xfId="10272"/>
    <cellStyle name="Normal 2 110 3" xfId="10271"/>
    <cellStyle name="Normal 2 111" xfId="4263"/>
    <cellStyle name="Normal 2 111 2" xfId="9689"/>
    <cellStyle name="Normal 2 111 2 2" xfId="10274"/>
    <cellStyle name="Normal 2 111 3" xfId="10273"/>
    <cellStyle name="Normal 2 112" xfId="4269"/>
    <cellStyle name="Normal 2 112 2" xfId="9695"/>
    <cellStyle name="Normal 2 112 2 2" xfId="10276"/>
    <cellStyle name="Normal 2 112 3" xfId="10275"/>
    <cellStyle name="Normal 2 113" xfId="4327"/>
    <cellStyle name="Normal 2 113 2" xfId="9735"/>
    <cellStyle name="Normal 2 113 2 2" xfId="10278"/>
    <cellStyle name="Normal 2 113 3" xfId="10277"/>
    <cellStyle name="Normal 2 114" xfId="9799"/>
    <cellStyle name="Normal 2 114 2" xfId="10279"/>
    <cellStyle name="Normal 2 12" xfId="1057"/>
    <cellStyle name="Normal 2 12 10" xfId="7656"/>
    <cellStyle name="Normal 2 12 2" xfId="1058"/>
    <cellStyle name="Normal 2 12 3" xfId="1059"/>
    <cellStyle name="Normal 2 12 4" xfId="1060"/>
    <cellStyle name="Normal 2 12 5" xfId="1061"/>
    <cellStyle name="Normal 2 12 6" xfId="1062"/>
    <cellStyle name="Normal 2 12 7" xfId="1063"/>
    <cellStyle name="Normal 2 12 8" xfId="1064"/>
    <cellStyle name="Normal 2 12 9" xfId="4197"/>
    <cellStyle name="Normal 2 12 9 2" xfId="9632"/>
    <cellStyle name="Normal 2 12 9 2 2" xfId="10281"/>
    <cellStyle name="Normal 2 12 9 3" xfId="10280"/>
    <cellStyle name="Normal 2 13" xfId="1065"/>
    <cellStyle name="Normal 2 13 2" xfId="5117"/>
    <cellStyle name="Normal 2 14" xfId="1066"/>
    <cellStyle name="Normal 2 14 2" xfId="5118"/>
    <cellStyle name="Normal 2 15" xfId="1067"/>
    <cellStyle name="Normal 2 15 2" xfId="5119"/>
    <cellStyle name="Normal 2 16" xfId="1068"/>
    <cellStyle name="Normal 2 16 2" xfId="5120"/>
    <cellStyle name="Normal 2 17" xfId="1069"/>
    <cellStyle name="Normal 2 17 2" xfId="5121"/>
    <cellStyle name="Normal 2 18" xfId="1070"/>
    <cellStyle name="Normal 2 18 2" xfId="5122"/>
    <cellStyle name="Normal 2 19" xfId="1071"/>
    <cellStyle name="Normal 2 19 2" xfId="5123"/>
    <cellStyle name="Normal 2 2" xfId="1072"/>
    <cellStyle name="Normal 2 2 10" xfId="1073"/>
    <cellStyle name="Normal 2 2 10 2" xfId="4101"/>
    <cellStyle name="Normal 2 2 10 3" xfId="4308"/>
    <cellStyle name="Normal 2 2 10 3 2" xfId="9719"/>
    <cellStyle name="Normal 2 2 10 3 2 2" xfId="10283"/>
    <cellStyle name="Normal 2 2 10 3 3" xfId="10282"/>
    <cellStyle name="Normal 2 2 11" xfId="1074"/>
    <cellStyle name="Normal 2 2 11 2" xfId="4060"/>
    <cellStyle name="Normal 2 2 12" xfId="1075"/>
    <cellStyle name="Normal 2 2 13" xfId="1076"/>
    <cellStyle name="Normal 2 2 14" xfId="1077"/>
    <cellStyle name="Normal 2 2 15" xfId="1078"/>
    <cellStyle name="Normal 2 2 16" xfId="1079"/>
    <cellStyle name="Normal 2 2 17" xfId="1080"/>
    <cellStyle name="Normal 2 2 18" xfId="1081"/>
    <cellStyle name="Normal 2 2 19" xfId="1082"/>
    <cellStyle name="Normal 2 2 2" xfId="1083"/>
    <cellStyle name="Normal 2 2 2 10" xfId="1084"/>
    <cellStyle name="Normal 2 2 2 10 2" xfId="7657"/>
    <cellStyle name="Normal 2 2 2 11" xfId="1085"/>
    <cellStyle name="Normal 2 2 2 11 2" xfId="7658"/>
    <cellStyle name="Normal 2 2 2 12" xfId="1086"/>
    <cellStyle name="Normal 2 2 2 12 2" xfId="7659"/>
    <cellStyle name="Normal 2 2 2 13" xfId="1087"/>
    <cellStyle name="Normal 2 2 2 13 2" xfId="7660"/>
    <cellStyle name="Normal 2 2 2 14" xfId="1088"/>
    <cellStyle name="Normal 2 2 2 14 2" xfId="7661"/>
    <cellStyle name="Normal 2 2 2 15" xfId="1089"/>
    <cellStyle name="Normal 2 2 2 15 2" xfId="7662"/>
    <cellStyle name="Normal 2 2 2 16" xfId="1090"/>
    <cellStyle name="Normal 2 2 2 16 2" xfId="7663"/>
    <cellStyle name="Normal 2 2 2 17" xfId="1091"/>
    <cellStyle name="Normal 2 2 2 17 2" xfId="7664"/>
    <cellStyle name="Normal 2 2 2 18" xfId="1092"/>
    <cellStyle name="Normal 2 2 2 18 2" xfId="7665"/>
    <cellStyle name="Normal 2 2 2 19" xfId="1093"/>
    <cellStyle name="Normal 2 2 2 19 2" xfId="7666"/>
    <cellStyle name="Normal 2 2 2 2" xfId="1094"/>
    <cellStyle name="Normal 2 2 2 2 2" xfId="4107"/>
    <cellStyle name="Normal 2 2 2 2 2 2" xfId="4234"/>
    <cellStyle name="Normal 2 2 2 2 2 2 2" xfId="9669"/>
    <cellStyle name="Normal 2 2 2 2 2 2 2 2" xfId="10286"/>
    <cellStyle name="Normal 2 2 2 2 2 2 3" xfId="10285"/>
    <cellStyle name="Normal 2 2 2 2 2 3" xfId="9566"/>
    <cellStyle name="Normal 2 2 2 2 2 3 2" xfId="10287"/>
    <cellStyle name="Normal 2 2 2 2 2 4" xfId="10284"/>
    <cellStyle name="Normal 2 2 2 2 3" xfId="4183"/>
    <cellStyle name="Normal 2 2 2 2 3 2" xfId="9618"/>
    <cellStyle name="Normal 2 2 2 2 3 2 2" xfId="10289"/>
    <cellStyle name="Normal 2 2 2 2 3 3" xfId="10288"/>
    <cellStyle name="Normal 2 2 2 2 4" xfId="4313"/>
    <cellStyle name="Normal 2 2 2 2 4 2" xfId="9724"/>
    <cellStyle name="Normal 2 2 2 2 4 2 2" xfId="10291"/>
    <cellStyle name="Normal 2 2 2 2 4 3" xfId="10290"/>
    <cellStyle name="Normal 2 2 2 2 5" xfId="7667"/>
    <cellStyle name="Normal 2 2 2 20" xfId="1095"/>
    <cellStyle name="Normal 2 2 2 20 2" xfId="7668"/>
    <cellStyle name="Normal 2 2 2 21" xfId="1096"/>
    <cellStyle name="Normal 2 2 2 21 2" xfId="7669"/>
    <cellStyle name="Normal 2 2 2 22" xfId="1097"/>
    <cellStyle name="Normal 2 2 2 22 2" xfId="7670"/>
    <cellStyle name="Normal 2 2 2 23" xfId="1098"/>
    <cellStyle name="Normal 2 2 2 23 2" xfId="7671"/>
    <cellStyle name="Normal 2 2 2 24" xfId="1099"/>
    <cellStyle name="Normal 2 2 2 24 2" xfId="7672"/>
    <cellStyle name="Normal 2 2 2 25" xfId="1100"/>
    <cellStyle name="Normal 2 2 2 25 2" xfId="7673"/>
    <cellStyle name="Normal 2 2 2 26" xfId="1101"/>
    <cellStyle name="Normal 2 2 2 26 2" xfId="7674"/>
    <cellStyle name="Normal 2 2 2 27" xfId="1102"/>
    <cellStyle name="Normal 2 2 2 27 2" xfId="7675"/>
    <cellStyle name="Normal 2 2 2 28" xfId="1103"/>
    <cellStyle name="Normal 2 2 2 28 2" xfId="7676"/>
    <cellStyle name="Normal 2 2 2 29" xfId="1104"/>
    <cellStyle name="Normal 2 2 2 29 2" xfId="7677"/>
    <cellStyle name="Normal 2 2 2 3" xfId="1105"/>
    <cellStyle name="Normal 2 2 2 3 2" xfId="4066"/>
    <cellStyle name="Normal 2 2 2 3 2 2" xfId="4216"/>
    <cellStyle name="Normal 2 2 2 3 2 2 2" xfId="9651"/>
    <cellStyle name="Normal 2 2 2 3 2 2 2 2" xfId="10294"/>
    <cellStyle name="Normal 2 2 2 3 2 2 3" xfId="10293"/>
    <cellStyle name="Normal 2 2 2 3 2 3" xfId="9547"/>
    <cellStyle name="Normal 2 2 2 3 2 3 2" xfId="10295"/>
    <cellStyle name="Normal 2 2 2 3 2 4" xfId="10292"/>
    <cellStyle name="Normal 2 2 2 3 3" xfId="4165"/>
    <cellStyle name="Normal 2 2 2 3 3 2" xfId="9600"/>
    <cellStyle name="Normal 2 2 2 3 3 2 2" xfId="10297"/>
    <cellStyle name="Normal 2 2 2 3 3 3" xfId="10296"/>
    <cellStyle name="Normal 2 2 2 3 4" xfId="7678"/>
    <cellStyle name="Normal 2 2 2 30" xfId="1106"/>
    <cellStyle name="Normal 2 2 2 30 2" xfId="7679"/>
    <cellStyle name="Normal 2 2 2 31" xfId="4032"/>
    <cellStyle name="Normal 2 2 2 31 2" xfId="9531"/>
    <cellStyle name="Normal 2 2 2 31 2 2" xfId="10299"/>
    <cellStyle name="Normal 2 2 2 31 3" xfId="10298"/>
    <cellStyle name="Normal 2 2 2 32" xfId="4149"/>
    <cellStyle name="Normal 2 2 2 32 2" xfId="9584"/>
    <cellStyle name="Normal 2 2 2 32 2 2" xfId="10301"/>
    <cellStyle name="Normal 2 2 2 32 3" xfId="10300"/>
    <cellStyle name="Normal 2 2 2 33" xfId="4295"/>
    <cellStyle name="Normal 2 2 2 33 2" xfId="9708"/>
    <cellStyle name="Normal 2 2 2 33 2 2" xfId="10303"/>
    <cellStyle name="Normal 2 2 2 33 3" xfId="10302"/>
    <cellStyle name="Normal 2 2 2 4" xfId="1107"/>
    <cellStyle name="Normal 2 2 2 4 2" xfId="4200"/>
    <cellStyle name="Normal 2 2 2 4 2 2" xfId="9635"/>
    <cellStyle name="Normal 2 2 2 4 2 2 2" xfId="10305"/>
    <cellStyle name="Normal 2 2 2 4 2 3" xfId="10304"/>
    <cellStyle name="Normal 2 2 2 4 3" xfId="7680"/>
    <cellStyle name="Normal 2 2 2 5" xfId="1108"/>
    <cellStyle name="Normal 2 2 2 5 2" xfId="7681"/>
    <cellStyle name="Normal 2 2 2 6" xfId="1109"/>
    <cellStyle name="Normal 2 2 2 6 2" xfId="7682"/>
    <cellStyle name="Normal 2 2 2 7" xfId="1110"/>
    <cellStyle name="Normal 2 2 2 7 2" xfId="7683"/>
    <cellStyle name="Normal 2 2 2 8" xfId="1111"/>
    <cellStyle name="Normal 2 2 2 8 2" xfId="7684"/>
    <cellStyle name="Normal 2 2 2 9" xfId="1112"/>
    <cellStyle name="Normal 2 2 2 9 2" xfId="7685"/>
    <cellStyle name="Normal 2 2 20" xfId="1113"/>
    <cellStyle name="Normal 2 2 21" xfId="1114"/>
    <cellStyle name="Normal 2 2 22" xfId="1115"/>
    <cellStyle name="Normal 2 2 23" xfId="1116"/>
    <cellStyle name="Normal 2 2 24" xfId="1117"/>
    <cellStyle name="Normal 2 2 25" xfId="1118"/>
    <cellStyle name="Normal 2 2 26" xfId="1119"/>
    <cellStyle name="Normal 2 2 27" xfId="1120"/>
    <cellStyle name="Normal 2 2 28" xfId="1121"/>
    <cellStyle name="Normal 2 2 29" xfId="1122"/>
    <cellStyle name="Normal 2 2 3" xfId="1123"/>
    <cellStyle name="Normal 2 2 3 2" xfId="4109"/>
    <cellStyle name="Normal 2 2 3 2 2" xfId="4236"/>
    <cellStyle name="Normal 2 2 3 2 2 2" xfId="9671"/>
    <cellStyle name="Normal 2 2 3 2 2 2 2" xfId="10308"/>
    <cellStyle name="Normal 2 2 3 2 2 3" xfId="10307"/>
    <cellStyle name="Normal 2 2 3 2 3" xfId="4185"/>
    <cellStyle name="Normal 2 2 3 2 3 2" xfId="9620"/>
    <cellStyle name="Normal 2 2 3 2 3 2 2" xfId="10310"/>
    <cellStyle name="Normal 2 2 3 2 3 3" xfId="10309"/>
    <cellStyle name="Normal 2 2 3 2 4" xfId="4312"/>
    <cellStyle name="Normal 2 2 3 2 4 2" xfId="9723"/>
    <cellStyle name="Normal 2 2 3 2 4 2 2" xfId="10312"/>
    <cellStyle name="Normal 2 2 3 2 4 3" xfId="10311"/>
    <cellStyle name="Normal 2 2 3 2 5" xfId="9568"/>
    <cellStyle name="Normal 2 2 3 2 5 2" xfId="10313"/>
    <cellStyle name="Normal 2 2 3 2 6" xfId="10306"/>
    <cellStyle name="Normal 2 2 3 3" xfId="4068"/>
    <cellStyle name="Normal 2 2 3 3 2" xfId="4218"/>
    <cellStyle name="Normal 2 2 3 3 2 2" xfId="9653"/>
    <cellStyle name="Normal 2 2 3 3 2 2 2" xfId="10316"/>
    <cellStyle name="Normal 2 2 3 3 2 3" xfId="10315"/>
    <cellStyle name="Normal 2 2 3 3 3" xfId="4167"/>
    <cellStyle name="Normal 2 2 3 3 3 2" xfId="9602"/>
    <cellStyle name="Normal 2 2 3 3 3 2 2" xfId="10318"/>
    <cellStyle name="Normal 2 2 3 3 3 3" xfId="10317"/>
    <cellStyle name="Normal 2 2 3 3 4" xfId="9549"/>
    <cellStyle name="Normal 2 2 3 3 4 2" xfId="10319"/>
    <cellStyle name="Normal 2 2 3 3 5" xfId="10314"/>
    <cellStyle name="Normal 2 2 3 4" xfId="4035"/>
    <cellStyle name="Normal 2 2 3 4 2" xfId="4202"/>
    <cellStyle name="Normal 2 2 3 4 2 2" xfId="9637"/>
    <cellStyle name="Normal 2 2 3 4 2 2 2" xfId="10322"/>
    <cellStyle name="Normal 2 2 3 4 2 3" xfId="10321"/>
    <cellStyle name="Normal 2 2 3 4 3" xfId="9533"/>
    <cellStyle name="Normal 2 2 3 4 3 2" xfId="10323"/>
    <cellStyle name="Normal 2 2 3 4 4" xfId="10320"/>
    <cellStyle name="Normal 2 2 3 5" xfId="4151"/>
    <cellStyle name="Normal 2 2 3 5 2" xfId="9586"/>
    <cellStyle name="Normal 2 2 3 5 2 2" xfId="10325"/>
    <cellStyle name="Normal 2 2 3 5 3" xfId="10324"/>
    <cellStyle name="Normal 2 2 3 6" xfId="4294"/>
    <cellStyle name="Normal 2 2 3 6 2" xfId="9707"/>
    <cellStyle name="Normal 2 2 3 6 2 2" xfId="10327"/>
    <cellStyle name="Normal 2 2 3 6 3" xfId="10326"/>
    <cellStyle name="Normal 2 2 3 7" xfId="7686"/>
    <cellStyle name="Normal 2 2 30" xfId="1124"/>
    <cellStyle name="Normal 2 2 31" xfId="4007"/>
    <cellStyle name="Normal 2 2 31 2" xfId="9517"/>
    <cellStyle name="Normal 2 2 31 2 2" xfId="10329"/>
    <cellStyle name="Normal 2 2 31 3" xfId="10328"/>
    <cellStyle name="Normal 2 2 32" xfId="4009"/>
    <cellStyle name="Normal 2 2 33" xfId="4287"/>
    <cellStyle name="Normal 2 2 33 2" xfId="9703"/>
    <cellStyle name="Normal 2 2 33 2 2" xfId="10331"/>
    <cellStyle name="Normal 2 2 33 3" xfId="10330"/>
    <cellStyle name="Normal 2 2 4" xfId="1125"/>
    <cellStyle name="Normal 2 2 4 2" xfId="4117"/>
    <cellStyle name="Normal 2 2 4 2 2" xfId="4237"/>
    <cellStyle name="Normal 2 2 4 2 2 2" xfId="9672"/>
    <cellStyle name="Normal 2 2 4 2 2 2 2" xfId="10334"/>
    <cellStyle name="Normal 2 2 4 2 2 3" xfId="10333"/>
    <cellStyle name="Normal 2 2 4 2 3" xfId="4186"/>
    <cellStyle name="Normal 2 2 4 2 3 2" xfId="9621"/>
    <cellStyle name="Normal 2 2 4 2 3 2 2" xfId="10336"/>
    <cellStyle name="Normal 2 2 4 2 3 3" xfId="10335"/>
    <cellStyle name="Normal 2 2 4 2 4" xfId="4311"/>
    <cellStyle name="Normal 2 2 4 2 4 2" xfId="9722"/>
    <cellStyle name="Normal 2 2 4 2 4 2 2" xfId="10338"/>
    <cellStyle name="Normal 2 2 4 2 4 3" xfId="10337"/>
    <cellStyle name="Normal 2 2 4 2 5" xfId="9569"/>
    <cellStyle name="Normal 2 2 4 2 5 2" xfId="10339"/>
    <cellStyle name="Normal 2 2 4 2 6" xfId="10332"/>
    <cellStyle name="Normal 2 2 4 3" xfId="4076"/>
    <cellStyle name="Normal 2 2 4 3 2" xfId="4219"/>
    <cellStyle name="Normal 2 2 4 3 2 2" xfId="9654"/>
    <cellStyle name="Normal 2 2 4 3 2 2 2" xfId="10342"/>
    <cellStyle name="Normal 2 2 4 3 2 3" xfId="10341"/>
    <cellStyle name="Normal 2 2 4 3 3" xfId="4168"/>
    <cellStyle name="Normal 2 2 4 3 3 2" xfId="9603"/>
    <cellStyle name="Normal 2 2 4 3 3 2 2" xfId="10344"/>
    <cellStyle name="Normal 2 2 4 3 3 3" xfId="10343"/>
    <cellStyle name="Normal 2 2 4 3 4" xfId="9550"/>
    <cellStyle name="Normal 2 2 4 3 4 2" xfId="10345"/>
    <cellStyle name="Normal 2 2 4 3 5" xfId="10340"/>
    <cellStyle name="Normal 2 2 4 4" xfId="4043"/>
    <cellStyle name="Normal 2 2 4 4 2" xfId="4203"/>
    <cellStyle name="Normal 2 2 4 4 2 2" xfId="9638"/>
    <cellStyle name="Normal 2 2 4 4 2 2 2" xfId="10348"/>
    <cellStyle name="Normal 2 2 4 4 2 3" xfId="10347"/>
    <cellStyle name="Normal 2 2 4 4 3" xfId="9534"/>
    <cellStyle name="Normal 2 2 4 4 3 2" xfId="10349"/>
    <cellStyle name="Normal 2 2 4 4 4" xfId="10346"/>
    <cellStyle name="Normal 2 2 4 5" xfId="4152"/>
    <cellStyle name="Normal 2 2 4 5 2" xfId="9587"/>
    <cellStyle name="Normal 2 2 4 5 2 2" xfId="10351"/>
    <cellStyle name="Normal 2 2 4 5 3" xfId="10350"/>
    <cellStyle name="Normal 2 2 4 6" xfId="4293"/>
    <cellStyle name="Normal 2 2 4 6 2" xfId="9706"/>
    <cellStyle name="Normal 2 2 4 6 2 2" xfId="10353"/>
    <cellStyle name="Normal 2 2 4 6 3" xfId="10352"/>
    <cellStyle name="Normal 2 2 4 7" xfId="7687"/>
    <cellStyle name="Normal 2 2 5" xfId="1126"/>
    <cellStyle name="Normal 2 2 5 2" xfId="4119"/>
    <cellStyle name="Normal 2 2 5 2 2" xfId="4238"/>
    <cellStyle name="Normal 2 2 5 2 2 2" xfId="9673"/>
    <cellStyle name="Normal 2 2 5 2 2 2 2" xfId="10356"/>
    <cellStyle name="Normal 2 2 5 2 2 3" xfId="10355"/>
    <cellStyle name="Normal 2 2 5 2 3" xfId="4187"/>
    <cellStyle name="Normal 2 2 5 2 3 2" xfId="9622"/>
    <cellStyle name="Normal 2 2 5 2 3 2 2" xfId="10358"/>
    <cellStyle name="Normal 2 2 5 2 3 3" xfId="10357"/>
    <cellStyle name="Normal 2 2 5 2 4" xfId="4306"/>
    <cellStyle name="Normal 2 2 5 2 4 2" xfId="9717"/>
    <cellStyle name="Normal 2 2 5 2 4 2 2" xfId="10360"/>
    <cellStyle name="Normal 2 2 5 2 4 3" xfId="10359"/>
    <cellStyle name="Normal 2 2 5 2 5" xfId="9570"/>
    <cellStyle name="Normal 2 2 5 2 5 2" xfId="10361"/>
    <cellStyle name="Normal 2 2 5 2 6" xfId="10354"/>
    <cellStyle name="Normal 2 2 5 3" xfId="4078"/>
    <cellStyle name="Normal 2 2 5 3 2" xfId="4220"/>
    <cellStyle name="Normal 2 2 5 3 2 2" xfId="9655"/>
    <cellStyle name="Normal 2 2 5 3 2 2 2" xfId="10364"/>
    <cellStyle name="Normal 2 2 5 3 2 3" xfId="10363"/>
    <cellStyle name="Normal 2 2 5 3 3" xfId="4169"/>
    <cellStyle name="Normal 2 2 5 3 3 2" xfId="9604"/>
    <cellStyle name="Normal 2 2 5 3 3 2 2" xfId="10366"/>
    <cellStyle name="Normal 2 2 5 3 3 3" xfId="10365"/>
    <cellStyle name="Normal 2 2 5 3 4" xfId="9551"/>
    <cellStyle name="Normal 2 2 5 3 4 2" xfId="10367"/>
    <cellStyle name="Normal 2 2 5 3 5" xfId="10362"/>
    <cellStyle name="Normal 2 2 5 4" xfId="4045"/>
    <cellStyle name="Normal 2 2 5 4 2" xfId="4204"/>
    <cellStyle name="Normal 2 2 5 4 2 2" xfId="9639"/>
    <cellStyle name="Normal 2 2 5 4 2 2 2" xfId="10370"/>
    <cellStyle name="Normal 2 2 5 4 2 3" xfId="10369"/>
    <cellStyle name="Normal 2 2 5 4 3" xfId="9535"/>
    <cellStyle name="Normal 2 2 5 4 3 2" xfId="10371"/>
    <cellStyle name="Normal 2 2 5 4 4" xfId="10368"/>
    <cellStyle name="Normal 2 2 5 5" xfId="4153"/>
    <cellStyle name="Normal 2 2 5 5 2" xfId="9588"/>
    <cellStyle name="Normal 2 2 5 5 2 2" xfId="10373"/>
    <cellStyle name="Normal 2 2 5 5 3" xfId="10372"/>
    <cellStyle name="Normal 2 2 5 6" xfId="4267"/>
    <cellStyle name="Normal 2 2 5 6 2" xfId="9693"/>
    <cellStyle name="Normal 2 2 5 6 2 2" xfId="10375"/>
    <cellStyle name="Normal 2 2 5 6 3" xfId="10374"/>
    <cellStyle name="Normal 2 2 5 7" xfId="7688"/>
    <cellStyle name="Normal 2 2 6" xfId="1127"/>
    <cellStyle name="Normal 2 2 6 2" xfId="4121"/>
    <cellStyle name="Normal 2 2 6 2 2" xfId="4239"/>
    <cellStyle name="Normal 2 2 6 2 2 2" xfId="9674"/>
    <cellStyle name="Normal 2 2 6 2 2 2 2" xfId="10378"/>
    <cellStyle name="Normal 2 2 6 2 2 3" xfId="10377"/>
    <cellStyle name="Normal 2 2 6 2 3" xfId="4188"/>
    <cellStyle name="Normal 2 2 6 2 3 2" xfId="9623"/>
    <cellStyle name="Normal 2 2 6 2 3 2 2" xfId="10380"/>
    <cellStyle name="Normal 2 2 6 2 3 3" xfId="10379"/>
    <cellStyle name="Normal 2 2 6 2 4" xfId="4315"/>
    <cellStyle name="Normal 2 2 6 2 4 2" xfId="9726"/>
    <cellStyle name="Normal 2 2 6 2 4 2 2" xfId="10382"/>
    <cellStyle name="Normal 2 2 6 2 4 3" xfId="10381"/>
    <cellStyle name="Normal 2 2 6 2 5" xfId="9571"/>
    <cellStyle name="Normal 2 2 6 2 5 2" xfId="10383"/>
    <cellStyle name="Normal 2 2 6 2 6" xfId="10376"/>
    <cellStyle name="Normal 2 2 6 3" xfId="4080"/>
    <cellStyle name="Normal 2 2 6 3 2" xfId="4221"/>
    <cellStyle name="Normal 2 2 6 3 2 2" xfId="9656"/>
    <cellStyle name="Normal 2 2 6 3 2 2 2" xfId="10386"/>
    <cellStyle name="Normal 2 2 6 3 2 3" xfId="10385"/>
    <cellStyle name="Normal 2 2 6 3 3" xfId="4170"/>
    <cellStyle name="Normal 2 2 6 3 3 2" xfId="9605"/>
    <cellStyle name="Normal 2 2 6 3 3 2 2" xfId="10388"/>
    <cellStyle name="Normal 2 2 6 3 3 3" xfId="10387"/>
    <cellStyle name="Normal 2 2 6 3 4" xfId="9552"/>
    <cellStyle name="Normal 2 2 6 3 4 2" xfId="10389"/>
    <cellStyle name="Normal 2 2 6 3 5" xfId="10384"/>
    <cellStyle name="Normal 2 2 6 4" xfId="4047"/>
    <cellStyle name="Normal 2 2 6 4 2" xfId="4205"/>
    <cellStyle name="Normal 2 2 6 4 2 2" xfId="9640"/>
    <cellStyle name="Normal 2 2 6 4 2 2 2" xfId="10392"/>
    <cellStyle name="Normal 2 2 6 4 2 3" xfId="10391"/>
    <cellStyle name="Normal 2 2 6 4 3" xfId="9536"/>
    <cellStyle name="Normal 2 2 6 4 3 2" xfId="10393"/>
    <cellStyle name="Normal 2 2 6 4 4" xfId="10390"/>
    <cellStyle name="Normal 2 2 6 5" xfId="4154"/>
    <cellStyle name="Normal 2 2 6 5 2" xfId="9589"/>
    <cellStyle name="Normal 2 2 6 5 2 2" xfId="10395"/>
    <cellStyle name="Normal 2 2 6 5 3" xfId="10394"/>
    <cellStyle name="Normal 2 2 6 6" xfId="4297"/>
    <cellStyle name="Normal 2 2 6 6 2" xfId="9710"/>
    <cellStyle name="Normal 2 2 6 6 2 2" xfId="10397"/>
    <cellStyle name="Normal 2 2 6 6 3" xfId="10396"/>
    <cellStyle name="Normal 2 2 6 7" xfId="7689"/>
    <cellStyle name="Normal 2 2 7" xfId="1128"/>
    <cellStyle name="Normal 2 2 7 2" xfId="4123"/>
    <cellStyle name="Normal 2 2 7 2 2" xfId="4240"/>
    <cellStyle name="Normal 2 2 7 2 2 2" xfId="9675"/>
    <cellStyle name="Normal 2 2 7 2 2 2 2" xfId="10400"/>
    <cellStyle name="Normal 2 2 7 2 2 3" xfId="10399"/>
    <cellStyle name="Normal 2 2 7 2 3" xfId="4189"/>
    <cellStyle name="Normal 2 2 7 2 3 2" xfId="9624"/>
    <cellStyle name="Normal 2 2 7 2 3 2 2" xfId="10402"/>
    <cellStyle name="Normal 2 2 7 2 3 3" xfId="10401"/>
    <cellStyle name="Normal 2 2 7 2 4" xfId="4314"/>
    <cellStyle name="Normal 2 2 7 2 4 2" xfId="9725"/>
    <cellStyle name="Normal 2 2 7 2 4 2 2" xfId="10404"/>
    <cellStyle name="Normal 2 2 7 2 4 3" xfId="10403"/>
    <cellStyle name="Normal 2 2 7 2 5" xfId="9572"/>
    <cellStyle name="Normal 2 2 7 2 5 2" xfId="10405"/>
    <cellStyle name="Normal 2 2 7 2 6" xfId="10398"/>
    <cellStyle name="Normal 2 2 7 3" xfId="4082"/>
    <cellStyle name="Normal 2 2 7 3 2" xfId="4222"/>
    <cellStyle name="Normal 2 2 7 3 2 2" xfId="9657"/>
    <cellStyle name="Normal 2 2 7 3 2 2 2" xfId="10408"/>
    <cellStyle name="Normal 2 2 7 3 2 3" xfId="10407"/>
    <cellStyle name="Normal 2 2 7 3 3" xfId="4171"/>
    <cellStyle name="Normal 2 2 7 3 3 2" xfId="9606"/>
    <cellStyle name="Normal 2 2 7 3 3 2 2" xfId="10410"/>
    <cellStyle name="Normal 2 2 7 3 3 3" xfId="10409"/>
    <cellStyle name="Normal 2 2 7 3 4" xfId="9553"/>
    <cellStyle name="Normal 2 2 7 3 4 2" xfId="10411"/>
    <cellStyle name="Normal 2 2 7 3 5" xfId="10406"/>
    <cellStyle name="Normal 2 2 7 4" xfId="4049"/>
    <cellStyle name="Normal 2 2 7 4 2" xfId="4206"/>
    <cellStyle name="Normal 2 2 7 4 2 2" xfId="9641"/>
    <cellStyle name="Normal 2 2 7 4 2 2 2" xfId="10414"/>
    <cellStyle name="Normal 2 2 7 4 2 3" xfId="10413"/>
    <cellStyle name="Normal 2 2 7 4 3" xfId="9537"/>
    <cellStyle name="Normal 2 2 7 4 3 2" xfId="10415"/>
    <cellStyle name="Normal 2 2 7 4 4" xfId="10412"/>
    <cellStyle name="Normal 2 2 7 5" xfId="4155"/>
    <cellStyle name="Normal 2 2 7 5 2" xfId="9590"/>
    <cellStyle name="Normal 2 2 7 5 2 2" xfId="10417"/>
    <cellStyle name="Normal 2 2 7 5 3" xfId="10416"/>
    <cellStyle name="Normal 2 2 7 6" xfId="4296"/>
    <cellStyle name="Normal 2 2 7 6 2" xfId="9709"/>
    <cellStyle name="Normal 2 2 7 6 2 2" xfId="10419"/>
    <cellStyle name="Normal 2 2 7 6 3" xfId="10418"/>
    <cellStyle name="Normal 2 2 7 7" xfId="7690"/>
    <cellStyle name="Normal 2 2 8" xfId="1129"/>
    <cellStyle name="Normal 2 2 8 2" xfId="4125"/>
    <cellStyle name="Normal 2 2 8 2 2" xfId="4241"/>
    <cellStyle name="Normal 2 2 8 2 2 2" xfId="9676"/>
    <cellStyle name="Normal 2 2 8 2 2 2 2" xfId="10422"/>
    <cellStyle name="Normal 2 2 8 2 2 3" xfId="10421"/>
    <cellStyle name="Normal 2 2 8 2 3" xfId="4190"/>
    <cellStyle name="Normal 2 2 8 2 3 2" xfId="9625"/>
    <cellStyle name="Normal 2 2 8 2 3 2 2" xfId="10424"/>
    <cellStyle name="Normal 2 2 8 2 3 3" xfId="10423"/>
    <cellStyle name="Normal 2 2 8 2 4" xfId="4307"/>
    <cellStyle name="Normal 2 2 8 2 4 2" xfId="9718"/>
    <cellStyle name="Normal 2 2 8 2 4 2 2" xfId="10426"/>
    <cellStyle name="Normal 2 2 8 2 4 3" xfId="10425"/>
    <cellStyle name="Normal 2 2 8 2 5" xfId="9573"/>
    <cellStyle name="Normal 2 2 8 2 5 2" xfId="10427"/>
    <cellStyle name="Normal 2 2 8 2 6" xfId="10420"/>
    <cellStyle name="Normal 2 2 8 3" xfId="4084"/>
    <cellStyle name="Normal 2 2 8 3 2" xfId="4223"/>
    <cellStyle name="Normal 2 2 8 3 2 2" xfId="9658"/>
    <cellStyle name="Normal 2 2 8 3 2 2 2" xfId="10430"/>
    <cellStyle name="Normal 2 2 8 3 2 3" xfId="10429"/>
    <cellStyle name="Normal 2 2 8 3 3" xfId="4172"/>
    <cellStyle name="Normal 2 2 8 3 3 2" xfId="9607"/>
    <cellStyle name="Normal 2 2 8 3 3 2 2" xfId="10432"/>
    <cellStyle name="Normal 2 2 8 3 3 3" xfId="10431"/>
    <cellStyle name="Normal 2 2 8 3 4" xfId="9554"/>
    <cellStyle name="Normal 2 2 8 3 4 2" xfId="10433"/>
    <cellStyle name="Normal 2 2 8 3 5" xfId="10428"/>
    <cellStyle name="Normal 2 2 8 4" xfId="4051"/>
    <cellStyle name="Normal 2 2 8 4 2" xfId="4207"/>
    <cellStyle name="Normal 2 2 8 4 2 2" xfId="9642"/>
    <cellStyle name="Normal 2 2 8 4 2 2 2" xfId="10436"/>
    <cellStyle name="Normal 2 2 8 4 2 3" xfId="10435"/>
    <cellStyle name="Normal 2 2 8 4 3" xfId="9538"/>
    <cellStyle name="Normal 2 2 8 4 3 2" xfId="10437"/>
    <cellStyle name="Normal 2 2 8 4 4" xfId="10434"/>
    <cellStyle name="Normal 2 2 8 5" xfId="4156"/>
    <cellStyle name="Normal 2 2 8 5 2" xfId="9591"/>
    <cellStyle name="Normal 2 2 8 5 2 2" xfId="10439"/>
    <cellStyle name="Normal 2 2 8 5 3" xfId="10438"/>
    <cellStyle name="Normal 2 2 8 6" xfId="4271"/>
    <cellStyle name="Normal 2 2 8 6 2" xfId="9697"/>
    <cellStyle name="Normal 2 2 8 6 2 2" xfId="10441"/>
    <cellStyle name="Normal 2 2 8 6 3" xfId="10440"/>
    <cellStyle name="Normal 2 2 8 7" xfId="7691"/>
    <cellStyle name="Normal 2 2 9" xfId="1130"/>
    <cellStyle name="Normal 2 2 9 2" xfId="4127"/>
    <cellStyle name="Normal 2 2 9 2 2" xfId="4242"/>
    <cellStyle name="Normal 2 2 9 2 2 2" xfId="9677"/>
    <cellStyle name="Normal 2 2 9 2 2 2 2" xfId="10444"/>
    <cellStyle name="Normal 2 2 9 2 2 3" xfId="10443"/>
    <cellStyle name="Normal 2 2 9 2 3" xfId="4191"/>
    <cellStyle name="Normal 2 2 9 2 3 2" xfId="9626"/>
    <cellStyle name="Normal 2 2 9 2 3 2 2" xfId="10446"/>
    <cellStyle name="Normal 2 2 9 2 3 3" xfId="10445"/>
    <cellStyle name="Normal 2 2 9 2 4" xfId="4310"/>
    <cellStyle name="Normal 2 2 9 2 4 2" xfId="9721"/>
    <cellStyle name="Normal 2 2 9 2 4 2 2" xfId="10448"/>
    <cellStyle name="Normal 2 2 9 2 4 3" xfId="10447"/>
    <cellStyle name="Normal 2 2 9 2 5" xfId="9574"/>
    <cellStyle name="Normal 2 2 9 2 5 2" xfId="10449"/>
    <cellStyle name="Normal 2 2 9 2 6" xfId="10442"/>
    <cellStyle name="Normal 2 2 9 3" xfId="4086"/>
    <cellStyle name="Normal 2 2 9 3 2" xfId="4224"/>
    <cellStyle name="Normal 2 2 9 3 2 2" xfId="9659"/>
    <cellStyle name="Normal 2 2 9 3 2 2 2" xfId="10452"/>
    <cellStyle name="Normal 2 2 9 3 2 3" xfId="10451"/>
    <cellStyle name="Normal 2 2 9 3 3" xfId="4173"/>
    <cellStyle name="Normal 2 2 9 3 3 2" xfId="9608"/>
    <cellStyle name="Normal 2 2 9 3 3 2 2" xfId="10454"/>
    <cellStyle name="Normal 2 2 9 3 3 3" xfId="10453"/>
    <cellStyle name="Normal 2 2 9 3 4" xfId="9555"/>
    <cellStyle name="Normal 2 2 9 3 4 2" xfId="10455"/>
    <cellStyle name="Normal 2 2 9 3 5" xfId="10450"/>
    <cellStyle name="Normal 2 2 9 4" xfId="4053"/>
    <cellStyle name="Normal 2 2 9 4 2" xfId="4208"/>
    <cellStyle name="Normal 2 2 9 4 2 2" xfId="9643"/>
    <cellStyle name="Normal 2 2 9 4 2 2 2" xfId="10458"/>
    <cellStyle name="Normal 2 2 9 4 2 3" xfId="10457"/>
    <cellStyle name="Normal 2 2 9 4 3" xfId="9539"/>
    <cellStyle name="Normal 2 2 9 4 3 2" xfId="10459"/>
    <cellStyle name="Normal 2 2 9 4 4" xfId="10456"/>
    <cellStyle name="Normal 2 2 9 5" xfId="4157"/>
    <cellStyle name="Normal 2 2 9 5 2" xfId="9592"/>
    <cellStyle name="Normal 2 2 9 5 2 2" xfId="10461"/>
    <cellStyle name="Normal 2 2 9 5 3" xfId="10460"/>
    <cellStyle name="Normal 2 2 9 6" xfId="4292"/>
    <cellStyle name="Normal 2 2 9 6 2" xfId="9705"/>
    <cellStyle name="Normal 2 2 9 6 2 2" xfId="10463"/>
    <cellStyle name="Normal 2 2 9 6 3" xfId="10462"/>
    <cellStyle name="Normal 2 2 9 7" xfId="7692"/>
    <cellStyle name="Normal 2 20" xfId="1131"/>
    <cellStyle name="Normal 2 20 2" xfId="5124"/>
    <cellStyle name="Normal 2 21" xfId="1132"/>
    <cellStyle name="Normal 2 21 2" xfId="5125"/>
    <cellStyle name="Normal 2 22" xfId="1133"/>
    <cellStyle name="Normal 2 22 2" xfId="5126"/>
    <cellStyle name="Normal 2 23" xfId="1134"/>
    <cellStyle name="Normal 2 23 2" xfId="5127"/>
    <cellStyle name="Normal 2 24" xfId="1135"/>
    <cellStyle name="Normal 2 24 2" xfId="5128"/>
    <cellStyle name="Normal 2 25" xfId="1136"/>
    <cellStyle name="Normal 2 25 2" xfId="5129"/>
    <cellStyle name="Normal 2 26" xfId="1137"/>
    <cellStyle name="Normal 2 26 2" xfId="5130"/>
    <cellStyle name="Normal 2 27" xfId="1138"/>
    <cellStyle name="Normal 2 27 2" xfId="5131"/>
    <cellStyle name="Normal 2 28" xfId="1139"/>
    <cellStyle name="Normal 2 28 2" xfId="5132"/>
    <cellStyle name="Normal 2 29" xfId="1140"/>
    <cellStyle name="Normal 2 29 2" xfId="5133"/>
    <cellStyle name="Normal 2 3" xfId="1141"/>
    <cellStyle name="Normal 2 3 2" xfId="4106"/>
    <cellStyle name="Normal 2 3 3" xfId="4065"/>
    <cellStyle name="Normal 2 3 4" xfId="4031"/>
    <cellStyle name="Normal 2 30" xfId="1142"/>
    <cellStyle name="Normal 2 30 2" xfId="7693"/>
    <cellStyle name="Normal 2 31" xfId="1143"/>
    <cellStyle name="Normal 2 31 2" xfId="7694"/>
    <cellStyle name="Normal 2 32" xfId="1144"/>
    <cellStyle name="Normal 2 32 2" xfId="7695"/>
    <cellStyle name="Normal 2 33" xfId="1145"/>
    <cellStyle name="Normal 2 33 2" xfId="7696"/>
    <cellStyle name="Normal 2 34" xfId="1146"/>
    <cellStyle name="Normal 2 34 2" xfId="7697"/>
    <cellStyle name="Normal 2 35" xfId="1147"/>
    <cellStyle name="Normal 2 35 2" xfId="7698"/>
    <cellStyle name="Normal 2 36" xfId="1148"/>
    <cellStyle name="Normal 2 36 2" xfId="7699"/>
    <cellStyle name="Normal 2 37" xfId="1149"/>
    <cellStyle name="Normal 2 37 2" xfId="7700"/>
    <cellStyle name="Normal 2 38" xfId="1150"/>
    <cellStyle name="Normal 2 38 2" xfId="7701"/>
    <cellStyle name="Normal 2 39" xfId="1151"/>
    <cellStyle name="Normal 2 39 2" xfId="7702"/>
    <cellStyle name="Normal 2 4" xfId="1152"/>
    <cellStyle name="Normal 2 4 2" xfId="4110"/>
    <cellStyle name="Normal 2 4 3" xfId="4069"/>
    <cellStyle name="Normal 2 4 4" xfId="4036"/>
    <cellStyle name="Normal 2 40" xfId="1153"/>
    <cellStyle name="Normal 2 40 2" xfId="7703"/>
    <cellStyle name="Normal 2 41" xfId="1154"/>
    <cellStyle name="Normal 2 41 2" xfId="7704"/>
    <cellStyle name="Normal 2 42" xfId="1155"/>
    <cellStyle name="Normal 2 42 2" xfId="7705"/>
    <cellStyle name="Normal 2 43" xfId="1156"/>
    <cellStyle name="Normal 2 43 2" xfId="7706"/>
    <cellStyle name="Normal 2 44" xfId="1157"/>
    <cellStyle name="Normal 2 44 2" xfId="7707"/>
    <cellStyle name="Normal 2 45" xfId="1158"/>
    <cellStyle name="Normal 2 45 2" xfId="7708"/>
    <cellStyle name="Normal 2 46" xfId="1159"/>
    <cellStyle name="Normal 2 46 2" xfId="7709"/>
    <cellStyle name="Normal 2 47" xfId="1160"/>
    <cellStyle name="Normal 2 47 2" xfId="7710"/>
    <cellStyle name="Normal 2 48" xfId="1161"/>
    <cellStyle name="Normal 2 48 2" xfId="7711"/>
    <cellStyle name="Normal 2 49" xfId="1162"/>
    <cellStyle name="Normal 2 49 2" xfId="7712"/>
    <cellStyle name="Normal 2 5" xfId="1163"/>
    <cellStyle name="Normal 2 5 2" xfId="4118"/>
    <cellStyle name="Normal 2 5 3" xfId="4077"/>
    <cellStyle name="Normal 2 5 4" xfId="4044"/>
    <cellStyle name="Normal 2 50" xfId="1164"/>
    <cellStyle name="Normal 2 50 2" xfId="7713"/>
    <cellStyle name="Normal 2 51" xfId="1165"/>
    <cellStyle name="Normal 2 51 2" xfId="7714"/>
    <cellStyle name="Normal 2 52" xfId="1166"/>
    <cellStyle name="Normal 2 52 2" xfId="7715"/>
    <cellStyle name="Normal 2 53" xfId="1167"/>
    <cellStyle name="Normal 2 53 2" xfId="7716"/>
    <cellStyle name="Normal 2 54" xfId="1168"/>
    <cellStyle name="Normal 2 54 2" xfId="7717"/>
    <cellStyle name="Normal 2 55" xfId="1169"/>
    <cellStyle name="Normal 2 55 2" xfId="7718"/>
    <cellStyle name="Normal 2 56" xfId="1170"/>
    <cellStyle name="Normal 2 56 2" xfId="7719"/>
    <cellStyle name="Normal 2 57" xfId="1171"/>
    <cellStyle name="Normal 2 57 2" xfId="7720"/>
    <cellStyle name="Normal 2 58" xfId="1172"/>
    <cellStyle name="Normal 2 58 2" xfId="7721"/>
    <cellStyle name="Normal 2 59" xfId="1173"/>
    <cellStyle name="Normal 2 59 2" xfId="7722"/>
    <cellStyle name="Normal 2 6" xfId="1174"/>
    <cellStyle name="Normal 2 6 2" xfId="4120"/>
    <cellStyle name="Normal 2 6 3" xfId="4079"/>
    <cellStyle name="Normal 2 6 4" xfId="4046"/>
    <cellStyle name="Normal 2 60" xfId="1175"/>
    <cellStyle name="Normal 2 60 2" xfId="7723"/>
    <cellStyle name="Normal 2 61" xfId="1176"/>
    <cellStyle name="Normal 2 61 2" xfId="7724"/>
    <cellStyle name="Normal 2 62" xfId="1177"/>
    <cellStyle name="Normal 2 62 2" xfId="7725"/>
    <cellStyle name="Normal 2 63" xfId="1178"/>
    <cellStyle name="Normal 2 63 2" xfId="7726"/>
    <cellStyle name="Normal 2 64" xfId="1179"/>
    <cellStyle name="Normal 2 64 2" xfId="7727"/>
    <cellStyle name="Normal 2 65" xfId="1180"/>
    <cellStyle name="Normal 2 65 2" xfId="7728"/>
    <cellStyle name="Normal 2 66" xfId="1181"/>
    <cellStyle name="Normal 2 66 2" xfId="7729"/>
    <cellStyle name="Normal 2 67" xfId="1182"/>
    <cellStyle name="Normal 2 67 2" xfId="7730"/>
    <cellStyle name="Normal 2 68" xfId="1183"/>
    <cellStyle name="Normal 2 68 2" xfId="7731"/>
    <cellStyle name="Normal 2 69" xfId="1184"/>
    <cellStyle name="Normal 2 69 2" xfId="7732"/>
    <cellStyle name="Normal 2 7" xfId="1185"/>
    <cellStyle name="Normal 2 7 2" xfId="4116"/>
    <cellStyle name="Normal 2 7 3" xfId="4075"/>
    <cellStyle name="Normal 2 7 4" xfId="4042"/>
    <cellStyle name="Normal 2 70" xfId="1186"/>
    <cellStyle name="Normal 2 70 2" xfId="7733"/>
    <cellStyle name="Normal 2 71" xfId="1187"/>
    <cellStyle name="Normal 2 71 2" xfId="7734"/>
    <cellStyle name="Normal 2 72" xfId="1188"/>
    <cellStyle name="Normal 2 72 2" xfId="7735"/>
    <cellStyle name="Normal 2 73" xfId="1189"/>
    <cellStyle name="Normal 2 73 2" xfId="7736"/>
    <cellStyle name="Normal 2 74" xfId="1190"/>
    <cellStyle name="Normal 2 74 2" xfId="7737"/>
    <cellStyle name="Normal 2 75" xfId="1191"/>
    <cellStyle name="Normal 2 75 2" xfId="7738"/>
    <cellStyle name="Normal 2 76" xfId="1192"/>
    <cellStyle name="Normal 2 76 2" xfId="7739"/>
    <cellStyle name="Normal 2 77" xfId="1193"/>
    <cellStyle name="Normal 2 77 2" xfId="7740"/>
    <cellStyle name="Normal 2 78" xfId="1194"/>
    <cellStyle name="Normal 2 78 2" xfId="7741"/>
    <cellStyle name="Normal 2 79" xfId="1195"/>
    <cellStyle name="Normal 2 79 2" xfId="7742"/>
    <cellStyle name="Normal 2 8" xfId="1196"/>
    <cellStyle name="Normal 2 8 2" xfId="4124"/>
    <cellStyle name="Normal 2 8 3" xfId="4083"/>
    <cellStyle name="Normal 2 8 4" xfId="4050"/>
    <cellStyle name="Normal 2 80" xfId="1197"/>
    <cellStyle name="Normal 2 80 2" xfId="7743"/>
    <cellStyle name="Normal 2 81" xfId="1198"/>
    <cellStyle name="Normal 2 81 2" xfId="7744"/>
    <cellStyle name="Normal 2 82" xfId="1199"/>
    <cellStyle name="Normal 2 82 2" xfId="7745"/>
    <cellStyle name="Normal 2 83" xfId="1200"/>
    <cellStyle name="Normal 2 83 2" xfId="7746"/>
    <cellStyle name="Normal 2 84" xfId="1201"/>
    <cellStyle name="Normal 2 84 2" xfId="7747"/>
    <cellStyle name="Normal 2 85" xfId="1202"/>
    <cellStyle name="Normal 2 85 2" xfId="7748"/>
    <cellStyle name="Normal 2 86" xfId="1203"/>
    <cellStyle name="Normal 2 86 2" xfId="7749"/>
    <cellStyle name="Normal 2 87" xfId="1204"/>
    <cellStyle name="Normal 2 87 2" xfId="7750"/>
    <cellStyle name="Normal 2 88" xfId="1205"/>
    <cellStyle name="Normal 2 88 2" xfId="7751"/>
    <cellStyle name="Normal 2 89" xfId="1206"/>
    <cellStyle name="Normal 2 89 2" xfId="7752"/>
    <cellStyle name="Normal 2 9" xfId="1207"/>
    <cellStyle name="Normal 2 9 2" xfId="4126"/>
    <cellStyle name="Normal 2 9 3" xfId="4085"/>
    <cellStyle name="Normal 2 9 4" xfId="4052"/>
    <cellStyle name="Normal 2 90" xfId="1208"/>
    <cellStyle name="Normal 2 90 2" xfId="7753"/>
    <cellStyle name="Normal 2 91" xfId="1209"/>
    <cellStyle name="Normal 2 91 2" xfId="7754"/>
    <cellStyle name="Normal 2 92" xfId="1210"/>
    <cellStyle name="Normal 2 92 2" xfId="7755"/>
    <cellStyle name="Normal 2 93" xfId="1211"/>
    <cellStyle name="Normal 2 93 2" xfId="7756"/>
    <cellStyle name="Normal 2 94" xfId="1212"/>
    <cellStyle name="Normal 2 94 2" xfId="7757"/>
    <cellStyle name="Normal 2 95" xfId="1213"/>
    <cellStyle name="Normal 2 95 2" xfId="7758"/>
    <cellStyle name="Normal 2 96" xfId="1214"/>
    <cellStyle name="Normal 2 96 2" xfId="7759"/>
    <cellStyle name="Normal 2 97" xfId="1215"/>
    <cellStyle name="Normal 2 97 2" xfId="7760"/>
    <cellStyle name="Normal 2 98" xfId="1216"/>
    <cellStyle name="Normal 2 98 2" xfId="7761"/>
    <cellStyle name="Normal 2 99" xfId="1217"/>
    <cellStyle name="Normal 2 99 2" xfId="7762"/>
    <cellStyle name="Normal 20" xfId="4261"/>
    <cellStyle name="Normal 20 2" xfId="9687"/>
    <cellStyle name="Normal 20 2 2" xfId="10465"/>
    <cellStyle name="Normal 20 3" xfId="10464"/>
    <cellStyle name="Normal 21" xfId="4265"/>
    <cellStyle name="Normal 21 2" xfId="9691"/>
    <cellStyle name="Normal 21 2 2" xfId="10467"/>
    <cellStyle name="Normal 21 3" xfId="10466"/>
    <cellStyle name="Normal 22" xfId="4316"/>
    <cellStyle name="Normal 22 2" xfId="9727"/>
    <cellStyle name="Normal 22 2 2" xfId="10469"/>
    <cellStyle name="Normal 22 3" xfId="10468"/>
    <cellStyle name="Normal 23" xfId="4331"/>
    <cellStyle name="Normal 23 2" xfId="9739"/>
    <cellStyle name="Normal 23 2 2" xfId="10471"/>
    <cellStyle name="Normal 23 3" xfId="10470"/>
    <cellStyle name="Normal 24" xfId="7554"/>
    <cellStyle name="Normal 24 2" xfId="10472"/>
    <cellStyle name="Normal 25" xfId="7553"/>
    <cellStyle name="Normal 25 2" xfId="10473"/>
    <cellStyle name="Normal 26" xfId="3840"/>
    <cellStyle name="Normal 3" xfId="3"/>
    <cellStyle name="Normal 3 10" xfId="1218"/>
    <cellStyle name="Normal 3 11" xfId="1219"/>
    <cellStyle name="Normal 3 12" xfId="1220"/>
    <cellStyle name="Normal 3 12 2" xfId="7763"/>
    <cellStyle name="Normal 3 13" xfId="1221"/>
    <cellStyle name="Normal 3 13 2" xfId="7764"/>
    <cellStyle name="Normal 3 14" xfId="1222"/>
    <cellStyle name="Normal 3 14 2" xfId="7765"/>
    <cellStyle name="Normal 3 15" xfId="1223"/>
    <cellStyle name="Normal 3 15 2" xfId="7766"/>
    <cellStyle name="Normal 3 16" xfId="1224"/>
    <cellStyle name="Normal 3 16 2" xfId="7767"/>
    <cellStyle name="Normal 3 17" xfId="1225"/>
    <cellStyle name="Normal 3 17 2" xfId="7768"/>
    <cellStyle name="Normal 3 18" xfId="1226"/>
    <cellStyle name="Normal 3 18 2" xfId="7769"/>
    <cellStyle name="Normal 3 19" xfId="1227"/>
    <cellStyle name="Normal 3 19 2" xfId="7770"/>
    <cellStyle name="Normal 3 2" xfId="1228"/>
    <cellStyle name="Normal 3 2 10" xfId="4192"/>
    <cellStyle name="Normal 3 2 10 2" xfId="9627"/>
    <cellStyle name="Normal 3 2 10 2 2" xfId="10475"/>
    <cellStyle name="Normal 3 2 10 3" xfId="10474"/>
    <cellStyle name="Normal 3 2 11" xfId="4275"/>
    <cellStyle name="Normal 3 2 11 2" xfId="9698"/>
    <cellStyle name="Normal 3 2 11 2 2" xfId="10477"/>
    <cellStyle name="Normal 3 2 11 3" xfId="10476"/>
    <cellStyle name="Normal 3 2 12" xfId="7771"/>
    <cellStyle name="Normal 3 2 2" xfId="1229"/>
    <cellStyle name="Normal 3 2 2 2" xfId="4243"/>
    <cellStyle name="Normal 3 2 2 2 2" xfId="9678"/>
    <cellStyle name="Normal 3 2 2 2 2 2" xfId="10479"/>
    <cellStyle name="Normal 3 2 2 2 3" xfId="10478"/>
    <cellStyle name="Normal 3 2 3" xfId="1230"/>
    <cellStyle name="Normal 3 2 4" xfId="1231"/>
    <cellStyle name="Normal 3 2 5" xfId="1232"/>
    <cellStyle name="Normal 3 2 6" xfId="1233"/>
    <cellStyle name="Normal 3 2 7" xfId="1234"/>
    <cellStyle name="Normal 3 2 8" xfId="1235"/>
    <cellStyle name="Normal 3 2 9" xfId="4128"/>
    <cellStyle name="Normal 3 2 9 2" xfId="9575"/>
    <cellStyle name="Normal 3 2 9 2 2" xfId="10481"/>
    <cellStyle name="Normal 3 2 9 3" xfId="10480"/>
    <cellStyle name="Normal 3 20" xfId="1236"/>
    <cellStyle name="Normal 3 20 2" xfId="7772"/>
    <cellStyle name="Normal 3 21" xfId="1237"/>
    <cellStyle name="Normal 3 21 2" xfId="7773"/>
    <cellStyle name="Normal 3 22" xfId="1238"/>
    <cellStyle name="Normal 3 22 2" xfId="7774"/>
    <cellStyle name="Normal 3 23" xfId="1239"/>
    <cellStyle name="Normal 3 23 2" xfId="7775"/>
    <cellStyle name="Normal 3 24" xfId="1240"/>
    <cellStyle name="Normal 3 24 2" xfId="7776"/>
    <cellStyle name="Normal 3 25" xfId="1241"/>
    <cellStyle name="Normal 3 25 2" xfId="7777"/>
    <cellStyle name="Normal 3 26" xfId="1242"/>
    <cellStyle name="Normal 3 26 2" xfId="7778"/>
    <cellStyle name="Normal 3 27" xfId="1243"/>
    <cellStyle name="Normal 3 27 2" xfId="7779"/>
    <cellStyle name="Normal 3 28" xfId="1244"/>
    <cellStyle name="Normal 3 28 2" xfId="7780"/>
    <cellStyle name="Normal 3 29" xfId="1245"/>
    <cellStyle name="Normal 3 29 2" xfId="7781"/>
    <cellStyle name="Normal 3 3" xfId="1246"/>
    <cellStyle name="Normal 3 3 2" xfId="4087"/>
    <cellStyle name="Normal 3 3 2 2" xfId="4225"/>
    <cellStyle name="Normal 3 3 2 2 2" xfId="9660"/>
    <cellStyle name="Normal 3 3 2 2 2 2" xfId="10484"/>
    <cellStyle name="Normal 3 3 2 2 3" xfId="10483"/>
    <cellStyle name="Normal 3 3 2 3" xfId="9556"/>
    <cellStyle name="Normal 3 3 2 3 2" xfId="10485"/>
    <cellStyle name="Normal 3 3 2 4" xfId="10482"/>
    <cellStyle name="Normal 3 3 3" xfId="4174"/>
    <cellStyle name="Normal 3 3 3 2" xfId="9609"/>
    <cellStyle name="Normal 3 3 3 2 2" xfId="10487"/>
    <cellStyle name="Normal 3 3 3 3" xfId="10486"/>
    <cellStyle name="Normal 3 3 4" xfId="4284"/>
    <cellStyle name="Normal 3 3 4 2" xfId="9701"/>
    <cellStyle name="Normal 3 3 5" xfId="7782"/>
    <cellStyle name="Normal 3 30" xfId="1247"/>
    <cellStyle name="Normal 3 30 2" xfId="7783"/>
    <cellStyle name="Normal 3 31" xfId="4011"/>
    <cellStyle name="Normal 3 32" xfId="4054"/>
    <cellStyle name="Normal 3 32 2" xfId="9540"/>
    <cellStyle name="Normal 3 32 2 2" xfId="10489"/>
    <cellStyle name="Normal 3 32 3" xfId="10488"/>
    <cellStyle name="Normal 3 33" xfId="4158"/>
    <cellStyle name="Normal 3 33 2" xfId="9593"/>
    <cellStyle name="Normal 3 33 2 2" xfId="10491"/>
    <cellStyle name="Normal 3 33 3" xfId="10490"/>
    <cellStyle name="Normal 3 34" xfId="4249"/>
    <cellStyle name="Normal 3 34 2" xfId="9683"/>
    <cellStyle name="Normal 3 35" xfId="4328"/>
    <cellStyle name="Normal 3 35 2" xfId="9736"/>
    <cellStyle name="Normal 3 35 2 2" xfId="10493"/>
    <cellStyle name="Normal 3 35 3" xfId="10492"/>
    <cellStyle name="Normal 3 4" xfId="1248"/>
    <cellStyle name="Normal 3 4 2" xfId="4209"/>
    <cellStyle name="Normal 3 4 2 2" xfId="9644"/>
    <cellStyle name="Normal 3 4 2 2 2" xfId="10495"/>
    <cellStyle name="Normal 3 4 2 3" xfId="10494"/>
    <cellStyle name="Normal 3 4 3" xfId="4279"/>
    <cellStyle name="Normal 3 5" xfId="1249"/>
    <cellStyle name="Normal 3 5 2" xfId="4302"/>
    <cellStyle name="Normal 3 5 2 2" xfId="9713"/>
    <cellStyle name="Normal 3 6" xfId="1250"/>
    <cellStyle name="Normal 3 7" xfId="1251"/>
    <cellStyle name="Normal 3 8" xfId="1252"/>
    <cellStyle name="Normal 3 9" xfId="1253"/>
    <cellStyle name="Normal 4" xfId="1254"/>
    <cellStyle name="Normal 4 2" xfId="4090"/>
    <cellStyle name="Normal 4 2 2" xfId="4228"/>
    <cellStyle name="Normal 4 2 2 2" xfId="9663"/>
    <cellStyle name="Normal 4 2 2 2 2" xfId="10498"/>
    <cellStyle name="Normal 4 2 2 3" xfId="10497"/>
    <cellStyle name="Normal 4 2 3" xfId="9559"/>
    <cellStyle name="Normal 4 2 3 2" xfId="10499"/>
    <cellStyle name="Normal 4 2 4" xfId="10496"/>
    <cellStyle name="Normal 4 3" xfId="4177"/>
    <cellStyle name="Normal 4 3 2" xfId="9612"/>
    <cellStyle name="Normal 4 3 2 2" xfId="10501"/>
    <cellStyle name="Normal 4 3 3" xfId="10500"/>
    <cellStyle name="Normal 4 4" xfId="4282"/>
    <cellStyle name="Normal 4 4 2" xfId="9699"/>
    <cellStyle name="Normal 4 4 2 2" xfId="10503"/>
    <cellStyle name="Normal 4 4 3" xfId="10502"/>
    <cellStyle name="Normal 5" xfId="1255"/>
    <cellStyle name="Normal 5 2" xfId="4092"/>
    <cellStyle name="Normal 5 2 2" xfId="9561"/>
    <cellStyle name="Normal 5 3" xfId="4300"/>
    <cellStyle name="Normal 5 3 2" xfId="9711"/>
    <cellStyle name="Normal 5 3 2 2" xfId="10505"/>
    <cellStyle name="Normal 5 3 3" xfId="10504"/>
    <cellStyle name="Normal 5 4" xfId="7784"/>
    <cellStyle name="Normal 6" xfId="1256"/>
    <cellStyle name="Normal 6 2" xfId="4019"/>
    <cellStyle name="Normal 6 2 2" xfId="9526"/>
    <cellStyle name="Normal 6 3" xfId="7785"/>
    <cellStyle name="Normal 7" xfId="1257"/>
    <cellStyle name="Normal 7 2" xfId="4195"/>
    <cellStyle name="Normal 7 2 2" xfId="9630"/>
    <cellStyle name="Normal 7 2 2 2" xfId="10507"/>
    <cellStyle name="Normal 7 2 3" xfId="10506"/>
    <cellStyle name="Normal 8" xfId="1258"/>
    <cellStyle name="Normal 8 2" xfId="4140"/>
    <cellStyle name="Normal 8 2 2" xfId="9579"/>
    <cellStyle name="Normal 8 3" xfId="7786"/>
    <cellStyle name="Normal 9" xfId="1259"/>
    <cellStyle name="Normal_Cuadros tasas por aglomerado" xfId="3838"/>
    <cellStyle name="Normal_Cuadros tasas trimestrales" xfId="3837"/>
    <cellStyle name="Porcentaje 10" xfId="1260"/>
    <cellStyle name="Porcentaje 11" xfId="1261"/>
    <cellStyle name="Porcentaje 12" xfId="1262"/>
    <cellStyle name="Porcentaje 13" xfId="1263"/>
    <cellStyle name="Porcentaje 14" xfId="1264"/>
    <cellStyle name="Porcentaje 15" xfId="1265"/>
    <cellStyle name="Porcentaje 16" xfId="1266"/>
    <cellStyle name="Porcentaje 17" xfId="1267"/>
    <cellStyle name="Porcentaje 18" xfId="1268"/>
    <cellStyle name="Porcentaje 19" xfId="1269"/>
    <cellStyle name="Porcentaje 2" xfId="1270"/>
    <cellStyle name="Porcentaje 2 10" xfId="5"/>
    <cellStyle name="Porcentaje 2 10 2" xfId="7787"/>
    <cellStyle name="Porcentaje 2 11" xfId="1271"/>
    <cellStyle name="Porcentaje 2 11 2" xfId="7788"/>
    <cellStyle name="Porcentaje 2 12" xfId="1272"/>
    <cellStyle name="Porcentaje 2 12 2" xfId="7789"/>
    <cellStyle name="Porcentaje 2 13" xfId="1273"/>
    <cellStyle name="Porcentaje 2 13 2" xfId="7790"/>
    <cellStyle name="Porcentaje 2 14" xfId="1274"/>
    <cellStyle name="Porcentaje 2 14 2" xfId="7791"/>
    <cellStyle name="Porcentaje 2 15" xfId="1275"/>
    <cellStyle name="Porcentaje 2 15 2" xfId="7792"/>
    <cellStyle name="Porcentaje 2 16" xfId="1276"/>
    <cellStyle name="Porcentaje 2 16 2" xfId="7793"/>
    <cellStyle name="Porcentaje 2 17" xfId="1277"/>
    <cellStyle name="Porcentaje 2 17 2" xfId="7794"/>
    <cellStyle name="Porcentaje 2 18" xfId="1278"/>
    <cellStyle name="Porcentaje 2 18 2" xfId="7795"/>
    <cellStyle name="Porcentaje 2 19" xfId="1279"/>
    <cellStyle name="Porcentaje 2 19 2" xfId="7796"/>
    <cellStyle name="Porcentaje 2 2" xfId="1280"/>
    <cellStyle name="Porcentaje 2 2 2" xfId="4130"/>
    <cellStyle name="Porcentaje 2 2 2 2" xfId="4245"/>
    <cellStyle name="Porcentaje 2 2 2 2 2" xfId="9680"/>
    <cellStyle name="Porcentaje 2 2 2 2 2 2" xfId="10510"/>
    <cellStyle name="Porcentaje 2 2 2 2 3" xfId="10509"/>
    <cellStyle name="Porcentaje 2 2 2 3" xfId="9577"/>
    <cellStyle name="Porcentaje 2 2 2 3 2" xfId="10511"/>
    <cellStyle name="Porcentaje 2 2 2 4" xfId="10508"/>
    <cellStyle name="Porcentaje 2 2 3" xfId="4194"/>
    <cellStyle name="Porcentaje 2 2 3 2" xfId="9629"/>
    <cellStyle name="Porcentaje 2 2 3 2 2" xfId="10513"/>
    <cellStyle name="Porcentaje 2 2 3 3" xfId="10512"/>
    <cellStyle name="Porcentaje 2 2 4" xfId="7797"/>
    <cellStyle name="Porcentaje 2 20" xfId="1281"/>
    <cellStyle name="Porcentaje 2 20 2" xfId="7798"/>
    <cellStyle name="Porcentaje 2 21" xfId="1282"/>
    <cellStyle name="Porcentaje 2 21 2" xfId="7799"/>
    <cellStyle name="Porcentaje 2 22" xfId="1283"/>
    <cellStyle name="Porcentaje 2 22 2" xfId="7800"/>
    <cellStyle name="Porcentaje 2 23" xfId="1284"/>
    <cellStyle name="Porcentaje 2 23 2" xfId="7801"/>
    <cellStyle name="Porcentaje 2 24" xfId="4056"/>
    <cellStyle name="Porcentaje 2 24 2" xfId="9542"/>
    <cellStyle name="Porcentaje 2 24 2 2" xfId="10515"/>
    <cellStyle name="Porcentaje 2 24 3" xfId="10514"/>
    <cellStyle name="Porcentaje 2 25" xfId="4160"/>
    <cellStyle name="Porcentaje 2 25 2" xfId="9595"/>
    <cellStyle name="Porcentaje 2 25 2 2" xfId="10517"/>
    <cellStyle name="Porcentaje 2 25 3" xfId="10516"/>
    <cellStyle name="Porcentaje 2 26" xfId="4253"/>
    <cellStyle name="Porcentaje 2 3" xfId="1285"/>
    <cellStyle name="Porcentaje 2 3 2" xfId="4089"/>
    <cellStyle name="Porcentaje 2 3 2 2" xfId="4227"/>
    <cellStyle name="Porcentaje 2 3 2 2 2" xfId="9662"/>
    <cellStyle name="Porcentaje 2 3 2 2 2 2" xfId="10520"/>
    <cellStyle name="Porcentaje 2 3 2 2 3" xfId="10519"/>
    <cellStyle name="Porcentaje 2 3 2 3" xfId="9558"/>
    <cellStyle name="Porcentaje 2 3 2 3 2" xfId="10521"/>
    <cellStyle name="Porcentaje 2 3 2 4" xfId="10518"/>
    <cellStyle name="Porcentaje 2 3 3" xfId="4176"/>
    <cellStyle name="Porcentaje 2 3 3 2" xfId="9611"/>
    <cellStyle name="Porcentaje 2 3 3 2 2" xfId="10523"/>
    <cellStyle name="Porcentaje 2 3 3 3" xfId="10522"/>
    <cellStyle name="Porcentaje 2 3 4" xfId="7802"/>
    <cellStyle name="Porcentaje 2 4" xfId="1286"/>
    <cellStyle name="Porcentaje 2 4 2" xfId="4211"/>
    <cellStyle name="Porcentaje 2 4 2 2" xfId="9646"/>
    <cellStyle name="Porcentaje 2 4 2 2 2" xfId="10525"/>
    <cellStyle name="Porcentaje 2 4 2 3" xfId="10524"/>
    <cellStyle name="Porcentaje 2 4 3" xfId="7803"/>
    <cellStyle name="Porcentaje 2 5" xfId="1287"/>
    <cellStyle name="Porcentaje 2 5 2" xfId="7804"/>
    <cellStyle name="Porcentaje 2 6" xfId="1288"/>
    <cellStyle name="Porcentaje 2 6 2" xfId="7805"/>
    <cellStyle name="Porcentaje 2 7" xfId="1289"/>
    <cellStyle name="Porcentaje 2 7 2" xfId="7806"/>
    <cellStyle name="Porcentaje 2 8" xfId="1290"/>
    <cellStyle name="Porcentaje 2 8 2" xfId="7807"/>
    <cellStyle name="Porcentaje 2 9" xfId="1291"/>
    <cellStyle name="Porcentaje 2 9 2" xfId="7808"/>
    <cellStyle name="Porcentaje 20" xfId="1292"/>
    <cellStyle name="Porcentaje 21" xfId="1293"/>
    <cellStyle name="Porcentaje 22" xfId="1294"/>
    <cellStyle name="Porcentaje 23" xfId="1295"/>
    <cellStyle name="Porcentaje 24" xfId="4248"/>
    <cellStyle name="Porcentaje 24 2" xfId="9682"/>
    <cellStyle name="Porcentaje 24 2 2" xfId="10527"/>
    <cellStyle name="Porcentaje 24 3" xfId="10526"/>
    <cellStyle name="Porcentaje 25" xfId="4266"/>
    <cellStyle name="Porcentaje 25 2" xfId="9692"/>
    <cellStyle name="Porcentaje 25 2 2" xfId="10529"/>
    <cellStyle name="Porcentaje 25 3" xfId="10528"/>
    <cellStyle name="Porcentaje 26" xfId="7809"/>
    <cellStyle name="Porcentaje 3" xfId="1296"/>
    <cellStyle name="Porcentaje 3 2" xfId="4091"/>
    <cellStyle name="Porcentaje 3 2 2" xfId="4229"/>
    <cellStyle name="Porcentaje 3 2 2 2" xfId="9664"/>
    <cellStyle name="Porcentaje 3 2 2 2 2" xfId="10532"/>
    <cellStyle name="Porcentaje 3 2 2 3" xfId="10531"/>
    <cellStyle name="Porcentaje 3 2 3" xfId="9560"/>
    <cellStyle name="Porcentaje 3 2 3 2" xfId="10533"/>
    <cellStyle name="Porcentaje 3 2 4" xfId="10530"/>
    <cellStyle name="Porcentaje 3 3" xfId="4178"/>
    <cellStyle name="Porcentaje 3 3 2" xfId="9613"/>
    <cellStyle name="Porcentaje 3 3 2 2" xfId="10535"/>
    <cellStyle name="Porcentaje 3 3 3" xfId="10534"/>
    <cellStyle name="Porcentaje 3 4" xfId="4283"/>
    <cellStyle name="Porcentaje 3 4 2" xfId="9700"/>
    <cellStyle name="Porcentaje 3 4 2 2" xfId="10537"/>
    <cellStyle name="Porcentaje 3 4 3" xfId="10536"/>
    <cellStyle name="Porcentaje 4" xfId="1297"/>
    <cellStyle name="Porcentaje 4 2" xfId="4098"/>
    <cellStyle name="Porcentaje 4 3" xfId="4301"/>
    <cellStyle name="Porcentaje 4 3 2" xfId="9712"/>
    <cellStyle name="Porcentaje 4 3 2 2" xfId="10539"/>
    <cellStyle name="Porcentaje 4 3 3" xfId="10538"/>
    <cellStyle name="Porcentaje 5" xfId="1298"/>
    <cellStyle name="Porcentaje 5 2" xfId="4024"/>
    <cellStyle name="Porcentaje 6" xfId="1299"/>
    <cellStyle name="Porcentaje 6 2" xfId="4145"/>
    <cellStyle name="Porcentaje 7" xfId="1300"/>
    <cellStyle name="Porcentaje 8" xfId="1301"/>
    <cellStyle name="Porcentaje 9" xfId="1302"/>
    <cellStyle name="Porcentual" xfId="2" builtinId="5"/>
    <cellStyle name="Porcentual 10" xfId="1303"/>
    <cellStyle name="Porcentual 10 10" xfId="1304"/>
    <cellStyle name="Porcentual 10 10 2" xfId="1305"/>
    <cellStyle name="Porcentual 10 10 2 2" xfId="7812"/>
    <cellStyle name="Porcentual 10 10 3" xfId="7811"/>
    <cellStyle name="Porcentual 10 11" xfId="1306"/>
    <cellStyle name="Porcentual 10 11 2" xfId="5134"/>
    <cellStyle name="Porcentual 10 11 3" xfId="7813"/>
    <cellStyle name="Porcentual 10 12" xfId="1307"/>
    <cellStyle name="Porcentual 10 12 2" xfId="5135"/>
    <cellStyle name="Porcentual 10 12 3" xfId="7814"/>
    <cellStyle name="Porcentual 10 13" xfId="1308"/>
    <cellStyle name="Porcentual 10 13 2" xfId="5136"/>
    <cellStyle name="Porcentual 10 13 3" xfId="7815"/>
    <cellStyle name="Porcentual 10 14" xfId="1309"/>
    <cellStyle name="Porcentual 10 14 2" xfId="5137"/>
    <cellStyle name="Porcentual 10 14 3" xfId="7816"/>
    <cellStyle name="Porcentual 10 15" xfId="1310"/>
    <cellStyle name="Porcentual 10 15 2" xfId="5138"/>
    <cellStyle name="Porcentual 10 15 3" xfId="7817"/>
    <cellStyle name="Porcentual 10 16" xfId="1311"/>
    <cellStyle name="Porcentual 10 16 2" xfId="5139"/>
    <cellStyle name="Porcentual 10 16 3" xfId="7818"/>
    <cellStyle name="Porcentual 10 17" xfId="1312"/>
    <cellStyle name="Porcentual 10 17 2" xfId="5140"/>
    <cellStyle name="Porcentual 10 17 3" xfId="7819"/>
    <cellStyle name="Porcentual 10 18" xfId="1313"/>
    <cellStyle name="Porcentual 10 18 2" xfId="5141"/>
    <cellStyle name="Porcentual 10 18 3" xfId="7820"/>
    <cellStyle name="Porcentual 10 19" xfId="1314"/>
    <cellStyle name="Porcentual 10 19 2" xfId="5142"/>
    <cellStyle name="Porcentual 10 19 3" xfId="7821"/>
    <cellStyle name="Porcentual 10 2" xfId="1315"/>
    <cellStyle name="Porcentual 10 2 2" xfId="5143"/>
    <cellStyle name="Porcentual 10 2 3" xfId="7822"/>
    <cellStyle name="Porcentual 10 20" xfId="1316"/>
    <cellStyle name="Porcentual 10 20 2" xfId="5144"/>
    <cellStyle name="Porcentual 10 20 3" xfId="7823"/>
    <cellStyle name="Porcentual 10 21" xfId="1317"/>
    <cellStyle name="Porcentual 10 21 2" xfId="5145"/>
    <cellStyle name="Porcentual 10 21 3" xfId="7824"/>
    <cellStyle name="Porcentual 10 22" xfId="1318"/>
    <cellStyle name="Porcentual 10 22 2" xfId="5146"/>
    <cellStyle name="Porcentual 10 22 3" xfId="7825"/>
    <cellStyle name="Porcentual 10 23" xfId="1319"/>
    <cellStyle name="Porcentual 10 23 2" xfId="5147"/>
    <cellStyle name="Porcentual 10 23 3" xfId="7826"/>
    <cellStyle name="Porcentual 10 24" xfId="1320"/>
    <cellStyle name="Porcentual 10 24 2" xfId="5148"/>
    <cellStyle name="Porcentual 10 24 3" xfId="7827"/>
    <cellStyle name="Porcentual 10 25" xfId="1321"/>
    <cellStyle name="Porcentual 10 25 2" xfId="5149"/>
    <cellStyle name="Porcentual 10 25 3" xfId="7828"/>
    <cellStyle name="Porcentual 10 26" xfId="1322"/>
    <cellStyle name="Porcentual 10 26 2" xfId="5150"/>
    <cellStyle name="Porcentual 10 26 3" xfId="7829"/>
    <cellStyle name="Porcentual 10 27" xfId="1323"/>
    <cellStyle name="Porcentual 10 27 2" xfId="5151"/>
    <cellStyle name="Porcentual 10 27 3" xfId="7830"/>
    <cellStyle name="Porcentual 10 28" xfId="1324"/>
    <cellStyle name="Porcentual 10 28 2" xfId="5152"/>
    <cellStyle name="Porcentual 10 28 3" xfId="7831"/>
    <cellStyle name="Porcentual 10 29" xfId="5153"/>
    <cellStyle name="Porcentual 10 29 2" xfId="9740"/>
    <cellStyle name="Porcentual 10 29 2 2" xfId="10541"/>
    <cellStyle name="Porcentual 10 29 3" xfId="10540"/>
    <cellStyle name="Porcentual 10 3" xfId="1325"/>
    <cellStyle name="Porcentual 10 3 2" xfId="5154"/>
    <cellStyle name="Porcentual 10 3 3" xfId="7832"/>
    <cellStyle name="Porcentual 10 30" xfId="5155"/>
    <cellStyle name="Porcentual 10 30 2" xfId="9741"/>
    <cellStyle name="Porcentual 10 30 2 2" xfId="10543"/>
    <cellStyle name="Porcentual 10 30 3" xfId="10542"/>
    <cellStyle name="Porcentual 10 31" xfId="7810"/>
    <cellStyle name="Porcentual 10 4" xfId="1326"/>
    <cellStyle name="Porcentual 10 4 2" xfId="5156"/>
    <cellStyle name="Porcentual 10 4 3" xfId="7833"/>
    <cellStyle name="Porcentual 10 5" xfId="1327"/>
    <cellStyle name="Porcentual 10 5 2" xfId="5157"/>
    <cellStyle name="Porcentual 10 5 3" xfId="7834"/>
    <cellStyle name="Porcentual 10 6" xfId="1328"/>
    <cellStyle name="Porcentual 10 6 2" xfId="5158"/>
    <cellStyle name="Porcentual 10 6 3" xfId="7835"/>
    <cellStyle name="Porcentual 10 7" xfId="1329"/>
    <cellStyle name="Porcentual 10 7 2" xfId="5159"/>
    <cellStyle name="Porcentual 10 7 3" xfId="7836"/>
    <cellStyle name="Porcentual 10 8" xfId="1330"/>
    <cellStyle name="Porcentual 10 8 2" xfId="5160"/>
    <cellStyle name="Porcentual 10 8 3" xfId="7837"/>
    <cellStyle name="Porcentual 10 9" xfId="1331"/>
    <cellStyle name="Porcentual 10 9 2" xfId="5161"/>
    <cellStyle name="Porcentual 10 9 3" xfId="7838"/>
    <cellStyle name="Porcentual 104 10" xfId="1332"/>
    <cellStyle name="Porcentual 104 10 2" xfId="5162"/>
    <cellStyle name="Porcentual 104 10 3" xfId="7839"/>
    <cellStyle name="Porcentual 104 11" xfId="1333"/>
    <cellStyle name="Porcentual 104 11 2" xfId="5163"/>
    <cellStyle name="Porcentual 104 11 3" xfId="7840"/>
    <cellStyle name="Porcentual 104 12" xfId="1334"/>
    <cellStyle name="Porcentual 104 12 2" xfId="5164"/>
    <cellStyle name="Porcentual 104 12 3" xfId="7841"/>
    <cellStyle name="Porcentual 104 13" xfId="1335"/>
    <cellStyle name="Porcentual 104 13 2" xfId="5165"/>
    <cellStyle name="Porcentual 104 13 3" xfId="7842"/>
    <cellStyle name="Porcentual 104 14" xfId="1336"/>
    <cellStyle name="Porcentual 104 14 2" xfId="5166"/>
    <cellStyle name="Porcentual 104 14 3" xfId="7843"/>
    <cellStyle name="Porcentual 104 15" xfId="1337"/>
    <cellStyle name="Porcentual 104 15 2" xfId="5167"/>
    <cellStyle name="Porcentual 104 15 3" xfId="7844"/>
    <cellStyle name="Porcentual 104 16" xfId="1338"/>
    <cellStyle name="Porcentual 104 16 2" xfId="5168"/>
    <cellStyle name="Porcentual 104 16 3" xfId="7845"/>
    <cellStyle name="Porcentual 104 17" xfId="1339"/>
    <cellStyle name="Porcentual 104 17 2" xfId="5169"/>
    <cellStyle name="Porcentual 104 17 3" xfId="7846"/>
    <cellStyle name="Porcentual 104 18" xfId="1340"/>
    <cellStyle name="Porcentual 104 18 2" xfId="5170"/>
    <cellStyle name="Porcentual 104 18 3" xfId="7847"/>
    <cellStyle name="Porcentual 104 19" xfId="1341"/>
    <cellStyle name="Porcentual 104 19 2" xfId="5171"/>
    <cellStyle name="Porcentual 104 19 3" xfId="7848"/>
    <cellStyle name="Porcentual 104 2" xfId="1342"/>
    <cellStyle name="Porcentual 104 2 2" xfId="5172"/>
    <cellStyle name="Porcentual 104 2 3" xfId="7849"/>
    <cellStyle name="Porcentual 104 20" xfId="1343"/>
    <cellStyle name="Porcentual 104 20 2" xfId="5173"/>
    <cellStyle name="Porcentual 104 20 3" xfId="7850"/>
    <cellStyle name="Porcentual 104 21" xfId="1344"/>
    <cellStyle name="Porcentual 104 21 2" xfId="5174"/>
    <cellStyle name="Porcentual 104 21 3" xfId="7851"/>
    <cellStyle name="Porcentual 104 22" xfId="1345"/>
    <cellStyle name="Porcentual 104 22 2" xfId="5175"/>
    <cellStyle name="Porcentual 104 22 3" xfId="7852"/>
    <cellStyle name="Porcentual 104 23" xfId="1346"/>
    <cellStyle name="Porcentual 104 23 2" xfId="5176"/>
    <cellStyle name="Porcentual 104 23 3" xfId="7853"/>
    <cellStyle name="Porcentual 104 24" xfId="1347"/>
    <cellStyle name="Porcentual 104 24 2" xfId="5177"/>
    <cellStyle name="Porcentual 104 24 3" xfId="7854"/>
    <cellStyle name="Porcentual 104 25" xfId="1348"/>
    <cellStyle name="Porcentual 104 25 2" xfId="5178"/>
    <cellStyle name="Porcentual 104 25 3" xfId="7855"/>
    <cellStyle name="Porcentual 104 26" xfId="1349"/>
    <cellStyle name="Porcentual 104 26 2" xfId="5179"/>
    <cellStyle name="Porcentual 104 26 3" xfId="7856"/>
    <cellStyle name="Porcentual 104 27" xfId="1350"/>
    <cellStyle name="Porcentual 104 27 2" xfId="5180"/>
    <cellStyle name="Porcentual 104 27 3" xfId="7857"/>
    <cellStyle name="Porcentual 104 28" xfId="1351"/>
    <cellStyle name="Porcentual 104 28 2" xfId="5181"/>
    <cellStyle name="Porcentual 104 28 3" xfId="7858"/>
    <cellStyle name="Porcentual 104 3" xfId="1352"/>
    <cellStyle name="Porcentual 104 3 2" xfId="5182"/>
    <cellStyle name="Porcentual 104 3 3" xfId="7859"/>
    <cellStyle name="Porcentual 104 4" xfId="1353"/>
    <cellStyle name="Porcentual 104 4 2" xfId="5183"/>
    <cellStyle name="Porcentual 104 4 3" xfId="7860"/>
    <cellStyle name="Porcentual 104 5" xfId="1354"/>
    <cellStyle name="Porcentual 104 5 2" xfId="5184"/>
    <cellStyle name="Porcentual 104 5 3" xfId="7861"/>
    <cellStyle name="Porcentual 104 6" xfId="1355"/>
    <cellStyle name="Porcentual 104 6 2" xfId="5185"/>
    <cellStyle name="Porcentual 104 6 3" xfId="7862"/>
    <cellStyle name="Porcentual 104 7" xfId="1356"/>
    <cellStyle name="Porcentual 104 7 2" xfId="5186"/>
    <cellStyle name="Porcentual 104 7 3" xfId="7863"/>
    <cellStyle name="Porcentual 104 8" xfId="1357"/>
    <cellStyle name="Porcentual 104 8 2" xfId="5187"/>
    <cellStyle name="Porcentual 104 8 3" xfId="7864"/>
    <cellStyle name="Porcentual 104 9" xfId="1358"/>
    <cellStyle name="Porcentual 104 9 2" xfId="5188"/>
    <cellStyle name="Porcentual 104 9 3" xfId="7865"/>
    <cellStyle name="Porcentual 11" xfId="1359"/>
    <cellStyle name="Porcentual 11 2" xfId="5189"/>
    <cellStyle name="Porcentual 11 2 2" xfId="9742"/>
    <cellStyle name="Porcentual 11 2 2 2" xfId="10545"/>
    <cellStyle name="Porcentual 11 2 3" xfId="10544"/>
    <cellStyle name="Porcentual 11 3" xfId="5190"/>
    <cellStyle name="Porcentual 11 3 2" xfId="9743"/>
    <cellStyle name="Porcentual 11 3 2 2" xfId="10547"/>
    <cellStyle name="Porcentual 11 3 3" xfId="10546"/>
    <cellStyle name="Porcentual 11 4" xfId="7866"/>
    <cellStyle name="Porcentual 112 10" xfId="1360"/>
    <cellStyle name="Porcentual 112 10 2" xfId="5191"/>
    <cellStyle name="Porcentual 112 10 3" xfId="7867"/>
    <cellStyle name="Porcentual 112 11" xfId="1361"/>
    <cellStyle name="Porcentual 112 11 2" xfId="5192"/>
    <cellStyle name="Porcentual 112 11 3" xfId="7868"/>
    <cellStyle name="Porcentual 112 12" xfId="1362"/>
    <cellStyle name="Porcentual 112 12 2" xfId="5193"/>
    <cellStyle name="Porcentual 112 12 3" xfId="7869"/>
    <cellStyle name="Porcentual 112 13" xfId="1363"/>
    <cellStyle name="Porcentual 112 13 2" xfId="5194"/>
    <cellStyle name="Porcentual 112 13 3" xfId="7870"/>
    <cellStyle name="Porcentual 112 14" xfId="1364"/>
    <cellStyle name="Porcentual 112 14 2" xfId="5195"/>
    <cellStyle name="Porcentual 112 14 3" xfId="7871"/>
    <cellStyle name="Porcentual 112 15" xfId="1365"/>
    <cellStyle name="Porcentual 112 15 2" xfId="5196"/>
    <cellStyle name="Porcentual 112 15 3" xfId="7872"/>
    <cellStyle name="Porcentual 112 16" xfId="1366"/>
    <cellStyle name="Porcentual 112 16 2" xfId="5197"/>
    <cellStyle name="Porcentual 112 16 3" xfId="7873"/>
    <cellStyle name="Porcentual 112 17" xfId="1367"/>
    <cellStyle name="Porcentual 112 17 2" xfId="5198"/>
    <cellStyle name="Porcentual 112 17 3" xfId="7874"/>
    <cellStyle name="Porcentual 112 18" xfId="1368"/>
    <cellStyle name="Porcentual 112 18 2" xfId="5199"/>
    <cellStyle name="Porcentual 112 18 3" xfId="7875"/>
    <cellStyle name="Porcentual 112 19" xfId="1369"/>
    <cellStyle name="Porcentual 112 19 2" xfId="5200"/>
    <cellStyle name="Porcentual 112 19 3" xfId="7876"/>
    <cellStyle name="Porcentual 112 2" xfId="1370"/>
    <cellStyle name="Porcentual 112 2 2" xfId="5201"/>
    <cellStyle name="Porcentual 112 2 3" xfId="7877"/>
    <cellStyle name="Porcentual 112 20" xfId="1371"/>
    <cellStyle name="Porcentual 112 20 2" xfId="5202"/>
    <cellStyle name="Porcentual 112 20 3" xfId="7878"/>
    <cellStyle name="Porcentual 112 21" xfId="1372"/>
    <cellStyle name="Porcentual 112 21 2" xfId="5203"/>
    <cellStyle name="Porcentual 112 21 3" xfId="7879"/>
    <cellStyle name="Porcentual 112 22" xfId="1373"/>
    <cellStyle name="Porcentual 112 22 2" xfId="5204"/>
    <cellStyle name="Porcentual 112 22 3" xfId="7880"/>
    <cellStyle name="Porcentual 112 23" xfId="1374"/>
    <cellStyle name="Porcentual 112 23 2" xfId="5205"/>
    <cellStyle name="Porcentual 112 23 3" xfId="7881"/>
    <cellStyle name="Porcentual 112 24" xfId="1375"/>
    <cellStyle name="Porcentual 112 24 2" xfId="5206"/>
    <cellStyle name="Porcentual 112 24 3" xfId="7882"/>
    <cellStyle name="Porcentual 112 25" xfId="1376"/>
    <cellStyle name="Porcentual 112 25 2" xfId="5207"/>
    <cellStyle name="Porcentual 112 25 3" xfId="7883"/>
    <cellStyle name="Porcentual 112 26" xfId="1377"/>
    <cellStyle name="Porcentual 112 26 2" xfId="5208"/>
    <cellStyle name="Porcentual 112 26 3" xfId="7884"/>
    <cellStyle name="Porcentual 112 27" xfId="1378"/>
    <cellStyle name="Porcentual 112 27 2" xfId="5209"/>
    <cellStyle name="Porcentual 112 27 3" xfId="7885"/>
    <cellStyle name="Porcentual 112 28" xfId="1379"/>
    <cellStyle name="Porcentual 112 28 2" xfId="5210"/>
    <cellStyle name="Porcentual 112 28 3" xfId="7886"/>
    <cellStyle name="Porcentual 112 3" xfId="1380"/>
    <cellStyle name="Porcentual 112 3 2" xfId="5211"/>
    <cellStyle name="Porcentual 112 3 3" xfId="7887"/>
    <cellStyle name="Porcentual 112 4" xfId="1381"/>
    <cellStyle name="Porcentual 112 4 2" xfId="5212"/>
    <cellStyle name="Porcentual 112 4 3" xfId="7888"/>
    <cellStyle name="Porcentual 112 5" xfId="1382"/>
    <cellStyle name="Porcentual 112 5 2" xfId="5213"/>
    <cellStyle name="Porcentual 112 5 3" xfId="7889"/>
    <cellStyle name="Porcentual 112 6" xfId="1383"/>
    <cellStyle name="Porcentual 112 6 2" xfId="5214"/>
    <cellStyle name="Porcentual 112 6 3" xfId="7890"/>
    <cellStyle name="Porcentual 112 7" xfId="1384"/>
    <cellStyle name="Porcentual 112 7 2" xfId="5215"/>
    <cellStyle name="Porcentual 112 7 3" xfId="7891"/>
    <cellStyle name="Porcentual 112 8" xfId="1385"/>
    <cellStyle name="Porcentual 112 8 2" xfId="5216"/>
    <cellStyle name="Porcentual 112 8 3" xfId="7892"/>
    <cellStyle name="Porcentual 112 9" xfId="1386"/>
    <cellStyle name="Porcentual 112 9 2" xfId="5217"/>
    <cellStyle name="Porcentual 112 9 3" xfId="7893"/>
    <cellStyle name="Porcentual 116 10" xfId="1387"/>
    <cellStyle name="Porcentual 116 10 2" xfId="5218"/>
    <cellStyle name="Porcentual 116 10 3" xfId="7894"/>
    <cellStyle name="Porcentual 116 11" xfId="1388"/>
    <cellStyle name="Porcentual 116 11 2" xfId="5219"/>
    <cellStyle name="Porcentual 116 11 3" xfId="7895"/>
    <cellStyle name="Porcentual 116 12" xfId="1389"/>
    <cellStyle name="Porcentual 116 12 2" xfId="5220"/>
    <cellStyle name="Porcentual 116 12 3" xfId="7896"/>
    <cellStyle name="Porcentual 116 13" xfId="1390"/>
    <cellStyle name="Porcentual 116 13 2" xfId="5221"/>
    <cellStyle name="Porcentual 116 13 3" xfId="7897"/>
    <cellStyle name="Porcentual 116 14" xfId="1391"/>
    <cellStyle name="Porcentual 116 14 2" xfId="5222"/>
    <cellStyle name="Porcentual 116 14 3" xfId="7898"/>
    <cellStyle name="Porcentual 116 15" xfId="1392"/>
    <cellStyle name="Porcentual 116 15 2" xfId="5223"/>
    <cellStyle name="Porcentual 116 15 3" xfId="7899"/>
    <cellStyle name="Porcentual 116 16" xfId="1393"/>
    <cellStyle name="Porcentual 116 16 2" xfId="5224"/>
    <cellStyle name="Porcentual 116 16 3" xfId="7900"/>
    <cellStyle name="Porcentual 116 17" xfId="1394"/>
    <cellStyle name="Porcentual 116 17 2" xfId="5225"/>
    <cellStyle name="Porcentual 116 17 3" xfId="7901"/>
    <cellStyle name="Porcentual 116 18" xfId="1395"/>
    <cellStyle name="Porcentual 116 18 2" xfId="5226"/>
    <cellStyle name="Porcentual 116 18 3" xfId="7902"/>
    <cellStyle name="Porcentual 116 19" xfId="1396"/>
    <cellStyle name="Porcentual 116 19 2" xfId="5227"/>
    <cellStyle name="Porcentual 116 19 3" xfId="7903"/>
    <cellStyle name="Porcentual 116 2" xfId="1397"/>
    <cellStyle name="Porcentual 116 2 2" xfId="5228"/>
    <cellStyle name="Porcentual 116 2 3" xfId="7904"/>
    <cellStyle name="Porcentual 116 20" xfId="1398"/>
    <cellStyle name="Porcentual 116 20 2" xfId="5229"/>
    <cellStyle name="Porcentual 116 20 3" xfId="7905"/>
    <cellStyle name="Porcentual 116 21" xfId="1399"/>
    <cellStyle name="Porcentual 116 21 2" xfId="5230"/>
    <cellStyle name="Porcentual 116 21 3" xfId="7906"/>
    <cellStyle name="Porcentual 116 22" xfId="1400"/>
    <cellStyle name="Porcentual 116 22 2" xfId="5231"/>
    <cellStyle name="Porcentual 116 22 3" xfId="7907"/>
    <cellStyle name="Porcentual 116 23" xfId="1401"/>
    <cellStyle name="Porcentual 116 23 2" xfId="5232"/>
    <cellStyle name="Porcentual 116 23 3" xfId="7908"/>
    <cellStyle name="Porcentual 116 24" xfId="1402"/>
    <cellStyle name="Porcentual 116 24 2" xfId="5233"/>
    <cellStyle name="Porcentual 116 24 3" xfId="7909"/>
    <cellStyle name="Porcentual 116 25" xfId="1403"/>
    <cellStyle name="Porcentual 116 25 2" xfId="5234"/>
    <cellStyle name="Porcentual 116 25 3" xfId="7910"/>
    <cellStyle name="Porcentual 116 26" xfId="1404"/>
    <cellStyle name="Porcentual 116 26 2" xfId="5235"/>
    <cellStyle name="Porcentual 116 26 3" xfId="7911"/>
    <cellStyle name="Porcentual 116 27" xfId="1405"/>
    <cellStyle name="Porcentual 116 27 2" xfId="5236"/>
    <cellStyle name="Porcentual 116 27 3" xfId="7912"/>
    <cellStyle name="Porcentual 116 28" xfId="1406"/>
    <cellStyle name="Porcentual 116 28 2" xfId="5237"/>
    <cellStyle name="Porcentual 116 28 3" xfId="7913"/>
    <cellStyle name="Porcentual 116 3" xfId="1407"/>
    <cellStyle name="Porcentual 116 3 2" xfId="5238"/>
    <cellStyle name="Porcentual 116 3 3" xfId="7914"/>
    <cellStyle name="Porcentual 116 4" xfId="1408"/>
    <cellStyle name="Porcentual 116 4 2" xfId="5239"/>
    <cellStyle name="Porcentual 116 4 3" xfId="7915"/>
    <cellStyle name="Porcentual 116 5" xfId="1409"/>
    <cellStyle name="Porcentual 116 5 2" xfId="5240"/>
    <cellStyle name="Porcentual 116 5 3" xfId="7916"/>
    <cellStyle name="Porcentual 116 6" xfId="1410"/>
    <cellStyle name="Porcentual 116 6 2" xfId="5241"/>
    <cellStyle name="Porcentual 116 6 3" xfId="7917"/>
    <cellStyle name="Porcentual 116 7" xfId="1411"/>
    <cellStyle name="Porcentual 116 7 2" xfId="5242"/>
    <cellStyle name="Porcentual 116 7 3" xfId="7918"/>
    <cellStyle name="Porcentual 116 8" xfId="1412"/>
    <cellStyle name="Porcentual 116 8 2" xfId="5243"/>
    <cellStyle name="Porcentual 116 8 3" xfId="7919"/>
    <cellStyle name="Porcentual 116 9" xfId="1413"/>
    <cellStyle name="Porcentual 116 9 2" xfId="5244"/>
    <cellStyle name="Porcentual 116 9 3" xfId="7920"/>
    <cellStyle name="Porcentual 12" xfId="1414"/>
    <cellStyle name="Porcentual 12 2" xfId="5245"/>
    <cellStyle name="Porcentual 12 2 2" xfId="9744"/>
    <cellStyle name="Porcentual 12 2 2 2" xfId="10549"/>
    <cellStyle name="Porcentual 12 2 3" xfId="10548"/>
    <cellStyle name="Porcentual 12 3" xfId="5246"/>
    <cellStyle name="Porcentual 12 3 2" xfId="9745"/>
    <cellStyle name="Porcentual 12 3 2 2" xfId="10551"/>
    <cellStyle name="Porcentual 12 3 3" xfId="10550"/>
    <cellStyle name="Porcentual 12 4" xfId="7921"/>
    <cellStyle name="Porcentual 13" xfId="1415"/>
    <cellStyle name="Porcentual 13 2" xfId="5247"/>
    <cellStyle name="Porcentual 13 2 2" xfId="9746"/>
    <cellStyle name="Porcentual 13 2 2 2" xfId="10553"/>
    <cellStyle name="Porcentual 13 2 3" xfId="10552"/>
    <cellStyle name="Porcentual 13 3" xfId="5248"/>
    <cellStyle name="Porcentual 13 3 2" xfId="9747"/>
    <cellStyle name="Porcentual 13 3 2 2" xfId="10555"/>
    <cellStyle name="Porcentual 13 3 3" xfId="10554"/>
    <cellStyle name="Porcentual 13 4" xfId="7922"/>
    <cellStyle name="Porcentual 132 10" xfId="1416"/>
    <cellStyle name="Porcentual 132 10 2" xfId="5249"/>
    <cellStyle name="Porcentual 132 10 3" xfId="7923"/>
    <cellStyle name="Porcentual 132 11" xfId="1417"/>
    <cellStyle name="Porcentual 132 11 2" xfId="5250"/>
    <cellStyle name="Porcentual 132 11 3" xfId="7924"/>
    <cellStyle name="Porcentual 132 12" xfId="1418"/>
    <cellStyle name="Porcentual 132 12 2" xfId="5251"/>
    <cellStyle name="Porcentual 132 12 3" xfId="7925"/>
    <cellStyle name="Porcentual 132 13" xfId="1419"/>
    <cellStyle name="Porcentual 132 13 2" xfId="5252"/>
    <cellStyle name="Porcentual 132 13 3" xfId="7926"/>
    <cellStyle name="Porcentual 132 14" xfId="1420"/>
    <cellStyle name="Porcentual 132 14 2" xfId="5253"/>
    <cellStyle name="Porcentual 132 14 3" xfId="7927"/>
    <cellStyle name="Porcentual 132 15" xfId="1421"/>
    <cellStyle name="Porcentual 132 15 2" xfId="5254"/>
    <cellStyle name="Porcentual 132 15 3" xfId="7928"/>
    <cellStyle name="Porcentual 132 16" xfId="1422"/>
    <cellStyle name="Porcentual 132 16 2" xfId="5255"/>
    <cellStyle name="Porcentual 132 16 3" xfId="7929"/>
    <cellStyle name="Porcentual 132 17" xfId="1423"/>
    <cellStyle name="Porcentual 132 17 2" xfId="5256"/>
    <cellStyle name="Porcentual 132 17 3" xfId="7930"/>
    <cellStyle name="Porcentual 132 18" xfId="1424"/>
    <cellStyle name="Porcentual 132 18 2" xfId="5257"/>
    <cellStyle name="Porcentual 132 18 3" xfId="7931"/>
    <cellStyle name="Porcentual 132 19" xfId="1425"/>
    <cellStyle name="Porcentual 132 19 2" xfId="5258"/>
    <cellStyle name="Porcentual 132 19 3" xfId="7932"/>
    <cellStyle name="Porcentual 132 2" xfId="1426"/>
    <cellStyle name="Porcentual 132 2 2" xfId="5259"/>
    <cellStyle name="Porcentual 132 2 3" xfId="7933"/>
    <cellStyle name="Porcentual 132 20" xfId="1427"/>
    <cellStyle name="Porcentual 132 20 2" xfId="5260"/>
    <cellStyle name="Porcentual 132 20 3" xfId="7934"/>
    <cellStyle name="Porcentual 132 21" xfId="1428"/>
    <cellStyle name="Porcentual 132 21 2" xfId="5261"/>
    <cellStyle name="Porcentual 132 21 3" xfId="7935"/>
    <cellStyle name="Porcentual 132 22" xfId="1429"/>
    <cellStyle name="Porcentual 132 22 2" xfId="5262"/>
    <cellStyle name="Porcentual 132 22 3" xfId="7936"/>
    <cellStyle name="Porcentual 132 23" xfId="1430"/>
    <cellStyle name="Porcentual 132 23 2" xfId="5263"/>
    <cellStyle name="Porcentual 132 23 3" xfId="7937"/>
    <cellStyle name="Porcentual 132 24" xfId="1431"/>
    <cellStyle name="Porcentual 132 24 2" xfId="5264"/>
    <cellStyle name="Porcentual 132 24 3" xfId="7938"/>
    <cellStyle name="Porcentual 132 25" xfId="1432"/>
    <cellStyle name="Porcentual 132 25 2" xfId="5265"/>
    <cellStyle name="Porcentual 132 25 3" xfId="7939"/>
    <cellStyle name="Porcentual 132 26" xfId="1433"/>
    <cellStyle name="Porcentual 132 26 2" xfId="5266"/>
    <cellStyle name="Porcentual 132 26 3" xfId="7940"/>
    <cellStyle name="Porcentual 132 27" xfId="1434"/>
    <cellStyle name="Porcentual 132 27 2" xfId="5267"/>
    <cellStyle name="Porcentual 132 27 3" xfId="7941"/>
    <cellStyle name="Porcentual 132 28" xfId="1435"/>
    <cellStyle name="Porcentual 132 28 2" xfId="5268"/>
    <cellStyle name="Porcentual 132 28 3" xfId="7942"/>
    <cellStyle name="Porcentual 132 3" xfId="1436"/>
    <cellStyle name="Porcentual 132 3 2" xfId="5269"/>
    <cellStyle name="Porcentual 132 3 3" xfId="7943"/>
    <cellStyle name="Porcentual 132 4" xfId="1437"/>
    <cellStyle name="Porcentual 132 4 2" xfId="5270"/>
    <cellStyle name="Porcentual 132 4 3" xfId="7944"/>
    <cellStyle name="Porcentual 132 5" xfId="1438"/>
    <cellStyle name="Porcentual 132 5 2" xfId="5271"/>
    <cellStyle name="Porcentual 132 5 3" xfId="7945"/>
    <cellStyle name="Porcentual 132 6" xfId="1439"/>
    <cellStyle name="Porcentual 132 6 2" xfId="5272"/>
    <cellStyle name="Porcentual 132 6 3" xfId="7946"/>
    <cellStyle name="Porcentual 132 7" xfId="1440"/>
    <cellStyle name="Porcentual 132 7 2" xfId="5273"/>
    <cellStyle name="Porcentual 132 7 3" xfId="7947"/>
    <cellStyle name="Porcentual 132 8" xfId="1441"/>
    <cellStyle name="Porcentual 132 8 2" xfId="5274"/>
    <cellStyle name="Porcentual 132 8 3" xfId="7948"/>
    <cellStyle name="Porcentual 132 9" xfId="1442"/>
    <cellStyle name="Porcentual 132 9 2" xfId="5275"/>
    <cellStyle name="Porcentual 132 9 3" xfId="7949"/>
    <cellStyle name="Porcentual 133 10" xfId="1443"/>
    <cellStyle name="Porcentual 133 10 2" xfId="5276"/>
    <cellStyle name="Porcentual 133 10 3" xfId="7950"/>
    <cellStyle name="Porcentual 133 11" xfId="1444"/>
    <cellStyle name="Porcentual 133 11 2" xfId="5277"/>
    <cellStyle name="Porcentual 133 11 3" xfId="7951"/>
    <cellStyle name="Porcentual 133 12" xfId="1445"/>
    <cellStyle name="Porcentual 133 12 2" xfId="5278"/>
    <cellStyle name="Porcentual 133 12 3" xfId="7952"/>
    <cellStyle name="Porcentual 133 13" xfId="1446"/>
    <cellStyle name="Porcentual 133 13 2" xfId="5279"/>
    <cellStyle name="Porcentual 133 13 3" xfId="7953"/>
    <cellStyle name="Porcentual 133 14" xfId="1447"/>
    <cellStyle name="Porcentual 133 14 2" xfId="5280"/>
    <cellStyle name="Porcentual 133 14 3" xfId="7954"/>
    <cellStyle name="Porcentual 133 15" xfId="1448"/>
    <cellStyle name="Porcentual 133 15 2" xfId="5281"/>
    <cellStyle name="Porcentual 133 15 3" xfId="7955"/>
    <cellStyle name="Porcentual 133 16" xfId="1449"/>
    <cellStyle name="Porcentual 133 16 2" xfId="5282"/>
    <cellStyle name="Porcentual 133 16 3" xfId="7956"/>
    <cellStyle name="Porcentual 133 17" xfId="1450"/>
    <cellStyle name="Porcentual 133 17 2" xfId="5283"/>
    <cellStyle name="Porcentual 133 17 3" xfId="7957"/>
    <cellStyle name="Porcentual 133 18" xfId="1451"/>
    <cellStyle name="Porcentual 133 18 2" xfId="5284"/>
    <cellStyle name="Porcentual 133 18 3" xfId="7958"/>
    <cellStyle name="Porcentual 133 19" xfId="1452"/>
    <cellStyle name="Porcentual 133 19 2" xfId="5285"/>
    <cellStyle name="Porcentual 133 19 3" xfId="7959"/>
    <cellStyle name="Porcentual 133 2" xfId="1453"/>
    <cellStyle name="Porcentual 133 2 2" xfId="5286"/>
    <cellStyle name="Porcentual 133 2 3" xfId="7960"/>
    <cellStyle name="Porcentual 133 20" xfId="1454"/>
    <cellStyle name="Porcentual 133 20 2" xfId="5287"/>
    <cellStyle name="Porcentual 133 20 3" xfId="7961"/>
    <cellStyle name="Porcentual 133 21" xfId="1455"/>
    <cellStyle name="Porcentual 133 21 2" xfId="5288"/>
    <cellStyle name="Porcentual 133 21 3" xfId="7962"/>
    <cellStyle name="Porcentual 133 22" xfId="1456"/>
    <cellStyle name="Porcentual 133 22 2" xfId="5289"/>
    <cellStyle name="Porcentual 133 22 3" xfId="7963"/>
    <cellStyle name="Porcentual 133 23" xfId="1457"/>
    <cellStyle name="Porcentual 133 23 2" xfId="5290"/>
    <cellStyle name="Porcentual 133 23 3" xfId="7964"/>
    <cellStyle name="Porcentual 133 24" xfId="1458"/>
    <cellStyle name="Porcentual 133 24 2" xfId="5291"/>
    <cellStyle name="Porcentual 133 24 3" xfId="7965"/>
    <cellStyle name="Porcentual 133 25" xfId="1459"/>
    <cellStyle name="Porcentual 133 25 2" xfId="5292"/>
    <cellStyle name="Porcentual 133 25 3" xfId="7966"/>
    <cellStyle name="Porcentual 133 26" xfId="1460"/>
    <cellStyle name="Porcentual 133 26 2" xfId="5293"/>
    <cellStyle name="Porcentual 133 26 3" xfId="7967"/>
    <cellStyle name="Porcentual 133 27" xfId="1461"/>
    <cellStyle name="Porcentual 133 27 2" xfId="5294"/>
    <cellStyle name="Porcentual 133 27 3" xfId="7968"/>
    <cellStyle name="Porcentual 133 28" xfId="1462"/>
    <cellStyle name="Porcentual 133 28 2" xfId="5295"/>
    <cellStyle name="Porcentual 133 28 3" xfId="7969"/>
    <cellStyle name="Porcentual 133 3" xfId="1463"/>
    <cellStyle name="Porcentual 133 3 2" xfId="5296"/>
    <cellStyle name="Porcentual 133 3 3" xfId="7970"/>
    <cellStyle name="Porcentual 133 4" xfId="1464"/>
    <cellStyle name="Porcentual 133 4 2" xfId="5297"/>
    <cellStyle name="Porcentual 133 4 3" xfId="7971"/>
    <cellStyle name="Porcentual 133 5" xfId="1465"/>
    <cellStyle name="Porcentual 133 5 2" xfId="5298"/>
    <cellStyle name="Porcentual 133 5 3" xfId="7972"/>
    <cellStyle name="Porcentual 133 6" xfId="1466"/>
    <cellStyle name="Porcentual 133 6 2" xfId="5299"/>
    <cellStyle name="Porcentual 133 6 3" xfId="7973"/>
    <cellStyle name="Porcentual 133 7" xfId="1467"/>
    <cellStyle name="Porcentual 133 7 2" xfId="5300"/>
    <cellStyle name="Porcentual 133 7 3" xfId="7974"/>
    <cellStyle name="Porcentual 133 8" xfId="1468"/>
    <cellStyle name="Porcentual 133 8 2" xfId="5301"/>
    <cellStyle name="Porcentual 133 8 3" xfId="7975"/>
    <cellStyle name="Porcentual 133 9" xfId="1469"/>
    <cellStyle name="Porcentual 133 9 2" xfId="5302"/>
    <cellStyle name="Porcentual 133 9 3" xfId="7976"/>
    <cellStyle name="Porcentual 134 10" xfId="1470"/>
    <cellStyle name="Porcentual 134 10 2" xfId="5303"/>
    <cellStyle name="Porcentual 134 10 3" xfId="7977"/>
    <cellStyle name="Porcentual 134 11" xfId="1471"/>
    <cellStyle name="Porcentual 134 11 2" xfId="5304"/>
    <cellStyle name="Porcentual 134 11 3" xfId="7978"/>
    <cellStyle name="Porcentual 134 12" xfId="1472"/>
    <cellStyle name="Porcentual 134 12 2" xfId="5305"/>
    <cellStyle name="Porcentual 134 12 3" xfId="7979"/>
    <cellStyle name="Porcentual 134 13" xfId="1473"/>
    <cellStyle name="Porcentual 134 13 2" xfId="5306"/>
    <cellStyle name="Porcentual 134 13 3" xfId="7980"/>
    <cellStyle name="Porcentual 134 14" xfId="1474"/>
    <cellStyle name="Porcentual 134 14 2" xfId="5307"/>
    <cellStyle name="Porcentual 134 14 3" xfId="7981"/>
    <cellStyle name="Porcentual 134 15" xfId="1475"/>
    <cellStyle name="Porcentual 134 15 2" xfId="5308"/>
    <cellStyle name="Porcentual 134 15 3" xfId="7982"/>
    <cellStyle name="Porcentual 134 16" xfId="1476"/>
    <cellStyle name="Porcentual 134 16 2" xfId="5309"/>
    <cellStyle name="Porcentual 134 16 3" xfId="7983"/>
    <cellStyle name="Porcentual 134 17" xfId="1477"/>
    <cellStyle name="Porcentual 134 17 2" xfId="5310"/>
    <cellStyle name="Porcentual 134 17 3" xfId="7984"/>
    <cellStyle name="Porcentual 134 18" xfId="1478"/>
    <cellStyle name="Porcentual 134 18 2" xfId="5311"/>
    <cellStyle name="Porcentual 134 18 3" xfId="7985"/>
    <cellStyle name="Porcentual 134 19" xfId="1479"/>
    <cellStyle name="Porcentual 134 19 2" xfId="5312"/>
    <cellStyle name="Porcentual 134 19 3" xfId="7986"/>
    <cellStyle name="Porcentual 134 2" xfId="1480"/>
    <cellStyle name="Porcentual 134 2 2" xfId="5313"/>
    <cellStyle name="Porcentual 134 2 3" xfId="7987"/>
    <cellStyle name="Porcentual 134 20" xfId="1481"/>
    <cellStyle name="Porcentual 134 20 2" xfId="5314"/>
    <cellStyle name="Porcentual 134 20 3" xfId="7988"/>
    <cellStyle name="Porcentual 134 21" xfId="1482"/>
    <cellStyle name="Porcentual 134 21 2" xfId="5315"/>
    <cellStyle name="Porcentual 134 21 3" xfId="7989"/>
    <cellStyle name="Porcentual 134 22" xfId="1483"/>
    <cellStyle name="Porcentual 134 22 2" xfId="5316"/>
    <cellStyle name="Porcentual 134 22 3" xfId="7990"/>
    <cellStyle name="Porcentual 134 23" xfId="1484"/>
    <cellStyle name="Porcentual 134 23 2" xfId="5317"/>
    <cellStyle name="Porcentual 134 23 3" xfId="7991"/>
    <cellStyle name="Porcentual 134 24" xfId="1485"/>
    <cellStyle name="Porcentual 134 24 2" xfId="5318"/>
    <cellStyle name="Porcentual 134 24 3" xfId="7992"/>
    <cellStyle name="Porcentual 134 25" xfId="1486"/>
    <cellStyle name="Porcentual 134 25 2" xfId="5319"/>
    <cellStyle name="Porcentual 134 25 3" xfId="7993"/>
    <cellStyle name="Porcentual 134 26" xfId="1487"/>
    <cellStyle name="Porcentual 134 26 2" xfId="5320"/>
    <cellStyle name="Porcentual 134 26 3" xfId="7994"/>
    <cellStyle name="Porcentual 134 27" xfId="1488"/>
    <cellStyle name="Porcentual 134 27 2" xfId="5321"/>
    <cellStyle name="Porcentual 134 27 3" xfId="7995"/>
    <cellStyle name="Porcentual 134 28" xfId="1489"/>
    <cellStyle name="Porcentual 134 28 2" xfId="5322"/>
    <cellStyle name="Porcentual 134 28 3" xfId="7996"/>
    <cellStyle name="Porcentual 134 3" xfId="1490"/>
    <cellStyle name="Porcentual 134 3 2" xfId="5323"/>
    <cellStyle name="Porcentual 134 3 3" xfId="7997"/>
    <cellStyle name="Porcentual 134 4" xfId="1491"/>
    <cellStyle name="Porcentual 134 4 2" xfId="5324"/>
    <cellStyle name="Porcentual 134 4 3" xfId="7998"/>
    <cellStyle name="Porcentual 134 5" xfId="1492"/>
    <cellStyle name="Porcentual 134 5 2" xfId="5325"/>
    <cellStyle name="Porcentual 134 5 3" xfId="7999"/>
    <cellStyle name="Porcentual 134 6" xfId="1493"/>
    <cellStyle name="Porcentual 134 6 2" xfId="5326"/>
    <cellStyle name="Porcentual 134 6 3" xfId="8000"/>
    <cellStyle name="Porcentual 134 7" xfId="1494"/>
    <cellStyle name="Porcentual 134 7 2" xfId="5327"/>
    <cellStyle name="Porcentual 134 7 3" xfId="8001"/>
    <cellStyle name="Porcentual 134 8" xfId="1495"/>
    <cellStyle name="Porcentual 134 8 2" xfId="5328"/>
    <cellStyle name="Porcentual 134 8 3" xfId="8002"/>
    <cellStyle name="Porcentual 134 9" xfId="1496"/>
    <cellStyle name="Porcentual 134 9 2" xfId="5329"/>
    <cellStyle name="Porcentual 134 9 3" xfId="8003"/>
    <cellStyle name="Porcentual 135 10" xfId="1497"/>
    <cellStyle name="Porcentual 135 10 2" xfId="5330"/>
    <cellStyle name="Porcentual 135 10 3" xfId="8004"/>
    <cellStyle name="Porcentual 135 11" xfId="1498"/>
    <cellStyle name="Porcentual 135 11 2" xfId="5331"/>
    <cellStyle name="Porcentual 135 11 3" xfId="8005"/>
    <cellStyle name="Porcentual 135 12" xfId="1499"/>
    <cellStyle name="Porcentual 135 12 2" xfId="5332"/>
    <cellStyle name="Porcentual 135 12 3" xfId="8006"/>
    <cellStyle name="Porcentual 135 13" xfId="1500"/>
    <cellStyle name="Porcentual 135 13 2" xfId="5333"/>
    <cellStyle name="Porcentual 135 13 3" xfId="8007"/>
    <cellStyle name="Porcentual 135 14" xfId="1501"/>
    <cellStyle name="Porcentual 135 14 2" xfId="5334"/>
    <cellStyle name="Porcentual 135 14 3" xfId="8008"/>
    <cellStyle name="Porcentual 135 15" xfId="1502"/>
    <cellStyle name="Porcentual 135 15 2" xfId="5335"/>
    <cellStyle name="Porcentual 135 15 3" xfId="8009"/>
    <cellStyle name="Porcentual 135 16" xfId="1503"/>
    <cellStyle name="Porcentual 135 16 2" xfId="5336"/>
    <cellStyle name="Porcentual 135 16 3" xfId="8010"/>
    <cellStyle name="Porcentual 135 17" xfId="1504"/>
    <cellStyle name="Porcentual 135 17 2" xfId="5337"/>
    <cellStyle name="Porcentual 135 17 3" xfId="8011"/>
    <cellStyle name="Porcentual 135 18" xfId="1505"/>
    <cellStyle name="Porcentual 135 18 2" xfId="5338"/>
    <cellStyle name="Porcentual 135 18 3" xfId="8012"/>
    <cellStyle name="Porcentual 135 19" xfId="1506"/>
    <cellStyle name="Porcentual 135 19 2" xfId="5339"/>
    <cellStyle name="Porcentual 135 19 3" xfId="8013"/>
    <cellStyle name="Porcentual 135 2" xfId="1507"/>
    <cellStyle name="Porcentual 135 2 2" xfId="5340"/>
    <cellStyle name="Porcentual 135 2 3" xfId="8014"/>
    <cellStyle name="Porcentual 135 20" xfId="1508"/>
    <cellStyle name="Porcentual 135 20 2" xfId="5341"/>
    <cellStyle name="Porcentual 135 20 3" xfId="8015"/>
    <cellStyle name="Porcentual 135 21" xfId="1509"/>
    <cellStyle name="Porcentual 135 21 2" xfId="5342"/>
    <cellStyle name="Porcentual 135 21 3" xfId="8016"/>
    <cellStyle name="Porcentual 135 22" xfId="1510"/>
    <cellStyle name="Porcentual 135 22 2" xfId="5343"/>
    <cellStyle name="Porcentual 135 22 3" xfId="8017"/>
    <cellStyle name="Porcentual 135 23" xfId="1511"/>
    <cellStyle name="Porcentual 135 23 2" xfId="5344"/>
    <cellStyle name="Porcentual 135 23 3" xfId="8018"/>
    <cellStyle name="Porcentual 135 24" xfId="1512"/>
    <cellStyle name="Porcentual 135 24 2" xfId="5345"/>
    <cellStyle name="Porcentual 135 24 3" xfId="8019"/>
    <cellStyle name="Porcentual 135 25" xfId="1513"/>
    <cellStyle name="Porcentual 135 25 2" xfId="5346"/>
    <cellStyle name="Porcentual 135 25 3" xfId="8020"/>
    <cellStyle name="Porcentual 135 26" xfId="1514"/>
    <cellStyle name="Porcentual 135 26 2" xfId="5347"/>
    <cellStyle name="Porcentual 135 26 3" xfId="8021"/>
    <cellStyle name="Porcentual 135 27" xfId="1515"/>
    <cellStyle name="Porcentual 135 27 2" xfId="5348"/>
    <cellStyle name="Porcentual 135 27 3" xfId="8022"/>
    <cellStyle name="Porcentual 135 28" xfId="1516"/>
    <cellStyle name="Porcentual 135 28 2" xfId="5349"/>
    <cellStyle name="Porcentual 135 28 3" xfId="8023"/>
    <cellStyle name="Porcentual 135 3" xfId="1517"/>
    <cellStyle name="Porcentual 135 3 2" xfId="5350"/>
    <cellStyle name="Porcentual 135 3 3" xfId="8024"/>
    <cellStyle name="Porcentual 135 4" xfId="1518"/>
    <cellStyle name="Porcentual 135 4 2" xfId="5351"/>
    <cellStyle name="Porcentual 135 4 3" xfId="8025"/>
    <cellStyle name="Porcentual 135 5" xfId="1519"/>
    <cellStyle name="Porcentual 135 5 2" xfId="5352"/>
    <cellStyle name="Porcentual 135 5 3" xfId="8026"/>
    <cellStyle name="Porcentual 135 6" xfId="1520"/>
    <cellStyle name="Porcentual 135 6 2" xfId="5353"/>
    <cellStyle name="Porcentual 135 6 3" xfId="8027"/>
    <cellStyle name="Porcentual 135 7" xfId="1521"/>
    <cellStyle name="Porcentual 135 7 2" xfId="5354"/>
    <cellStyle name="Porcentual 135 7 3" xfId="8028"/>
    <cellStyle name="Porcentual 135 8" xfId="1522"/>
    <cellStyle name="Porcentual 135 8 2" xfId="5355"/>
    <cellStyle name="Porcentual 135 8 3" xfId="8029"/>
    <cellStyle name="Porcentual 135 9" xfId="1523"/>
    <cellStyle name="Porcentual 135 9 2" xfId="5356"/>
    <cellStyle name="Porcentual 135 9 3" xfId="8030"/>
    <cellStyle name="Porcentual 136 10" xfId="1524"/>
    <cellStyle name="Porcentual 136 10 2" xfId="5357"/>
    <cellStyle name="Porcentual 136 10 3" xfId="8031"/>
    <cellStyle name="Porcentual 136 11" xfId="1525"/>
    <cellStyle name="Porcentual 136 11 2" xfId="5358"/>
    <cellStyle name="Porcentual 136 11 3" xfId="8032"/>
    <cellStyle name="Porcentual 136 12" xfId="1526"/>
    <cellStyle name="Porcentual 136 12 2" xfId="5359"/>
    <cellStyle name="Porcentual 136 12 3" xfId="8033"/>
    <cellStyle name="Porcentual 136 13" xfId="1527"/>
    <cellStyle name="Porcentual 136 13 2" xfId="5360"/>
    <cellStyle name="Porcentual 136 13 3" xfId="8034"/>
    <cellStyle name="Porcentual 136 14" xfId="1528"/>
    <cellStyle name="Porcentual 136 14 2" xfId="5361"/>
    <cellStyle name="Porcentual 136 14 3" xfId="8035"/>
    <cellStyle name="Porcentual 136 15" xfId="1529"/>
    <cellStyle name="Porcentual 136 15 2" xfId="5362"/>
    <cellStyle name="Porcentual 136 15 3" xfId="8036"/>
    <cellStyle name="Porcentual 136 16" xfId="1530"/>
    <cellStyle name="Porcentual 136 16 2" xfId="5363"/>
    <cellStyle name="Porcentual 136 16 3" xfId="8037"/>
    <cellStyle name="Porcentual 136 17" xfId="1531"/>
    <cellStyle name="Porcentual 136 17 2" xfId="5364"/>
    <cellStyle name="Porcentual 136 17 3" xfId="8038"/>
    <cellStyle name="Porcentual 136 18" xfId="1532"/>
    <cellStyle name="Porcentual 136 18 2" xfId="5365"/>
    <cellStyle name="Porcentual 136 18 3" xfId="8039"/>
    <cellStyle name="Porcentual 136 19" xfId="1533"/>
    <cellStyle name="Porcentual 136 19 2" xfId="5366"/>
    <cellStyle name="Porcentual 136 19 3" xfId="8040"/>
    <cellStyle name="Porcentual 136 2" xfId="1534"/>
    <cellStyle name="Porcentual 136 2 2" xfId="5367"/>
    <cellStyle name="Porcentual 136 2 3" xfId="8041"/>
    <cellStyle name="Porcentual 136 20" xfId="1535"/>
    <cellStyle name="Porcentual 136 20 2" xfId="5368"/>
    <cellStyle name="Porcentual 136 20 3" xfId="8042"/>
    <cellStyle name="Porcentual 136 21" xfId="1536"/>
    <cellStyle name="Porcentual 136 21 2" xfId="5369"/>
    <cellStyle name="Porcentual 136 21 3" xfId="8043"/>
    <cellStyle name="Porcentual 136 22" xfId="1537"/>
    <cellStyle name="Porcentual 136 22 2" xfId="5370"/>
    <cellStyle name="Porcentual 136 22 3" xfId="8044"/>
    <cellStyle name="Porcentual 136 23" xfId="1538"/>
    <cellStyle name="Porcentual 136 23 2" xfId="5371"/>
    <cellStyle name="Porcentual 136 23 3" xfId="8045"/>
    <cellStyle name="Porcentual 136 24" xfId="1539"/>
    <cellStyle name="Porcentual 136 24 2" xfId="5372"/>
    <cellStyle name="Porcentual 136 24 3" xfId="8046"/>
    <cellStyle name="Porcentual 136 25" xfId="1540"/>
    <cellStyle name="Porcentual 136 25 2" xfId="5373"/>
    <cellStyle name="Porcentual 136 25 3" xfId="8047"/>
    <cellStyle name="Porcentual 136 26" xfId="1541"/>
    <cellStyle name="Porcentual 136 26 2" xfId="5374"/>
    <cellStyle name="Porcentual 136 26 3" xfId="8048"/>
    <cellStyle name="Porcentual 136 27" xfId="1542"/>
    <cellStyle name="Porcentual 136 27 2" xfId="5375"/>
    <cellStyle name="Porcentual 136 27 3" xfId="8049"/>
    <cellStyle name="Porcentual 136 28" xfId="1543"/>
    <cellStyle name="Porcentual 136 28 2" xfId="5376"/>
    <cellStyle name="Porcentual 136 28 3" xfId="8050"/>
    <cellStyle name="Porcentual 136 3" xfId="1544"/>
    <cellStyle name="Porcentual 136 3 2" xfId="5377"/>
    <cellStyle name="Porcentual 136 3 3" xfId="8051"/>
    <cellStyle name="Porcentual 136 4" xfId="1545"/>
    <cellStyle name="Porcentual 136 4 2" xfId="5378"/>
    <cellStyle name="Porcentual 136 4 3" xfId="8052"/>
    <cellStyle name="Porcentual 136 5" xfId="1546"/>
    <cellStyle name="Porcentual 136 5 2" xfId="5379"/>
    <cellStyle name="Porcentual 136 5 3" xfId="8053"/>
    <cellStyle name="Porcentual 136 6" xfId="1547"/>
    <cellStyle name="Porcentual 136 6 2" xfId="5380"/>
    <cellStyle name="Porcentual 136 6 3" xfId="8054"/>
    <cellStyle name="Porcentual 136 7" xfId="1548"/>
    <cellStyle name="Porcentual 136 7 2" xfId="5381"/>
    <cellStyle name="Porcentual 136 7 3" xfId="8055"/>
    <cellStyle name="Porcentual 136 8" xfId="1549"/>
    <cellStyle name="Porcentual 136 8 2" xfId="5382"/>
    <cellStyle name="Porcentual 136 8 3" xfId="8056"/>
    <cellStyle name="Porcentual 136 9" xfId="1550"/>
    <cellStyle name="Porcentual 136 9 2" xfId="5383"/>
    <cellStyle name="Porcentual 136 9 3" xfId="8057"/>
    <cellStyle name="Porcentual 137 10" xfId="1551"/>
    <cellStyle name="Porcentual 137 10 2" xfId="5384"/>
    <cellStyle name="Porcentual 137 10 3" xfId="8058"/>
    <cellStyle name="Porcentual 137 11" xfId="1552"/>
    <cellStyle name="Porcentual 137 11 2" xfId="5385"/>
    <cellStyle name="Porcentual 137 11 3" xfId="8059"/>
    <cellStyle name="Porcentual 137 12" xfId="1553"/>
    <cellStyle name="Porcentual 137 12 2" xfId="5386"/>
    <cellStyle name="Porcentual 137 12 3" xfId="8060"/>
    <cellStyle name="Porcentual 137 13" xfId="1554"/>
    <cellStyle name="Porcentual 137 13 2" xfId="5387"/>
    <cellStyle name="Porcentual 137 13 3" xfId="8061"/>
    <cellStyle name="Porcentual 137 14" xfId="1555"/>
    <cellStyle name="Porcentual 137 14 2" xfId="5388"/>
    <cellStyle name="Porcentual 137 14 3" xfId="8062"/>
    <cellStyle name="Porcentual 137 15" xfId="1556"/>
    <cellStyle name="Porcentual 137 15 2" xfId="5389"/>
    <cellStyle name="Porcentual 137 15 3" xfId="8063"/>
    <cellStyle name="Porcentual 137 16" xfId="1557"/>
    <cellStyle name="Porcentual 137 16 2" xfId="5390"/>
    <cellStyle name="Porcentual 137 16 3" xfId="8064"/>
    <cellStyle name="Porcentual 137 17" xfId="1558"/>
    <cellStyle name="Porcentual 137 17 2" xfId="5391"/>
    <cellStyle name="Porcentual 137 17 3" xfId="8065"/>
    <cellStyle name="Porcentual 137 18" xfId="1559"/>
    <cellStyle name="Porcentual 137 18 2" xfId="5392"/>
    <cellStyle name="Porcentual 137 18 3" xfId="8066"/>
    <cellStyle name="Porcentual 137 19" xfId="1560"/>
    <cellStyle name="Porcentual 137 19 2" xfId="5393"/>
    <cellStyle name="Porcentual 137 19 3" xfId="8067"/>
    <cellStyle name="Porcentual 137 2" xfId="1561"/>
    <cellStyle name="Porcentual 137 2 2" xfId="5394"/>
    <cellStyle name="Porcentual 137 2 3" xfId="8068"/>
    <cellStyle name="Porcentual 137 20" xfId="1562"/>
    <cellStyle name="Porcentual 137 20 2" xfId="5395"/>
    <cellStyle name="Porcentual 137 20 3" xfId="8069"/>
    <cellStyle name="Porcentual 137 21" xfId="1563"/>
    <cellStyle name="Porcentual 137 21 2" xfId="5396"/>
    <cellStyle name="Porcentual 137 21 3" xfId="8070"/>
    <cellStyle name="Porcentual 137 22" xfId="1564"/>
    <cellStyle name="Porcentual 137 22 2" xfId="5397"/>
    <cellStyle name="Porcentual 137 22 3" xfId="8071"/>
    <cellStyle name="Porcentual 137 23" xfId="1565"/>
    <cellStyle name="Porcentual 137 23 2" xfId="5398"/>
    <cellStyle name="Porcentual 137 23 3" xfId="8072"/>
    <cellStyle name="Porcentual 137 24" xfId="1566"/>
    <cellStyle name="Porcentual 137 24 2" xfId="5399"/>
    <cellStyle name="Porcentual 137 24 3" xfId="8073"/>
    <cellStyle name="Porcentual 137 25" xfId="1567"/>
    <cellStyle name="Porcentual 137 25 2" xfId="5400"/>
    <cellStyle name="Porcentual 137 25 3" xfId="8074"/>
    <cellStyle name="Porcentual 137 26" xfId="1568"/>
    <cellStyle name="Porcentual 137 26 2" xfId="5401"/>
    <cellStyle name="Porcentual 137 26 3" xfId="8075"/>
    <cellStyle name="Porcentual 137 27" xfId="1569"/>
    <cellStyle name="Porcentual 137 27 2" xfId="5402"/>
    <cellStyle name="Porcentual 137 27 3" xfId="8076"/>
    <cellStyle name="Porcentual 137 28" xfId="1570"/>
    <cellStyle name="Porcentual 137 28 2" xfId="5403"/>
    <cellStyle name="Porcentual 137 28 3" xfId="8077"/>
    <cellStyle name="Porcentual 137 3" xfId="1571"/>
    <cellStyle name="Porcentual 137 3 2" xfId="5404"/>
    <cellStyle name="Porcentual 137 3 3" xfId="8078"/>
    <cellStyle name="Porcentual 137 4" xfId="1572"/>
    <cellStyle name="Porcentual 137 4 2" xfId="5405"/>
    <cellStyle name="Porcentual 137 4 3" xfId="8079"/>
    <cellStyle name="Porcentual 137 5" xfId="1573"/>
    <cellStyle name="Porcentual 137 5 2" xfId="5406"/>
    <cellStyle name="Porcentual 137 5 3" xfId="8080"/>
    <cellStyle name="Porcentual 137 6" xfId="1574"/>
    <cellStyle name="Porcentual 137 6 2" xfId="5407"/>
    <cellStyle name="Porcentual 137 6 3" xfId="8081"/>
    <cellStyle name="Porcentual 137 7" xfId="1575"/>
    <cellStyle name="Porcentual 137 7 2" xfId="5408"/>
    <cellStyle name="Porcentual 137 7 3" xfId="8082"/>
    <cellStyle name="Porcentual 137 8" xfId="1576"/>
    <cellStyle name="Porcentual 137 8 2" xfId="5409"/>
    <cellStyle name="Porcentual 137 8 3" xfId="8083"/>
    <cellStyle name="Porcentual 137 9" xfId="1577"/>
    <cellStyle name="Porcentual 137 9 2" xfId="5410"/>
    <cellStyle name="Porcentual 137 9 3" xfId="8084"/>
    <cellStyle name="Porcentual 138 10" xfId="1578"/>
    <cellStyle name="Porcentual 138 10 2" xfId="5411"/>
    <cellStyle name="Porcentual 138 10 3" xfId="8085"/>
    <cellStyle name="Porcentual 138 11" xfId="1579"/>
    <cellStyle name="Porcentual 138 11 2" xfId="5412"/>
    <cellStyle name="Porcentual 138 11 3" xfId="8086"/>
    <cellStyle name="Porcentual 138 12" xfId="1580"/>
    <cellStyle name="Porcentual 138 12 2" xfId="5413"/>
    <cellStyle name="Porcentual 138 12 3" xfId="8087"/>
    <cellStyle name="Porcentual 138 13" xfId="1581"/>
    <cellStyle name="Porcentual 138 13 2" xfId="5414"/>
    <cellStyle name="Porcentual 138 13 3" xfId="8088"/>
    <cellStyle name="Porcentual 138 14" xfId="1582"/>
    <cellStyle name="Porcentual 138 14 2" xfId="5415"/>
    <cellStyle name="Porcentual 138 14 3" xfId="8089"/>
    <cellStyle name="Porcentual 138 15" xfId="1583"/>
    <cellStyle name="Porcentual 138 15 2" xfId="5416"/>
    <cellStyle name="Porcentual 138 15 3" xfId="8090"/>
    <cellStyle name="Porcentual 138 16" xfId="1584"/>
    <cellStyle name="Porcentual 138 16 2" xfId="5417"/>
    <cellStyle name="Porcentual 138 16 3" xfId="8091"/>
    <cellStyle name="Porcentual 138 17" xfId="1585"/>
    <cellStyle name="Porcentual 138 17 2" xfId="5418"/>
    <cellStyle name="Porcentual 138 17 3" xfId="8092"/>
    <cellStyle name="Porcentual 138 18" xfId="1586"/>
    <cellStyle name="Porcentual 138 18 2" xfId="5419"/>
    <cellStyle name="Porcentual 138 18 3" xfId="8093"/>
    <cellStyle name="Porcentual 138 19" xfId="1587"/>
    <cellStyle name="Porcentual 138 19 2" xfId="5420"/>
    <cellStyle name="Porcentual 138 19 3" xfId="8094"/>
    <cellStyle name="Porcentual 138 2" xfId="1588"/>
    <cellStyle name="Porcentual 138 2 2" xfId="5421"/>
    <cellStyle name="Porcentual 138 2 3" xfId="8095"/>
    <cellStyle name="Porcentual 138 20" xfId="1589"/>
    <cellStyle name="Porcentual 138 20 2" xfId="5422"/>
    <cellStyle name="Porcentual 138 20 3" xfId="8096"/>
    <cellStyle name="Porcentual 138 21" xfId="1590"/>
    <cellStyle name="Porcentual 138 21 2" xfId="5423"/>
    <cellStyle name="Porcentual 138 21 3" xfId="8097"/>
    <cellStyle name="Porcentual 138 22" xfId="1591"/>
    <cellStyle name="Porcentual 138 22 2" xfId="5424"/>
    <cellStyle name="Porcentual 138 22 3" xfId="8098"/>
    <cellStyle name="Porcentual 138 23" xfId="1592"/>
    <cellStyle name="Porcentual 138 23 2" xfId="5425"/>
    <cellStyle name="Porcentual 138 23 3" xfId="8099"/>
    <cellStyle name="Porcentual 138 24" xfId="1593"/>
    <cellStyle name="Porcentual 138 24 2" xfId="5426"/>
    <cellStyle name="Porcentual 138 24 3" xfId="8100"/>
    <cellStyle name="Porcentual 138 25" xfId="1594"/>
    <cellStyle name="Porcentual 138 25 2" xfId="5427"/>
    <cellStyle name="Porcentual 138 25 3" xfId="8101"/>
    <cellStyle name="Porcentual 138 26" xfId="1595"/>
    <cellStyle name="Porcentual 138 26 2" xfId="5428"/>
    <cellStyle name="Porcentual 138 26 3" xfId="8102"/>
    <cellStyle name="Porcentual 138 27" xfId="1596"/>
    <cellStyle name="Porcentual 138 27 2" xfId="5429"/>
    <cellStyle name="Porcentual 138 27 3" xfId="8103"/>
    <cellStyle name="Porcentual 138 28" xfId="1597"/>
    <cellStyle name="Porcentual 138 28 2" xfId="5430"/>
    <cellStyle name="Porcentual 138 28 3" xfId="8104"/>
    <cellStyle name="Porcentual 138 3" xfId="1598"/>
    <cellStyle name="Porcentual 138 3 2" xfId="5431"/>
    <cellStyle name="Porcentual 138 3 3" xfId="8105"/>
    <cellStyle name="Porcentual 138 4" xfId="1599"/>
    <cellStyle name="Porcentual 138 4 2" xfId="5432"/>
    <cellStyle name="Porcentual 138 4 3" xfId="8106"/>
    <cellStyle name="Porcentual 138 5" xfId="1600"/>
    <cellStyle name="Porcentual 138 5 2" xfId="5433"/>
    <cellStyle name="Porcentual 138 5 3" xfId="8107"/>
    <cellStyle name="Porcentual 138 6" xfId="1601"/>
    <cellStyle name="Porcentual 138 6 2" xfId="5434"/>
    <cellStyle name="Porcentual 138 6 3" xfId="8108"/>
    <cellStyle name="Porcentual 138 7" xfId="1602"/>
    <cellStyle name="Porcentual 138 7 2" xfId="5435"/>
    <cellStyle name="Porcentual 138 7 3" xfId="8109"/>
    <cellStyle name="Porcentual 138 8" xfId="1603"/>
    <cellStyle name="Porcentual 138 8 2" xfId="5436"/>
    <cellStyle name="Porcentual 138 8 3" xfId="8110"/>
    <cellStyle name="Porcentual 138 9" xfId="1604"/>
    <cellStyle name="Porcentual 138 9 2" xfId="5437"/>
    <cellStyle name="Porcentual 138 9 3" xfId="8111"/>
    <cellStyle name="Porcentual 139 10" xfId="1605"/>
    <cellStyle name="Porcentual 139 10 2" xfId="5438"/>
    <cellStyle name="Porcentual 139 10 3" xfId="8112"/>
    <cellStyle name="Porcentual 139 11" xfId="1606"/>
    <cellStyle name="Porcentual 139 11 2" xfId="5439"/>
    <cellStyle name="Porcentual 139 11 3" xfId="8113"/>
    <cellStyle name="Porcentual 139 12" xfId="1607"/>
    <cellStyle name="Porcentual 139 12 2" xfId="5440"/>
    <cellStyle name="Porcentual 139 12 3" xfId="8114"/>
    <cellStyle name="Porcentual 139 13" xfId="1608"/>
    <cellStyle name="Porcentual 139 13 2" xfId="5441"/>
    <cellStyle name="Porcentual 139 13 3" xfId="8115"/>
    <cellStyle name="Porcentual 139 14" xfId="1609"/>
    <cellStyle name="Porcentual 139 14 2" xfId="5442"/>
    <cellStyle name="Porcentual 139 14 3" xfId="8116"/>
    <cellStyle name="Porcentual 139 15" xfId="1610"/>
    <cellStyle name="Porcentual 139 15 2" xfId="5443"/>
    <cellStyle name="Porcentual 139 15 3" xfId="8117"/>
    <cellStyle name="Porcentual 139 16" xfId="1611"/>
    <cellStyle name="Porcentual 139 16 2" xfId="5444"/>
    <cellStyle name="Porcentual 139 16 3" xfId="8118"/>
    <cellStyle name="Porcentual 139 17" xfId="1612"/>
    <cellStyle name="Porcentual 139 17 2" xfId="5445"/>
    <cellStyle name="Porcentual 139 17 3" xfId="8119"/>
    <cellStyle name="Porcentual 139 18" xfId="1613"/>
    <cellStyle name="Porcentual 139 18 2" xfId="5446"/>
    <cellStyle name="Porcentual 139 18 3" xfId="8120"/>
    <cellStyle name="Porcentual 139 19" xfId="1614"/>
    <cellStyle name="Porcentual 139 19 2" xfId="5447"/>
    <cellStyle name="Porcentual 139 19 3" xfId="8121"/>
    <cellStyle name="Porcentual 139 2" xfId="1615"/>
    <cellStyle name="Porcentual 139 2 2" xfId="5448"/>
    <cellStyle name="Porcentual 139 2 3" xfId="8122"/>
    <cellStyle name="Porcentual 139 20" xfId="1616"/>
    <cellStyle name="Porcentual 139 20 2" xfId="5449"/>
    <cellStyle name="Porcentual 139 20 3" xfId="8123"/>
    <cellStyle name="Porcentual 139 21" xfId="1617"/>
    <cellStyle name="Porcentual 139 21 2" xfId="5450"/>
    <cellStyle name="Porcentual 139 21 3" xfId="8124"/>
    <cellStyle name="Porcentual 139 22" xfId="1618"/>
    <cellStyle name="Porcentual 139 22 2" xfId="5451"/>
    <cellStyle name="Porcentual 139 22 3" xfId="8125"/>
    <cellStyle name="Porcentual 139 23" xfId="1619"/>
    <cellStyle name="Porcentual 139 23 2" xfId="5452"/>
    <cellStyle name="Porcentual 139 23 3" xfId="8126"/>
    <cellStyle name="Porcentual 139 24" xfId="1620"/>
    <cellStyle name="Porcentual 139 24 2" xfId="5453"/>
    <cellStyle name="Porcentual 139 24 3" xfId="8127"/>
    <cellStyle name="Porcentual 139 25" xfId="1621"/>
    <cellStyle name="Porcentual 139 25 2" xfId="5454"/>
    <cellStyle name="Porcentual 139 25 3" xfId="8128"/>
    <cellStyle name="Porcentual 139 26" xfId="1622"/>
    <cellStyle name="Porcentual 139 26 2" xfId="5455"/>
    <cellStyle name="Porcentual 139 26 3" xfId="8129"/>
    <cellStyle name="Porcentual 139 27" xfId="1623"/>
    <cellStyle name="Porcentual 139 27 2" xfId="5456"/>
    <cellStyle name="Porcentual 139 27 3" xfId="8130"/>
    <cellStyle name="Porcentual 139 28" xfId="1624"/>
    <cellStyle name="Porcentual 139 28 2" xfId="5457"/>
    <cellStyle name="Porcentual 139 28 3" xfId="8131"/>
    <cellStyle name="Porcentual 139 3" xfId="1625"/>
    <cellStyle name="Porcentual 139 3 2" xfId="5458"/>
    <cellStyle name="Porcentual 139 3 3" xfId="8132"/>
    <cellStyle name="Porcentual 139 4" xfId="1626"/>
    <cellStyle name="Porcentual 139 4 2" xfId="5459"/>
    <cellStyle name="Porcentual 139 4 3" xfId="8133"/>
    <cellStyle name="Porcentual 139 5" xfId="1627"/>
    <cellStyle name="Porcentual 139 5 2" xfId="5460"/>
    <cellStyle name="Porcentual 139 5 3" xfId="8134"/>
    <cellStyle name="Porcentual 139 6" xfId="1628"/>
    <cellStyle name="Porcentual 139 6 2" xfId="5461"/>
    <cellStyle name="Porcentual 139 6 3" xfId="8135"/>
    <cellStyle name="Porcentual 139 7" xfId="1629"/>
    <cellStyle name="Porcentual 139 7 2" xfId="5462"/>
    <cellStyle name="Porcentual 139 7 3" xfId="8136"/>
    <cellStyle name="Porcentual 139 8" xfId="1630"/>
    <cellStyle name="Porcentual 139 8 2" xfId="5463"/>
    <cellStyle name="Porcentual 139 8 3" xfId="8137"/>
    <cellStyle name="Porcentual 139 9" xfId="1631"/>
    <cellStyle name="Porcentual 139 9 2" xfId="5464"/>
    <cellStyle name="Porcentual 139 9 3" xfId="8138"/>
    <cellStyle name="Porcentual 140 10" xfId="1632"/>
    <cellStyle name="Porcentual 140 10 2" xfId="5465"/>
    <cellStyle name="Porcentual 140 10 3" xfId="8139"/>
    <cellStyle name="Porcentual 140 11" xfId="1633"/>
    <cellStyle name="Porcentual 140 11 2" xfId="5466"/>
    <cellStyle name="Porcentual 140 11 3" xfId="8140"/>
    <cellStyle name="Porcentual 140 12" xfId="1634"/>
    <cellStyle name="Porcentual 140 12 2" xfId="5467"/>
    <cellStyle name="Porcentual 140 12 3" xfId="8141"/>
    <cellStyle name="Porcentual 140 13" xfId="1635"/>
    <cellStyle name="Porcentual 140 13 2" xfId="5468"/>
    <cellStyle name="Porcentual 140 13 3" xfId="8142"/>
    <cellStyle name="Porcentual 140 14" xfId="1636"/>
    <cellStyle name="Porcentual 140 14 2" xfId="5469"/>
    <cellStyle name="Porcentual 140 14 3" xfId="8143"/>
    <cellStyle name="Porcentual 140 15" xfId="1637"/>
    <cellStyle name="Porcentual 140 15 2" xfId="5470"/>
    <cellStyle name="Porcentual 140 15 3" xfId="8144"/>
    <cellStyle name="Porcentual 140 16" xfId="1638"/>
    <cellStyle name="Porcentual 140 16 2" xfId="5471"/>
    <cellStyle name="Porcentual 140 16 3" xfId="8145"/>
    <cellStyle name="Porcentual 140 17" xfId="1639"/>
    <cellStyle name="Porcentual 140 17 2" xfId="5472"/>
    <cellStyle name="Porcentual 140 17 3" xfId="8146"/>
    <cellStyle name="Porcentual 140 18" xfId="1640"/>
    <cellStyle name="Porcentual 140 18 2" xfId="5473"/>
    <cellStyle name="Porcentual 140 18 3" xfId="8147"/>
    <cellStyle name="Porcentual 140 19" xfId="1641"/>
    <cellStyle name="Porcentual 140 19 2" xfId="5474"/>
    <cellStyle name="Porcentual 140 19 3" xfId="8148"/>
    <cellStyle name="Porcentual 140 2" xfId="1642"/>
    <cellStyle name="Porcentual 140 2 2" xfId="5475"/>
    <cellStyle name="Porcentual 140 2 3" xfId="8149"/>
    <cellStyle name="Porcentual 140 20" xfId="1643"/>
    <cellStyle name="Porcentual 140 20 2" xfId="5476"/>
    <cellStyle name="Porcentual 140 20 3" xfId="8150"/>
    <cellStyle name="Porcentual 140 21" xfId="1644"/>
    <cellStyle name="Porcentual 140 21 2" xfId="5477"/>
    <cellStyle name="Porcentual 140 21 3" xfId="8151"/>
    <cellStyle name="Porcentual 140 22" xfId="1645"/>
    <cellStyle name="Porcentual 140 22 2" xfId="5478"/>
    <cellStyle name="Porcentual 140 22 3" xfId="8152"/>
    <cellStyle name="Porcentual 140 23" xfId="1646"/>
    <cellStyle name="Porcentual 140 23 2" xfId="5479"/>
    <cellStyle name="Porcentual 140 23 3" xfId="8153"/>
    <cellStyle name="Porcentual 140 24" xfId="1647"/>
    <cellStyle name="Porcentual 140 24 2" xfId="5480"/>
    <cellStyle name="Porcentual 140 24 3" xfId="8154"/>
    <cellStyle name="Porcentual 140 25" xfId="1648"/>
    <cellStyle name="Porcentual 140 25 2" xfId="5481"/>
    <cellStyle name="Porcentual 140 25 3" xfId="8155"/>
    <cellStyle name="Porcentual 140 26" xfId="1649"/>
    <cellStyle name="Porcentual 140 26 2" xfId="5482"/>
    <cellStyle name="Porcentual 140 26 3" xfId="8156"/>
    <cellStyle name="Porcentual 140 27" xfId="1650"/>
    <cellStyle name="Porcentual 140 27 2" xfId="5483"/>
    <cellStyle name="Porcentual 140 27 3" xfId="8157"/>
    <cellStyle name="Porcentual 140 28" xfId="1651"/>
    <cellStyle name="Porcentual 140 28 2" xfId="5484"/>
    <cellStyle name="Porcentual 140 28 3" xfId="8158"/>
    <cellStyle name="Porcentual 140 3" xfId="1652"/>
    <cellStyle name="Porcentual 140 3 2" xfId="5485"/>
    <cellStyle name="Porcentual 140 3 3" xfId="8159"/>
    <cellStyle name="Porcentual 140 4" xfId="1653"/>
    <cellStyle name="Porcentual 140 4 2" xfId="5486"/>
    <cellStyle name="Porcentual 140 4 3" xfId="8160"/>
    <cellStyle name="Porcentual 140 5" xfId="1654"/>
    <cellStyle name="Porcentual 140 5 2" xfId="5487"/>
    <cellStyle name="Porcentual 140 5 3" xfId="8161"/>
    <cellStyle name="Porcentual 140 6" xfId="1655"/>
    <cellStyle name="Porcentual 140 6 2" xfId="5488"/>
    <cellStyle name="Porcentual 140 6 3" xfId="8162"/>
    <cellStyle name="Porcentual 140 7" xfId="1656"/>
    <cellStyle name="Porcentual 140 7 2" xfId="5489"/>
    <cellStyle name="Porcentual 140 7 3" xfId="8163"/>
    <cellStyle name="Porcentual 140 8" xfId="1657"/>
    <cellStyle name="Porcentual 140 8 2" xfId="5490"/>
    <cellStyle name="Porcentual 140 8 3" xfId="8164"/>
    <cellStyle name="Porcentual 140 9" xfId="1658"/>
    <cellStyle name="Porcentual 140 9 2" xfId="5491"/>
    <cellStyle name="Porcentual 140 9 3" xfId="8165"/>
    <cellStyle name="Porcentual 141 10" xfId="1659"/>
    <cellStyle name="Porcentual 141 10 2" xfId="5492"/>
    <cellStyle name="Porcentual 141 10 3" xfId="8166"/>
    <cellStyle name="Porcentual 141 11" xfId="1660"/>
    <cellStyle name="Porcentual 141 11 2" xfId="5493"/>
    <cellStyle name="Porcentual 141 11 3" xfId="8167"/>
    <cellStyle name="Porcentual 141 12" xfId="1661"/>
    <cellStyle name="Porcentual 141 12 2" xfId="5494"/>
    <cellStyle name="Porcentual 141 12 3" xfId="8168"/>
    <cellStyle name="Porcentual 141 13" xfId="1662"/>
    <cellStyle name="Porcentual 141 13 2" xfId="5495"/>
    <cellStyle name="Porcentual 141 13 3" xfId="8169"/>
    <cellStyle name="Porcentual 141 14" xfId="1663"/>
    <cellStyle name="Porcentual 141 14 2" xfId="5496"/>
    <cellStyle name="Porcentual 141 14 3" xfId="8170"/>
    <cellStyle name="Porcentual 141 15" xfId="1664"/>
    <cellStyle name="Porcentual 141 15 2" xfId="5497"/>
    <cellStyle name="Porcentual 141 15 3" xfId="8171"/>
    <cellStyle name="Porcentual 141 16" xfId="1665"/>
    <cellStyle name="Porcentual 141 16 2" xfId="5498"/>
    <cellStyle name="Porcentual 141 16 3" xfId="8172"/>
    <cellStyle name="Porcentual 141 17" xfId="1666"/>
    <cellStyle name="Porcentual 141 17 2" xfId="5499"/>
    <cellStyle name="Porcentual 141 17 3" xfId="8173"/>
    <cellStyle name="Porcentual 141 18" xfId="1667"/>
    <cellStyle name="Porcentual 141 18 2" xfId="5500"/>
    <cellStyle name="Porcentual 141 18 3" xfId="8174"/>
    <cellStyle name="Porcentual 141 19" xfId="1668"/>
    <cellStyle name="Porcentual 141 19 2" xfId="5501"/>
    <cellStyle name="Porcentual 141 19 3" xfId="8175"/>
    <cellStyle name="Porcentual 141 2" xfId="1669"/>
    <cellStyle name="Porcentual 141 2 2" xfId="5502"/>
    <cellStyle name="Porcentual 141 2 3" xfId="8176"/>
    <cellStyle name="Porcentual 141 20" xfId="1670"/>
    <cellStyle name="Porcentual 141 20 2" xfId="5503"/>
    <cellStyle name="Porcentual 141 20 3" xfId="8177"/>
    <cellStyle name="Porcentual 141 21" xfId="1671"/>
    <cellStyle name="Porcentual 141 21 2" xfId="5504"/>
    <cellStyle name="Porcentual 141 21 3" xfId="8178"/>
    <cellStyle name="Porcentual 141 22" xfId="1672"/>
    <cellStyle name="Porcentual 141 22 2" xfId="5505"/>
    <cellStyle name="Porcentual 141 22 3" xfId="8179"/>
    <cellStyle name="Porcentual 141 23" xfId="1673"/>
    <cellStyle name="Porcentual 141 23 2" xfId="5506"/>
    <cellStyle name="Porcentual 141 23 3" xfId="8180"/>
    <cellStyle name="Porcentual 141 24" xfId="1674"/>
    <cellStyle name="Porcentual 141 24 2" xfId="5507"/>
    <cellStyle name="Porcentual 141 24 3" xfId="8181"/>
    <cellStyle name="Porcentual 141 25" xfId="1675"/>
    <cellStyle name="Porcentual 141 25 2" xfId="5508"/>
    <cellStyle name="Porcentual 141 25 3" xfId="8182"/>
    <cellStyle name="Porcentual 141 26" xfId="1676"/>
    <cellStyle name="Porcentual 141 26 2" xfId="5509"/>
    <cellStyle name="Porcentual 141 26 3" xfId="8183"/>
    <cellStyle name="Porcentual 141 27" xfId="1677"/>
    <cellStyle name="Porcentual 141 27 2" xfId="5510"/>
    <cellStyle name="Porcentual 141 27 3" xfId="8184"/>
    <cellStyle name="Porcentual 141 28" xfId="1678"/>
    <cellStyle name="Porcentual 141 28 2" xfId="5511"/>
    <cellStyle name="Porcentual 141 28 3" xfId="8185"/>
    <cellStyle name="Porcentual 141 3" xfId="1679"/>
    <cellStyle name="Porcentual 141 3 2" xfId="5512"/>
    <cellStyle name="Porcentual 141 3 3" xfId="8186"/>
    <cellStyle name="Porcentual 141 4" xfId="1680"/>
    <cellStyle name="Porcentual 141 4 2" xfId="5513"/>
    <cellStyle name="Porcentual 141 4 3" xfId="8187"/>
    <cellStyle name="Porcentual 141 5" xfId="1681"/>
    <cellStyle name="Porcentual 141 5 2" xfId="5514"/>
    <cellStyle name="Porcentual 141 5 3" xfId="8188"/>
    <cellStyle name="Porcentual 141 6" xfId="1682"/>
    <cellStyle name="Porcentual 141 6 2" xfId="5515"/>
    <cellStyle name="Porcentual 141 6 3" xfId="8189"/>
    <cellStyle name="Porcentual 141 7" xfId="1683"/>
    <cellStyle name="Porcentual 141 7 2" xfId="5516"/>
    <cellStyle name="Porcentual 141 7 3" xfId="8190"/>
    <cellStyle name="Porcentual 141 8" xfId="1684"/>
    <cellStyle name="Porcentual 141 8 2" xfId="5517"/>
    <cellStyle name="Porcentual 141 8 3" xfId="8191"/>
    <cellStyle name="Porcentual 141 9" xfId="1685"/>
    <cellStyle name="Porcentual 141 9 2" xfId="5518"/>
    <cellStyle name="Porcentual 141 9 3" xfId="8192"/>
    <cellStyle name="Porcentual 142 10" xfId="1686"/>
    <cellStyle name="Porcentual 142 10 2" xfId="5519"/>
    <cellStyle name="Porcentual 142 10 3" xfId="8193"/>
    <cellStyle name="Porcentual 142 11" xfId="1687"/>
    <cellStyle name="Porcentual 142 11 2" xfId="5520"/>
    <cellStyle name="Porcentual 142 11 3" xfId="8194"/>
    <cellStyle name="Porcentual 142 12" xfId="1688"/>
    <cellStyle name="Porcentual 142 12 2" xfId="5521"/>
    <cellStyle name="Porcentual 142 12 3" xfId="8195"/>
    <cellStyle name="Porcentual 142 13" xfId="1689"/>
    <cellStyle name="Porcentual 142 13 2" xfId="5522"/>
    <cellStyle name="Porcentual 142 13 3" xfId="8196"/>
    <cellStyle name="Porcentual 142 14" xfId="1690"/>
    <cellStyle name="Porcentual 142 14 2" xfId="5523"/>
    <cellStyle name="Porcentual 142 14 3" xfId="8197"/>
    <cellStyle name="Porcentual 142 15" xfId="1691"/>
    <cellStyle name="Porcentual 142 15 2" xfId="5524"/>
    <cellStyle name="Porcentual 142 15 3" xfId="8198"/>
    <cellStyle name="Porcentual 142 16" xfId="1692"/>
    <cellStyle name="Porcentual 142 16 2" xfId="5525"/>
    <cellStyle name="Porcentual 142 16 3" xfId="8199"/>
    <cellStyle name="Porcentual 142 17" xfId="1693"/>
    <cellStyle name="Porcentual 142 17 2" xfId="5526"/>
    <cellStyle name="Porcentual 142 17 3" xfId="8200"/>
    <cellStyle name="Porcentual 142 18" xfId="1694"/>
    <cellStyle name="Porcentual 142 18 2" xfId="5527"/>
    <cellStyle name="Porcentual 142 18 3" xfId="8201"/>
    <cellStyle name="Porcentual 142 19" xfId="1695"/>
    <cellStyle name="Porcentual 142 19 2" xfId="5528"/>
    <cellStyle name="Porcentual 142 19 3" xfId="8202"/>
    <cellStyle name="Porcentual 142 2" xfId="1696"/>
    <cellStyle name="Porcentual 142 2 2" xfId="5529"/>
    <cellStyle name="Porcentual 142 2 3" xfId="8203"/>
    <cellStyle name="Porcentual 142 20" xfId="1697"/>
    <cellStyle name="Porcentual 142 20 2" xfId="5530"/>
    <cellStyle name="Porcentual 142 20 3" xfId="8204"/>
    <cellStyle name="Porcentual 142 21" xfId="1698"/>
    <cellStyle name="Porcentual 142 21 2" xfId="5531"/>
    <cellStyle name="Porcentual 142 21 3" xfId="8205"/>
    <cellStyle name="Porcentual 142 22" xfId="1699"/>
    <cellStyle name="Porcentual 142 22 2" xfId="5532"/>
    <cellStyle name="Porcentual 142 22 3" xfId="8206"/>
    <cellStyle name="Porcentual 142 23" xfId="1700"/>
    <cellStyle name="Porcentual 142 23 2" xfId="5533"/>
    <cellStyle name="Porcentual 142 23 3" xfId="8207"/>
    <cellStyle name="Porcentual 142 24" xfId="1701"/>
    <cellStyle name="Porcentual 142 24 2" xfId="5534"/>
    <cellStyle name="Porcentual 142 24 3" xfId="8208"/>
    <cellStyle name="Porcentual 142 25" xfId="1702"/>
    <cellStyle name="Porcentual 142 25 2" xfId="5535"/>
    <cellStyle name="Porcentual 142 25 3" xfId="8209"/>
    <cellStyle name="Porcentual 142 26" xfId="1703"/>
    <cellStyle name="Porcentual 142 26 2" xfId="5536"/>
    <cellStyle name="Porcentual 142 26 3" xfId="8210"/>
    <cellStyle name="Porcentual 142 27" xfId="1704"/>
    <cellStyle name="Porcentual 142 27 2" xfId="5537"/>
    <cellStyle name="Porcentual 142 27 3" xfId="8211"/>
    <cellStyle name="Porcentual 142 28" xfId="1705"/>
    <cellStyle name="Porcentual 142 28 2" xfId="5538"/>
    <cellStyle name="Porcentual 142 28 3" xfId="8212"/>
    <cellStyle name="Porcentual 142 3" xfId="1706"/>
    <cellStyle name="Porcentual 142 3 2" xfId="5539"/>
    <cellStyle name="Porcentual 142 3 3" xfId="8213"/>
    <cellStyle name="Porcentual 142 4" xfId="1707"/>
    <cellStyle name="Porcentual 142 4 2" xfId="5540"/>
    <cellStyle name="Porcentual 142 4 3" xfId="8214"/>
    <cellStyle name="Porcentual 142 5" xfId="1708"/>
    <cellStyle name="Porcentual 142 5 2" xfId="5541"/>
    <cellStyle name="Porcentual 142 5 3" xfId="8215"/>
    <cellStyle name="Porcentual 142 6" xfId="1709"/>
    <cellStyle name="Porcentual 142 6 2" xfId="5542"/>
    <cellStyle name="Porcentual 142 6 3" xfId="8216"/>
    <cellStyle name="Porcentual 142 7" xfId="1710"/>
    <cellStyle name="Porcentual 142 7 2" xfId="5543"/>
    <cellStyle name="Porcentual 142 7 3" xfId="8217"/>
    <cellStyle name="Porcentual 142 8" xfId="1711"/>
    <cellStyle name="Porcentual 142 8 2" xfId="5544"/>
    <cellStyle name="Porcentual 142 8 3" xfId="8218"/>
    <cellStyle name="Porcentual 142 9" xfId="1712"/>
    <cellStyle name="Porcentual 142 9 2" xfId="5545"/>
    <cellStyle name="Porcentual 142 9 3" xfId="8219"/>
    <cellStyle name="Porcentual 143 10" xfId="1713"/>
    <cellStyle name="Porcentual 143 10 2" xfId="5546"/>
    <cellStyle name="Porcentual 143 10 3" xfId="8220"/>
    <cellStyle name="Porcentual 143 11" xfId="1714"/>
    <cellStyle name="Porcentual 143 11 2" xfId="5547"/>
    <cellStyle name="Porcentual 143 11 3" xfId="8221"/>
    <cellStyle name="Porcentual 143 12" xfId="1715"/>
    <cellStyle name="Porcentual 143 12 2" xfId="5548"/>
    <cellStyle name="Porcentual 143 12 3" xfId="8222"/>
    <cellStyle name="Porcentual 143 13" xfId="1716"/>
    <cellStyle name="Porcentual 143 13 2" xfId="5549"/>
    <cellStyle name="Porcentual 143 13 3" xfId="8223"/>
    <cellStyle name="Porcentual 143 14" xfId="1717"/>
    <cellStyle name="Porcentual 143 14 2" xfId="5550"/>
    <cellStyle name="Porcentual 143 14 3" xfId="8224"/>
    <cellStyle name="Porcentual 143 15" xfId="1718"/>
    <cellStyle name="Porcentual 143 15 2" xfId="5551"/>
    <cellStyle name="Porcentual 143 15 3" xfId="8225"/>
    <cellStyle name="Porcentual 143 16" xfId="1719"/>
    <cellStyle name="Porcentual 143 16 2" xfId="5552"/>
    <cellStyle name="Porcentual 143 16 3" xfId="8226"/>
    <cellStyle name="Porcentual 143 17" xfId="1720"/>
    <cellStyle name="Porcentual 143 17 2" xfId="5553"/>
    <cellStyle name="Porcentual 143 17 3" xfId="8227"/>
    <cellStyle name="Porcentual 143 18" xfId="1721"/>
    <cellStyle name="Porcentual 143 18 2" xfId="5554"/>
    <cellStyle name="Porcentual 143 18 3" xfId="8228"/>
    <cellStyle name="Porcentual 143 19" xfId="1722"/>
    <cellStyle name="Porcentual 143 19 2" xfId="5555"/>
    <cellStyle name="Porcentual 143 19 3" xfId="8229"/>
    <cellStyle name="Porcentual 143 2" xfId="1723"/>
    <cellStyle name="Porcentual 143 2 2" xfId="5556"/>
    <cellStyle name="Porcentual 143 2 3" xfId="8230"/>
    <cellStyle name="Porcentual 143 20" xfId="1724"/>
    <cellStyle name="Porcentual 143 20 2" xfId="5557"/>
    <cellStyle name="Porcentual 143 20 3" xfId="8231"/>
    <cellStyle name="Porcentual 143 21" xfId="1725"/>
    <cellStyle name="Porcentual 143 21 2" xfId="5558"/>
    <cellStyle name="Porcentual 143 21 3" xfId="8232"/>
    <cellStyle name="Porcentual 143 22" xfId="1726"/>
    <cellStyle name="Porcentual 143 22 2" xfId="5559"/>
    <cellStyle name="Porcentual 143 22 3" xfId="8233"/>
    <cellStyle name="Porcentual 143 23" xfId="1727"/>
    <cellStyle name="Porcentual 143 23 2" xfId="5560"/>
    <cellStyle name="Porcentual 143 23 3" xfId="8234"/>
    <cellStyle name="Porcentual 143 24" xfId="1728"/>
    <cellStyle name="Porcentual 143 24 2" xfId="5561"/>
    <cellStyle name="Porcentual 143 24 3" xfId="8235"/>
    <cellStyle name="Porcentual 143 25" xfId="1729"/>
    <cellStyle name="Porcentual 143 25 2" xfId="5562"/>
    <cellStyle name="Porcentual 143 25 3" xfId="8236"/>
    <cellStyle name="Porcentual 143 26" xfId="1730"/>
    <cellStyle name="Porcentual 143 26 2" xfId="5563"/>
    <cellStyle name="Porcentual 143 26 3" xfId="8237"/>
    <cellStyle name="Porcentual 143 27" xfId="1731"/>
    <cellStyle name="Porcentual 143 27 2" xfId="5564"/>
    <cellStyle name="Porcentual 143 27 3" xfId="8238"/>
    <cellStyle name="Porcentual 143 28" xfId="1732"/>
    <cellStyle name="Porcentual 143 28 2" xfId="5565"/>
    <cellStyle name="Porcentual 143 28 3" xfId="8239"/>
    <cellStyle name="Porcentual 143 3" xfId="1733"/>
    <cellStyle name="Porcentual 143 3 2" xfId="5566"/>
    <cellStyle name="Porcentual 143 3 3" xfId="8240"/>
    <cellStyle name="Porcentual 143 4" xfId="1734"/>
    <cellStyle name="Porcentual 143 4 2" xfId="5567"/>
    <cellStyle name="Porcentual 143 4 3" xfId="8241"/>
    <cellStyle name="Porcentual 143 5" xfId="1735"/>
    <cellStyle name="Porcentual 143 5 2" xfId="5568"/>
    <cellStyle name="Porcentual 143 5 3" xfId="8242"/>
    <cellStyle name="Porcentual 143 6" xfId="1736"/>
    <cellStyle name="Porcentual 143 6 2" xfId="5569"/>
    <cellStyle name="Porcentual 143 6 3" xfId="8243"/>
    <cellStyle name="Porcentual 143 7" xfId="1737"/>
    <cellStyle name="Porcentual 143 7 2" xfId="5570"/>
    <cellStyle name="Porcentual 143 7 3" xfId="8244"/>
    <cellStyle name="Porcentual 143 8" xfId="1738"/>
    <cellStyle name="Porcentual 143 8 2" xfId="5571"/>
    <cellStyle name="Porcentual 143 8 3" xfId="8245"/>
    <cellStyle name="Porcentual 143 9" xfId="1739"/>
    <cellStyle name="Porcentual 143 9 2" xfId="5572"/>
    <cellStyle name="Porcentual 143 9 3" xfId="8246"/>
    <cellStyle name="Porcentual 144 10" xfId="1740"/>
    <cellStyle name="Porcentual 144 10 2" xfId="5573"/>
    <cellStyle name="Porcentual 144 10 3" xfId="8247"/>
    <cellStyle name="Porcentual 144 11" xfId="1741"/>
    <cellStyle name="Porcentual 144 11 2" xfId="5574"/>
    <cellStyle name="Porcentual 144 11 3" xfId="8248"/>
    <cellStyle name="Porcentual 144 12" xfId="1742"/>
    <cellStyle name="Porcentual 144 12 2" xfId="5575"/>
    <cellStyle name="Porcentual 144 12 3" xfId="8249"/>
    <cellStyle name="Porcentual 144 13" xfId="1743"/>
    <cellStyle name="Porcentual 144 13 2" xfId="5576"/>
    <cellStyle name="Porcentual 144 13 3" xfId="8250"/>
    <cellStyle name="Porcentual 144 14" xfId="1744"/>
    <cellStyle name="Porcentual 144 14 2" xfId="5577"/>
    <cellStyle name="Porcentual 144 14 3" xfId="8251"/>
    <cellStyle name="Porcentual 144 15" xfId="1745"/>
    <cellStyle name="Porcentual 144 15 2" xfId="5578"/>
    <cellStyle name="Porcentual 144 15 3" xfId="8252"/>
    <cellStyle name="Porcentual 144 16" xfId="1746"/>
    <cellStyle name="Porcentual 144 16 2" xfId="5579"/>
    <cellStyle name="Porcentual 144 16 3" xfId="8253"/>
    <cellStyle name="Porcentual 144 17" xfId="1747"/>
    <cellStyle name="Porcentual 144 17 2" xfId="5580"/>
    <cellStyle name="Porcentual 144 17 3" xfId="8254"/>
    <cellStyle name="Porcentual 144 18" xfId="1748"/>
    <cellStyle name="Porcentual 144 18 2" xfId="5581"/>
    <cellStyle name="Porcentual 144 18 3" xfId="8255"/>
    <cellStyle name="Porcentual 144 19" xfId="1749"/>
    <cellStyle name="Porcentual 144 19 2" xfId="5582"/>
    <cellStyle name="Porcentual 144 19 3" xfId="8256"/>
    <cellStyle name="Porcentual 144 2" xfId="1750"/>
    <cellStyle name="Porcentual 144 2 2" xfId="5583"/>
    <cellStyle name="Porcentual 144 2 3" xfId="8257"/>
    <cellStyle name="Porcentual 144 20" xfId="1751"/>
    <cellStyle name="Porcentual 144 20 2" xfId="5584"/>
    <cellStyle name="Porcentual 144 20 3" xfId="8258"/>
    <cellStyle name="Porcentual 144 21" xfId="1752"/>
    <cellStyle name="Porcentual 144 21 2" xfId="5585"/>
    <cellStyle name="Porcentual 144 21 3" xfId="8259"/>
    <cellStyle name="Porcentual 144 22" xfId="1753"/>
    <cellStyle name="Porcentual 144 22 2" xfId="5586"/>
    <cellStyle name="Porcentual 144 22 3" xfId="8260"/>
    <cellStyle name="Porcentual 144 23" xfId="1754"/>
    <cellStyle name="Porcentual 144 23 2" xfId="5587"/>
    <cellStyle name="Porcentual 144 23 3" xfId="8261"/>
    <cellStyle name="Porcentual 144 24" xfId="1755"/>
    <cellStyle name="Porcentual 144 24 2" xfId="5588"/>
    <cellStyle name="Porcentual 144 24 3" xfId="8262"/>
    <cellStyle name="Porcentual 144 25" xfId="1756"/>
    <cellStyle name="Porcentual 144 25 2" xfId="5589"/>
    <cellStyle name="Porcentual 144 25 3" xfId="8263"/>
    <cellStyle name="Porcentual 144 26" xfId="1757"/>
    <cellStyle name="Porcentual 144 26 2" xfId="5590"/>
    <cellStyle name="Porcentual 144 26 3" xfId="8264"/>
    <cellStyle name="Porcentual 144 27" xfId="1758"/>
    <cellStyle name="Porcentual 144 27 2" xfId="5591"/>
    <cellStyle name="Porcentual 144 27 3" xfId="8265"/>
    <cellStyle name="Porcentual 144 28" xfId="1759"/>
    <cellStyle name="Porcentual 144 28 2" xfId="5592"/>
    <cellStyle name="Porcentual 144 28 3" xfId="8266"/>
    <cellStyle name="Porcentual 144 3" xfId="1760"/>
    <cellStyle name="Porcentual 144 3 2" xfId="5593"/>
    <cellStyle name="Porcentual 144 3 3" xfId="8267"/>
    <cellStyle name="Porcentual 144 4" xfId="1761"/>
    <cellStyle name="Porcentual 144 4 2" xfId="5594"/>
    <cellStyle name="Porcentual 144 4 3" xfId="8268"/>
    <cellStyle name="Porcentual 144 5" xfId="1762"/>
    <cellStyle name="Porcentual 144 5 2" xfId="5595"/>
    <cellStyle name="Porcentual 144 5 3" xfId="8269"/>
    <cellStyle name="Porcentual 144 6" xfId="1763"/>
    <cellStyle name="Porcentual 144 6 2" xfId="5596"/>
    <cellStyle name="Porcentual 144 6 3" xfId="8270"/>
    <cellStyle name="Porcentual 144 7" xfId="1764"/>
    <cellStyle name="Porcentual 144 7 2" xfId="5597"/>
    <cellStyle name="Porcentual 144 7 3" xfId="8271"/>
    <cellStyle name="Porcentual 144 8" xfId="1765"/>
    <cellStyle name="Porcentual 144 8 2" xfId="5598"/>
    <cellStyle name="Porcentual 144 8 3" xfId="8272"/>
    <cellStyle name="Porcentual 144 9" xfId="1766"/>
    <cellStyle name="Porcentual 144 9 2" xfId="5599"/>
    <cellStyle name="Porcentual 144 9 3" xfId="8273"/>
    <cellStyle name="Porcentual 145 10" xfId="1767"/>
    <cellStyle name="Porcentual 145 10 2" xfId="5600"/>
    <cellStyle name="Porcentual 145 10 3" xfId="8274"/>
    <cellStyle name="Porcentual 145 11" xfId="1768"/>
    <cellStyle name="Porcentual 145 11 2" xfId="5601"/>
    <cellStyle name="Porcentual 145 11 3" xfId="8275"/>
    <cellStyle name="Porcentual 145 12" xfId="1769"/>
    <cellStyle name="Porcentual 145 12 2" xfId="5602"/>
    <cellStyle name="Porcentual 145 12 3" xfId="8276"/>
    <cellStyle name="Porcentual 145 13" xfId="1770"/>
    <cellStyle name="Porcentual 145 13 2" xfId="5603"/>
    <cellStyle name="Porcentual 145 13 3" xfId="8277"/>
    <cellStyle name="Porcentual 145 14" xfId="1771"/>
    <cellStyle name="Porcentual 145 14 2" xfId="5604"/>
    <cellStyle name="Porcentual 145 14 3" xfId="8278"/>
    <cellStyle name="Porcentual 145 15" xfId="1772"/>
    <cellStyle name="Porcentual 145 15 2" xfId="5605"/>
    <cellStyle name="Porcentual 145 15 3" xfId="8279"/>
    <cellStyle name="Porcentual 145 16" xfId="1773"/>
    <cellStyle name="Porcentual 145 16 2" xfId="5606"/>
    <cellStyle name="Porcentual 145 16 3" xfId="8280"/>
    <cellStyle name="Porcentual 145 17" xfId="1774"/>
    <cellStyle name="Porcentual 145 17 2" xfId="5607"/>
    <cellStyle name="Porcentual 145 17 3" xfId="8281"/>
    <cellStyle name="Porcentual 145 18" xfId="1775"/>
    <cellStyle name="Porcentual 145 18 2" xfId="5608"/>
    <cellStyle name="Porcentual 145 18 3" xfId="8282"/>
    <cellStyle name="Porcentual 145 19" xfId="1776"/>
    <cellStyle name="Porcentual 145 19 2" xfId="5609"/>
    <cellStyle name="Porcentual 145 19 3" xfId="8283"/>
    <cellStyle name="Porcentual 145 2" xfId="1777"/>
    <cellStyle name="Porcentual 145 2 2" xfId="5610"/>
    <cellStyle name="Porcentual 145 2 3" xfId="8284"/>
    <cellStyle name="Porcentual 145 20" xfId="1778"/>
    <cellStyle name="Porcentual 145 20 2" xfId="5611"/>
    <cellStyle name="Porcentual 145 20 3" xfId="8285"/>
    <cellStyle name="Porcentual 145 21" xfId="1779"/>
    <cellStyle name="Porcentual 145 21 2" xfId="5612"/>
    <cellStyle name="Porcentual 145 21 3" xfId="8286"/>
    <cellStyle name="Porcentual 145 22" xfId="1780"/>
    <cellStyle name="Porcentual 145 22 2" xfId="5613"/>
    <cellStyle name="Porcentual 145 22 3" xfId="8287"/>
    <cellStyle name="Porcentual 145 23" xfId="1781"/>
    <cellStyle name="Porcentual 145 23 2" xfId="5614"/>
    <cellStyle name="Porcentual 145 23 3" xfId="8288"/>
    <cellStyle name="Porcentual 145 24" xfId="1782"/>
    <cellStyle name="Porcentual 145 24 2" xfId="5615"/>
    <cellStyle name="Porcentual 145 24 3" xfId="8289"/>
    <cellStyle name="Porcentual 145 25" xfId="1783"/>
    <cellStyle name="Porcentual 145 25 2" xfId="5616"/>
    <cellStyle name="Porcentual 145 25 3" xfId="8290"/>
    <cellStyle name="Porcentual 145 26" xfId="1784"/>
    <cellStyle name="Porcentual 145 26 2" xfId="5617"/>
    <cellStyle name="Porcentual 145 26 3" xfId="8291"/>
    <cellStyle name="Porcentual 145 27" xfId="1785"/>
    <cellStyle name="Porcentual 145 27 2" xfId="5618"/>
    <cellStyle name="Porcentual 145 27 3" xfId="8292"/>
    <cellStyle name="Porcentual 145 28" xfId="1786"/>
    <cellStyle name="Porcentual 145 28 2" xfId="5619"/>
    <cellStyle name="Porcentual 145 28 3" xfId="8293"/>
    <cellStyle name="Porcentual 145 3" xfId="1787"/>
    <cellStyle name="Porcentual 145 3 2" xfId="5620"/>
    <cellStyle name="Porcentual 145 3 3" xfId="8294"/>
    <cellStyle name="Porcentual 145 4" xfId="1788"/>
    <cellStyle name="Porcentual 145 4 2" xfId="5621"/>
    <cellStyle name="Porcentual 145 4 3" xfId="8295"/>
    <cellStyle name="Porcentual 145 5" xfId="1789"/>
    <cellStyle name="Porcentual 145 5 2" xfId="5622"/>
    <cellStyle name="Porcentual 145 5 3" xfId="8296"/>
    <cellStyle name="Porcentual 145 6" xfId="1790"/>
    <cellStyle name="Porcentual 145 6 2" xfId="5623"/>
    <cellStyle name="Porcentual 145 6 3" xfId="8297"/>
    <cellStyle name="Porcentual 145 7" xfId="1791"/>
    <cellStyle name="Porcentual 145 7 2" xfId="5624"/>
    <cellStyle name="Porcentual 145 7 3" xfId="8298"/>
    <cellStyle name="Porcentual 145 8" xfId="1792"/>
    <cellStyle name="Porcentual 145 8 2" xfId="5625"/>
    <cellStyle name="Porcentual 145 8 3" xfId="8299"/>
    <cellStyle name="Porcentual 145 9" xfId="1793"/>
    <cellStyle name="Porcentual 145 9 2" xfId="5626"/>
    <cellStyle name="Porcentual 145 9 3" xfId="8300"/>
    <cellStyle name="Porcentual 146 10" xfId="1794"/>
    <cellStyle name="Porcentual 146 10 2" xfId="5627"/>
    <cellStyle name="Porcentual 146 10 3" xfId="8301"/>
    <cellStyle name="Porcentual 146 11" xfId="1795"/>
    <cellStyle name="Porcentual 146 11 2" xfId="5628"/>
    <cellStyle name="Porcentual 146 11 3" xfId="8302"/>
    <cellStyle name="Porcentual 146 12" xfId="1796"/>
    <cellStyle name="Porcentual 146 12 2" xfId="5629"/>
    <cellStyle name="Porcentual 146 12 3" xfId="8303"/>
    <cellStyle name="Porcentual 146 13" xfId="1797"/>
    <cellStyle name="Porcentual 146 13 2" xfId="5630"/>
    <cellStyle name="Porcentual 146 13 3" xfId="8304"/>
    <cellStyle name="Porcentual 146 14" xfId="1798"/>
    <cellStyle name="Porcentual 146 14 2" xfId="5631"/>
    <cellStyle name="Porcentual 146 14 3" xfId="8305"/>
    <cellStyle name="Porcentual 146 15" xfId="1799"/>
    <cellStyle name="Porcentual 146 15 2" xfId="5632"/>
    <cellStyle name="Porcentual 146 15 3" xfId="8306"/>
    <cellStyle name="Porcentual 146 16" xfId="1800"/>
    <cellStyle name="Porcentual 146 16 2" xfId="5633"/>
    <cellStyle name="Porcentual 146 16 3" xfId="8307"/>
    <cellStyle name="Porcentual 146 17" xfId="1801"/>
    <cellStyle name="Porcentual 146 17 2" xfId="5634"/>
    <cellStyle name="Porcentual 146 17 3" xfId="8308"/>
    <cellStyle name="Porcentual 146 18" xfId="1802"/>
    <cellStyle name="Porcentual 146 18 2" xfId="5635"/>
    <cellStyle name="Porcentual 146 18 3" xfId="8309"/>
    <cellStyle name="Porcentual 146 19" xfId="1803"/>
    <cellStyle name="Porcentual 146 19 2" xfId="5636"/>
    <cellStyle name="Porcentual 146 19 3" xfId="8310"/>
    <cellStyle name="Porcentual 146 2" xfId="1804"/>
    <cellStyle name="Porcentual 146 2 2" xfId="5637"/>
    <cellStyle name="Porcentual 146 2 3" xfId="8311"/>
    <cellStyle name="Porcentual 146 20" xfId="1805"/>
    <cellStyle name="Porcentual 146 20 2" xfId="5638"/>
    <cellStyle name="Porcentual 146 20 3" xfId="8312"/>
    <cellStyle name="Porcentual 146 21" xfId="1806"/>
    <cellStyle name="Porcentual 146 21 2" xfId="5639"/>
    <cellStyle name="Porcentual 146 21 3" xfId="8313"/>
    <cellStyle name="Porcentual 146 22" xfId="1807"/>
    <cellStyle name="Porcentual 146 22 2" xfId="5640"/>
    <cellStyle name="Porcentual 146 22 3" xfId="8314"/>
    <cellStyle name="Porcentual 146 23" xfId="1808"/>
    <cellStyle name="Porcentual 146 23 2" xfId="5641"/>
    <cellStyle name="Porcentual 146 23 3" xfId="8315"/>
    <cellStyle name="Porcentual 146 24" xfId="1809"/>
    <cellStyle name="Porcentual 146 24 2" xfId="5642"/>
    <cellStyle name="Porcentual 146 24 3" xfId="8316"/>
    <cellStyle name="Porcentual 146 25" xfId="1810"/>
    <cellStyle name="Porcentual 146 25 2" xfId="5643"/>
    <cellStyle name="Porcentual 146 25 3" xfId="8317"/>
    <cellStyle name="Porcentual 146 26" xfId="1811"/>
    <cellStyle name="Porcentual 146 26 2" xfId="5644"/>
    <cellStyle name="Porcentual 146 26 3" xfId="8318"/>
    <cellStyle name="Porcentual 146 27" xfId="1812"/>
    <cellStyle name="Porcentual 146 27 2" xfId="5645"/>
    <cellStyle name="Porcentual 146 27 3" xfId="8319"/>
    <cellStyle name="Porcentual 146 28" xfId="1813"/>
    <cellStyle name="Porcentual 146 28 2" xfId="5646"/>
    <cellStyle name="Porcentual 146 28 3" xfId="8320"/>
    <cellStyle name="Porcentual 146 3" xfId="1814"/>
    <cellStyle name="Porcentual 146 3 2" xfId="5647"/>
    <cellStyle name="Porcentual 146 3 3" xfId="8321"/>
    <cellStyle name="Porcentual 146 4" xfId="1815"/>
    <cellStyle name="Porcentual 146 4 2" xfId="5648"/>
    <cellStyle name="Porcentual 146 4 3" xfId="8322"/>
    <cellStyle name="Porcentual 146 5" xfId="1816"/>
    <cellStyle name="Porcentual 146 5 2" xfId="5649"/>
    <cellStyle name="Porcentual 146 5 3" xfId="8323"/>
    <cellStyle name="Porcentual 146 6" xfId="1817"/>
    <cellStyle name="Porcentual 146 6 2" xfId="5650"/>
    <cellStyle name="Porcentual 146 6 3" xfId="8324"/>
    <cellStyle name="Porcentual 146 7" xfId="1818"/>
    <cellStyle name="Porcentual 146 7 2" xfId="5651"/>
    <cellStyle name="Porcentual 146 7 3" xfId="8325"/>
    <cellStyle name="Porcentual 146 8" xfId="1819"/>
    <cellStyle name="Porcentual 146 8 2" xfId="5652"/>
    <cellStyle name="Porcentual 146 8 3" xfId="8326"/>
    <cellStyle name="Porcentual 146 9" xfId="1820"/>
    <cellStyle name="Porcentual 146 9 2" xfId="5653"/>
    <cellStyle name="Porcentual 146 9 3" xfId="8327"/>
    <cellStyle name="Porcentual 147 10" xfId="1821"/>
    <cellStyle name="Porcentual 147 10 2" xfId="5654"/>
    <cellStyle name="Porcentual 147 10 3" xfId="8328"/>
    <cellStyle name="Porcentual 147 11" xfId="1822"/>
    <cellStyle name="Porcentual 147 11 2" xfId="5655"/>
    <cellStyle name="Porcentual 147 11 3" xfId="8329"/>
    <cellStyle name="Porcentual 147 12" xfId="1823"/>
    <cellStyle name="Porcentual 147 12 2" xfId="5656"/>
    <cellStyle name="Porcentual 147 12 3" xfId="8330"/>
    <cellStyle name="Porcentual 147 13" xfId="1824"/>
    <cellStyle name="Porcentual 147 13 2" xfId="5657"/>
    <cellStyle name="Porcentual 147 13 3" xfId="8331"/>
    <cellStyle name="Porcentual 147 14" xfId="1825"/>
    <cellStyle name="Porcentual 147 14 2" xfId="5658"/>
    <cellStyle name="Porcentual 147 14 3" xfId="8332"/>
    <cellStyle name="Porcentual 147 15" xfId="1826"/>
    <cellStyle name="Porcentual 147 15 2" xfId="5659"/>
    <cellStyle name="Porcentual 147 15 3" xfId="8333"/>
    <cellStyle name="Porcentual 147 16" xfId="1827"/>
    <cellStyle name="Porcentual 147 16 2" xfId="5660"/>
    <cellStyle name="Porcentual 147 16 3" xfId="8334"/>
    <cellStyle name="Porcentual 147 17" xfId="1828"/>
    <cellStyle name="Porcentual 147 17 2" xfId="5661"/>
    <cellStyle name="Porcentual 147 17 3" xfId="8335"/>
    <cellStyle name="Porcentual 147 18" xfId="1829"/>
    <cellStyle name="Porcentual 147 18 2" xfId="5662"/>
    <cellStyle name="Porcentual 147 18 3" xfId="8336"/>
    <cellStyle name="Porcentual 147 19" xfId="1830"/>
    <cellStyle name="Porcentual 147 19 2" xfId="5663"/>
    <cellStyle name="Porcentual 147 19 3" xfId="8337"/>
    <cellStyle name="Porcentual 147 2" xfId="1831"/>
    <cellStyle name="Porcentual 147 2 2" xfId="5664"/>
    <cellStyle name="Porcentual 147 2 3" xfId="8338"/>
    <cellStyle name="Porcentual 147 20" xfId="1832"/>
    <cellStyle name="Porcentual 147 20 2" xfId="5665"/>
    <cellStyle name="Porcentual 147 20 3" xfId="8339"/>
    <cellStyle name="Porcentual 147 21" xfId="1833"/>
    <cellStyle name="Porcentual 147 21 2" xfId="5666"/>
    <cellStyle name="Porcentual 147 21 3" xfId="8340"/>
    <cellStyle name="Porcentual 147 22" xfId="1834"/>
    <cellStyle name="Porcentual 147 22 2" xfId="5667"/>
    <cellStyle name="Porcentual 147 22 3" xfId="8341"/>
    <cellStyle name="Porcentual 147 23" xfId="1835"/>
    <cellStyle name="Porcentual 147 23 2" xfId="5668"/>
    <cellStyle name="Porcentual 147 23 3" xfId="8342"/>
    <cellStyle name="Porcentual 147 24" xfId="1836"/>
    <cellStyle name="Porcentual 147 24 2" xfId="5669"/>
    <cellStyle name="Porcentual 147 24 3" xfId="8343"/>
    <cellStyle name="Porcentual 147 25" xfId="1837"/>
    <cellStyle name="Porcentual 147 25 2" xfId="5670"/>
    <cellStyle name="Porcentual 147 25 3" xfId="8344"/>
    <cellStyle name="Porcentual 147 26" xfId="1838"/>
    <cellStyle name="Porcentual 147 26 2" xfId="5671"/>
    <cellStyle name="Porcentual 147 26 3" xfId="8345"/>
    <cellStyle name="Porcentual 147 27" xfId="1839"/>
    <cellStyle name="Porcentual 147 27 2" xfId="5672"/>
    <cellStyle name="Porcentual 147 27 3" xfId="8346"/>
    <cellStyle name="Porcentual 147 28" xfId="1840"/>
    <cellStyle name="Porcentual 147 28 2" xfId="5673"/>
    <cellStyle name="Porcentual 147 28 3" xfId="8347"/>
    <cellStyle name="Porcentual 147 3" xfId="1841"/>
    <cellStyle name="Porcentual 147 3 2" xfId="5674"/>
    <cellStyle name="Porcentual 147 3 3" xfId="8348"/>
    <cellStyle name="Porcentual 147 4" xfId="1842"/>
    <cellStyle name="Porcentual 147 4 2" xfId="5675"/>
    <cellStyle name="Porcentual 147 4 3" xfId="8349"/>
    <cellStyle name="Porcentual 147 5" xfId="1843"/>
    <cellStyle name="Porcentual 147 5 2" xfId="5676"/>
    <cellStyle name="Porcentual 147 5 3" xfId="8350"/>
    <cellStyle name="Porcentual 147 6" xfId="1844"/>
    <cellStyle name="Porcentual 147 6 2" xfId="5677"/>
    <cellStyle name="Porcentual 147 6 3" xfId="8351"/>
    <cellStyle name="Porcentual 147 7" xfId="1845"/>
    <cellStyle name="Porcentual 147 7 2" xfId="5678"/>
    <cellStyle name="Porcentual 147 7 3" xfId="8352"/>
    <cellStyle name="Porcentual 147 8" xfId="1846"/>
    <cellStyle name="Porcentual 147 8 2" xfId="5679"/>
    <cellStyle name="Porcentual 147 8 3" xfId="8353"/>
    <cellStyle name="Porcentual 147 9" xfId="1847"/>
    <cellStyle name="Porcentual 147 9 2" xfId="5680"/>
    <cellStyle name="Porcentual 147 9 3" xfId="8354"/>
    <cellStyle name="Porcentual 149 10" xfId="1848"/>
    <cellStyle name="Porcentual 149 10 2" xfId="5681"/>
    <cellStyle name="Porcentual 149 10 3" xfId="8355"/>
    <cellStyle name="Porcentual 149 11" xfId="1849"/>
    <cellStyle name="Porcentual 149 11 2" xfId="5682"/>
    <cellStyle name="Porcentual 149 11 3" xfId="8356"/>
    <cellStyle name="Porcentual 149 12" xfId="1850"/>
    <cellStyle name="Porcentual 149 12 2" xfId="5683"/>
    <cellStyle name="Porcentual 149 12 3" xfId="8357"/>
    <cellStyle name="Porcentual 149 13" xfId="1851"/>
    <cellStyle name="Porcentual 149 13 2" xfId="5684"/>
    <cellStyle name="Porcentual 149 13 3" xfId="8358"/>
    <cellStyle name="Porcentual 149 14" xfId="1852"/>
    <cellStyle name="Porcentual 149 14 2" xfId="5685"/>
    <cellStyle name="Porcentual 149 14 3" xfId="8359"/>
    <cellStyle name="Porcentual 149 15" xfId="1853"/>
    <cellStyle name="Porcentual 149 15 2" xfId="5686"/>
    <cellStyle name="Porcentual 149 15 3" xfId="8360"/>
    <cellStyle name="Porcentual 149 16" xfId="1854"/>
    <cellStyle name="Porcentual 149 16 2" xfId="5687"/>
    <cellStyle name="Porcentual 149 16 3" xfId="8361"/>
    <cellStyle name="Porcentual 149 17" xfId="1855"/>
    <cellStyle name="Porcentual 149 17 2" xfId="5688"/>
    <cellStyle name="Porcentual 149 17 3" xfId="8362"/>
    <cellStyle name="Porcentual 149 18" xfId="1856"/>
    <cellStyle name="Porcentual 149 18 2" xfId="5689"/>
    <cellStyle name="Porcentual 149 18 3" xfId="8363"/>
    <cellStyle name="Porcentual 149 19" xfId="1857"/>
    <cellStyle name="Porcentual 149 19 2" xfId="5690"/>
    <cellStyle name="Porcentual 149 19 3" xfId="8364"/>
    <cellStyle name="Porcentual 149 2" xfId="1858"/>
    <cellStyle name="Porcentual 149 2 2" xfId="5691"/>
    <cellStyle name="Porcentual 149 2 3" xfId="8365"/>
    <cellStyle name="Porcentual 149 20" xfId="1859"/>
    <cellStyle name="Porcentual 149 20 2" xfId="5692"/>
    <cellStyle name="Porcentual 149 20 3" xfId="8366"/>
    <cellStyle name="Porcentual 149 21" xfId="1860"/>
    <cellStyle name="Porcentual 149 21 2" xfId="5693"/>
    <cellStyle name="Porcentual 149 21 3" xfId="8367"/>
    <cellStyle name="Porcentual 149 22" xfId="1861"/>
    <cellStyle name="Porcentual 149 22 2" xfId="5694"/>
    <cellStyle name="Porcentual 149 22 3" xfId="8368"/>
    <cellStyle name="Porcentual 149 23" xfId="1862"/>
    <cellStyle name="Porcentual 149 23 2" xfId="5695"/>
    <cellStyle name="Porcentual 149 23 3" xfId="8369"/>
    <cellStyle name="Porcentual 149 24" xfId="1863"/>
    <cellStyle name="Porcentual 149 24 2" xfId="5696"/>
    <cellStyle name="Porcentual 149 24 3" xfId="8370"/>
    <cellStyle name="Porcentual 149 25" xfId="1864"/>
    <cellStyle name="Porcentual 149 25 2" xfId="5697"/>
    <cellStyle name="Porcentual 149 25 3" xfId="8371"/>
    <cellStyle name="Porcentual 149 26" xfId="1865"/>
    <cellStyle name="Porcentual 149 26 2" xfId="5698"/>
    <cellStyle name="Porcentual 149 26 3" xfId="8372"/>
    <cellStyle name="Porcentual 149 27" xfId="1866"/>
    <cellStyle name="Porcentual 149 27 2" xfId="5699"/>
    <cellStyle name="Porcentual 149 27 3" xfId="8373"/>
    <cellStyle name="Porcentual 149 28" xfId="1867"/>
    <cellStyle name="Porcentual 149 28 2" xfId="5700"/>
    <cellStyle name="Porcentual 149 28 3" xfId="8374"/>
    <cellStyle name="Porcentual 149 3" xfId="1868"/>
    <cellStyle name="Porcentual 149 3 2" xfId="5701"/>
    <cellStyle name="Porcentual 149 3 3" xfId="8375"/>
    <cellStyle name="Porcentual 149 4" xfId="1869"/>
    <cellStyle name="Porcentual 149 4 2" xfId="5702"/>
    <cellStyle name="Porcentual 149 4 3" xfId="8376"/>
    <cellStyle name="Porcentual 149 5" xfId="1870"/>
    <cellStyle name="Porcentual 149 5 2" xfId="5703"/>
    <cellStyle name="Porcentual 149 5 3" xfId="8377"/>
    <cellStyle name="Porcentual 149 6" xfId="1871"/>
    <cellStyle name="Porcentual 149 6 2" xfId="5704"/>
    <cellStyle name="Porcentual 149 6 3" xfId="8378"/>
    <cellStyle name="Porcentual 149 7" xfId="1872"/>
    <cellStyle name="Porcentual 149 7 2" xfId="5705"/>
    <cellStyle name="Porcentual 149 7 3" xfId="8379"/>
    <cellStyle name="Porcentual 149 8" xfId="1873"/>
    <cellStyle name="Porcentual 149 8 2" xfId="5706"/>
    <cellStyle name="Porcentual 149 8 3" xfId="8380"/>
    <cellStyle name="Porcentual 149 9" xfId="1874"/>
    <cellStyle name="Porcentual 149 9 2" xfId="5707"/>
    <cellStyle name="Porcentual 149 9 3" xfId="8381"/>
    <cellStyle name="Porcentual 15" xfId="1875"/>
    <cellStyle name="Porcentual 15 2" xfId="5708"/>
    <cellStyle name="Porcentual 15 2 2" xfId="9748"/>
    <cellStyle name="Porcentual 15 2 2 2" xfId="10557"/>
    <cellStyle name="Porcentual 15 2 3" xfId="10556"/>
    <cellStyle name="Porcentual 15 3" xfId="5709"/>
    <cellStyle name="Porcentual 15 3 2" xfId="9749"/>
    <cellStyle name="Porcentual 15 3 2 2" xfId="10559"/>
    <cellStyle name="Porcentual 15 3 3" xfId="10558"/>
    <cellStyle name="Porcentual 15 4" xfId="8382"/>
    <cellStyle name="Porcentual 150 10" xfId="1876"/>
    <cellStyle name="Porcentual 150 10 2" xfId="5710"/>
    <cellStyle name="Porcentual 150 10 3" xfId="8383"/>
    <cellStyle name="Porcentual 150 11" xfId="1877"/>
    <cellStyle name="Porcentual 150 11 2" xfId="5711"/>
    <cellStyle name="Porcentual 150 11 3" xfId="8384"/>
    <cellStyle name="Porcentual 150 12" xfId="1878"/>
    <cellStyle name="Porcentual 150 12 2" xfId="5712"/>
    <cellStyle name="Porcentual 150 12 3" xfId="8385"/>
    <cellStyle name="Porcentual 150 13" xfId="1879"/>
    <cellStyle name="Porcentual 150 13 2" xfId="5713"/>
    <cellStyle name="Porcentual 150 13 3" xfId="8386"/>
    <cellStyle name="Porcentual 150 14" xfId="1880"/>
    <cellStyle name="Porcentual 150 14 2" xfId="5714"/>
    <cellStyle name="Porcentual 150 14 3" xfId="8387"/>
    <cellStyle name="Porcentual 150 15" xfId="1881"/>
    <cellStyle name="Porcentual 150 15 2" xfId="5715"/>
    <cellStyle name="Porcentual 150 15 3" xfId="8388"/>
    <cellStyle name="Porcentual 150 16" xfId="1882"/>
    <cellStyle name="Porcentual 150 16 2" xfId="5716"/>
    <cellStyle name="Porcentual 150 16 3" xfId="8389"/>
    <cellStyle name="Porcentual 150 17" xfId="1883"/>
    <cellStyle name="Porcentual 150 17 2" xfId="5717"/>
    <cellStyle name="Porcentual 150 17 3" xfId="8390"/>
    <cellStyle name="Porcentual 150 18" xfId="1884"/>
    <cellStyle name="Porcentual 150 18 2" xfId="5718"/>
    <cellStyle name="Porcentual 150 18 3" xfId="8391"/>
    <cellStyle name="Porcentual 150 19" xfId="1885"/>
    <cellStyle name="Porcentual 150 19 2" xfId="5719"/>
    <cellStyle name="Porcentual 150 19 3" xfId="8392"/>
    <cellStyle name="Porcentual 150 2" xfId="1886"/>
    <cellStyle name="Porcentual 150 2 2" xfId="5720"/>
    <cellStyle name="Porcentual 150 2 3" xfId="8393"/>
    <cellStyle name="Porcentual 150 20" xfId="1887"/>
    <cellStyle name="Porcentual 150 20 2" xfId="5721"/>
    <cellStyle name="Porcentual 150 20 3" xfId="8394"/>
    <cellStyle name="Porcentual 150 21" xfId="1888"/>
    <cellStyle name="Porcentual 150 21 2" xfId="5722"/>
    <cellStyle name="Porcentual 150 21 3" xfId="8395"/>
    <cellStyle name="Porcentual 150 22" xfId="1889"/>
    <cellStyle name="Porcentual 150 22 2" xfId="5723"/>
    <cellStyle name="Porcentual 150 22 3" xfId="8396"/>
    <cellStyle name="Porcentual 150 23" xfId="1890"/>
    <cellStyle name="Porcentual 150 23 2" xfId="5724"/>
    <cellStyle name="Porcentual 150 23 3" xfId="8397"/>
    <cellStyle name="Porcentual 150 24" xfId="1891"/>
    <cellStyle name="Porcentual 150 24 2" xfId="5725"/>
    <cellStyle name="Porcentual 150 24 3" xfId="8398"/>
    <cellStyle name="Porcentual 150 25" xfId="1892"/>
    <cellStyle name="Porcentual 150 25 2" xfId="5726"/>
    <cellStyle name="Porcentual 150 25 3" xfId="8399"/>
    <cellStyle name="Porcentual 150 26" xfId="1893"/>
    <cellStyle name="Porcentual 150 26 2" xfId="5727"/>
    <cellStyle name="Porcentual 150 26 3" xfId="8400"/>
    <cellStyle name="Porcentual 150 27" xfId="1894"/>
    <cellStyle name="Porcentual 150 27 2" xfId="5728"/>
    <cellStyle name="Porcentual 150 27 3" xfId="8401"/>
    <cellStyle name="Porcentual 150 28" xfId="1895"/>
    <cellStyle name="Porcentual 150 28 2" xfId="5729"/>
    <cellStyle name="Porcentual 150 28 3" xfId="8402"/>
    <cellStyle name="Porcentual 150 3" xfId="1896"/>
    <cellStyle name="Porcentual 150 3 2" xfId="5730"/>
    <cellStyle name="Porcentual 150 3 3" xfId="8403"/>
    <cellStyle name="Porcentual 150 4" xfId="1897"/>
    <cellStyle name="Porcentual 150 4 2" xfId="5731"/>
    <cellStyle name="Porcentual 150 4 3" xfId="8404"/>
    <cellStyle name="Porcentual 150 5" xfId="1898"/>
    <cellStyle name="Porcentual 150 5 2" xfId="5732"/>
    <cellStyle name="Porcentual 150 5 3" xfId="8405"/>
    <cellStyle name="Porcentual 150 6" xfId="1899"/>
    <cellStyle name="Porcentual 150 6 2" xfId="5733"/>
    <cellStyle name="Porcentual 150 6 3" xfId="8406"/>
    <cellStyle name="Porcentual 150 7" xfId="1900"/>
    <cellStyle name="Porcentual 150 7 2" xfId="5734"/>
    <cellStyle name="Porcentual 150 7 3" xfId="8407"/>
    <cellStyle name="Porcentual 150 8" xfId="1901"/>
    <cellStyle name="Porcentual 150 8 2" xfId="5735"/>
    <cellStyle name="Porcentual 150 8 3" xfId="8408"/>
    <cellStyle name="Porcentual 150 9" xfId="1902"/>
    <cellStyle name="Porcentual 150 9 2" xfId="5736"/>
    <cellStyle name="Porcentual 150 9 3" xfId="8409"/>
    <cellStyle name="Porcentual 151 10" xfId="1903"/>
    <cellStyle name="Porcentual 151 10 2" xfId="5737"/>
    <cellStyle name="Porcentual 151 10 3" xfId="8410"/>
    <cellStyle name="Porcentual 151 11" xfId="1904"/>
    <cellStyle name="Porcentual 151 11 2" xfId="5738"/>
    <cellStyle name="Porcentual 151 11 3" xfId="8411"/>
    <cellStyle name="Porcentual 151 12" xfId="1905"/>
    <cellStyle name="Porcentual 151 12 2" xfId="5739"/>
    <cellStyle name="Porcentual 151 12 3" xfId="8412"/>
    <cellStyle name="Porcentual 151 13" xfId="1906"/>
    <cellStyle name="Porcentual 151 13 2" xfId="5740"/>
    <cellStyle name="Porcentual 151 13 3" xfId="8413"/>
    <cellStyle name="Porcentual 151 14" xfId="1907"/>
    <cellStyle name="Porcentual 151 14 2" xfId="5741"/>
    <cellStyle name="Porcentual 151 14 3" xfId="8414"/>
    <cellStyle name="Porcentual 151 15" xfId="1908"/>
    <cellStyle name="Porcentual 151 15 2" xfId="5742"/>
    <cellStyle name="Porcentual 151 15 3" xfId="8415"/>
    <cellStyle name="Porcentual 151 16" xfId="1909"/>
    <cellStyle name="Porcentual 151 16 2" xfId="5743"/>
    <cellStyle name="Porcentual 151 16 3" xfId="8416"/>
    <cellStyle name="Porcentual 151 17" xfId="1910"/>
    <cellStyle name="Porcentual 151 17 2" xfId="5744"/>
    <cellStyle name="Porcentual 151 17 3" xfId="8417"/>
    <cellStyle name="Porcentual 151 18" xfId="1911"/>
    <cellStyle name="Porcentual 151 18 2" xfId="5745"/>
    <cellStyle name="Porcentual 151 18 3" xfId="8418"/>
    <cellStyle name="Porcentual 151 19" xfId="1912"/>
    <cellStyle name="Porcentual 151 19 2" xfId="5746"/>
    <cellStyle name="Porcentual 151 19 3" xfId="8419"/>
    <cellStyle name="Porcentual 151 2" xfId="1913"/>
    <cellStyle name="Porcentual 151 2 2" xfId="5747"/>
    <cellStyle name="Porcentual 151 2 3" xfId="8420"/>
    <cellStyle name="Porcentual 151 20" xfId="1914"/>
    <cellStyle name="Porcentual 151 20 2" xfId="5748"/>
    <cellStyle name="Porcentual 151 20 3" xfId="8421"/>
    <cellStyle name="Porcentual 151 21" xfId="1915"/>
    <cellStyle name="Porcentual 151 21 2" xfId="5749"/>
    <cellStyle name="Porcentual 151 21 3" xfId="8422"/>
    <cellStyle name="Porcentual 151 22" xfId="1916"/>
    <cellStyle name="Porcentual 151 22 2" xfId="5750"/>
    <cellStyle name="Porcentual 151 22 3" xfId="8423"/>
    <cellStyle name="Porcentual 151 23" xfId="1917"/>
    <cellStyle name="Porcentual 151 23 2" xfId="5751"/>
    <cellStyle name="Porcentual 151 23 3" xfId="8424"/>
    <cellStyle name="Porcentual 151 24" xfId="1918"/>
    <cellStyle name="Porcentual 151 24 2" xfId="5752"/>
    <cellStyle name="Porcentual 151 24 3" xfId="8425"/>
    <cellStyle name="Porcentual 151 25" xfId="1919"/>
    <cellStyle name="Porcentual 151 25 2" xfId="5753"/>
    <cellStyle name="Porcentual 151 25 3" xfId="8426"/>
    <cellStyle name="Porcentual 151 26" xfId="1920"/>
    <cellStyle name="Porcentual 151 26 2" xfId="5754"/>
    <cellStyle name="Porcentual 151 26 3" xfId="8427"/>
    <cellStyle name="Porcentual 151 27" xfId="1921"/>
    <cellStyle name="Porcentual 151 27 2" xfId="5755"/>
    <cellStyle name="Porcentual 151 27 3" xfId="8428"/>
    <cellStyle name="Porcentual 151 28" xfId="1922"/>
    <cellStyle name="Porcentual 151 28 2" xfId="5756"/>
    <cellStyle name="Porcentual 151 28 3" xfId="8429"/>
    <cellStyle name="Porcentual 151 3" xfId="1923"/>
    <cellStyle name="Porcentual 151 3 2" xfId="5757"/>
    <cellStyle name="Porcentual 151 3 3" xfId="8430"/>
    <cellStyle name="Porcentual 151 4" xfId="1924"/>
    <cellStyle name="Porcentual 151 4 2" xfId="5758"/>
    <cellStyle name="Porcentual 151 4 3" xfId="8431"/>
    <cellStyle name="Porcentual 151 5" xfId="1925"/>
    <cellStyle name="Porcentual 151 5 2" xfId="5759"/>
    <cellStyle name="Porcentual 151 5 3" xfId="8432"/>
    <cellStyle name="Porcentual 151 6" xfId="1926"/>
    <cellStyle name="Porcentual 151 6 2" xfId="5760"/>
    <cellStyle name="Porcentual 151 6 3" xfId="8433"/>
    <cellStyle name="Porcentual 151 7" xfId="1927"/>
    <cellStyle name="Porcentual 151 7 2" xfId="5761"/>
    <cellStyle name="Porcentual 151 7 3" xfId="8434"/>
    <cellStyle name="Porcentual 151 8" xfId="1928"/>
    <cellStyle name="Porcentual 151 8 2" xfId="5762"/>
    <cellStyle name="Porcentual 151 8 3" xfId="8435"/>
    <cellStyle name="Porcentual 151 9" xfId="1929"/>
    <cellStyle name="Porcentual 151 9 2" xfId="5763"/>
    <cellStyle name="Porcentual 151 9 3" xfId="8436"/>
    <cellStyle name="Porcentual 152 10" xfId="1930"/>
    <cellStyle name="Porcentual 152 10 2" xfId="5764"/>
    <cellStyle name="Porcentual 152 10 3" xfId="8437"/>
    <cellStyle name="Porcentual 152 11" xfId="1931"/>
    <cellStyle name="Porcentual 152 11 2" xfId="5765"/>
    <cellStyle name="Porcentual 152 11 3" xfId="8438"/>
    <cellStyle name="Porcentual 152 12" xfId="1932"/>
    <cellStyle name="Porcentual 152 12 2" xfId="5766"/>
    <cellStyle name="Porcentual 152 12 3" xfId="8439"/>
    <cellStyle name="Porcentual 152 13" xfId="1933"/>
    <cellStyle name="Porcentual 152 13 2" xfId="5767"/>
    <cellStyle name="Porcentual 152 13 3" xfId="8440"/>
    <cellStyle name="Porcentual 152 14" xfId="1934"/>
    <cellStyle name="Porcentual 152 14 2" xfId="5768"/>
    <cellStyle name="Porcentual 152 14 3" xfId="8441"/>
    <cellStyle name="Porcentual 152 15" xfId="1935"/>
    <cellStyle name="Porcentual 152 15 2" xfId="5769"/>
    <cellStyle name="Porcentual 152 15 3" xfId="8442"/>
    <cellStyle name="Porcentual 152 16" xfId="1936"/>
    <cellStyle name="Porcentual 152 16 2" xfId="5770"/>
    <cellStyle name="Porcentual 152 16 3" xfId="8443"/>
    <cellStyle name="Porcentual 152 17" xfId="1937"/>
    <cellStyle name="Porcentual 152 17 2" xfId="5771"/>
    <cellStyle name="Porcentual 152 17 3" xfId="8444"/>
    <cellStyle name="Porcentual 152 18" xfId="1938"/>
    <cellStyle name="Porcentual 152 18 2" xfId="5772"/>
    <cellStyle name="Porcentual 152 18 3" xfId="8445"/>
    <cellStyle name="Porcentual 152 19" xfId="1939"/>
    <cellStyle name="Porcentual 152 19 2" xfId="5773"/>
    <cellStyle name="Porcentual 152 19 3" xfId="8446"/>
    <cellStyle name="Porcentual 152 2" xfId="1940"/>
    <cellStyle name="Porcentual 152 2 2" xfId="5774"/>
    <cellStyle name="Porcentual 152 2 3" xfId="8447"/>
    <cellStyle name="Porcentual 152 20" xfId="1941"/>
    <cellStyle name="Porcentual 152 20 2" xfId="5775"/>
    <cellStyle name="Porcentual 152 20 3" xfId="8448"/>
    <cellStyle name="Porcentual 152 21" xfId="1942"/>
    <cellStyle name="Porcentual 152 21 2" xfId="5776"/>
    <cellStyle name="Porcentual 152 21 3" xfId="8449"/>
    <cellStyle name="Porcentual 152 22" xfId="1943"/>
    <cellStyle name="Porcentual 152 22 2" xfId="5777"/>
    <cellStyle name="Porcentual 152 22 3" xfId="8450"/>
    <cellStyle name="Porcentual 152 23" xfId="1944"/>
    <cellStyle name="Porcentual 152 23 2" xfId="5778"/>
    <cellStyle name="Porcentual 152 23 3" xfId="8451"/>
    <cellStyle name="Porcentual 152 24" xfId="1945"/>
    <cellStyle name="Porcentual 152 24 2" xfId="5779"/>
    <cellStyle name="Porcentual 152 24 3" xfId="8452"/>
    <cellStyle name="Porcentual 152 25" xfId="1946"/>
    <cellStyle name="Porcentual 152 25 2" xfId="5780"/>
    <cellStyle name="Porcentual 152 25 3" xfId="8453"/>
    <cellStyle name="Porcentual 152 26" xfId="1947"/>
    <cellStyle name="Porcentual 152 26 2" xfId="5781"/>
    <cellStyle name="Porcentual 152 26 3" xfId="8454"/>
    <cellStyle name="Porcentual 152 27" xfId="1948"/>
    <cellStyle name="Porcentual 152 27 2" xfId="5782"/>
    <cellStyle name="Porcentual 152 27 3" xfId="8455"/>
    <cellStyle name="Porcentual 152 28" xfId="1949"/>
    <cellStyle name="Porcentual 152 28 2" xfId="5783"/>
    <cellStyle name="Porcentual 152 28 3" xfId="8456"/>
    <cellStyle name="Porcentual 152 3" xfId="1950"/>
    <cellStyle name="Porcentual 152 3 2" xfId="5784"/>
    <cellStyle name="Porcentual 152 3 3" xfId="8457"/>
    <cellStyle name="Porcentual 152 4" xfId="1951"/>
    <cellStyle name="Porcentual 152 4 2" xfId="5785"/>
    <cellStyle name="Porcentual 152 4 3" xfId="8458"/>
    <cellStyle name="Porcentual 152 5" xfId="1952"/>
    <cellStyle name="Porcentual 152 5 2" xfId="5786"/>
    <cellStyle name="Porcentual 152 5 3" xfId="8459"/>
    <cellStyle name="Porcentual 152 6" xfId="1953"/>
    <cellStyle name="Porcentual 152 6 2" xfId="5787"/>
    <cellStyle name="Porcentual 152 6 3" xfId="8460"/>
    <cellStyle name="Porcentual 152 7" xfId="1954"/>
    <cellStyle name="Porcentual 152 7 2" xfId="5788"/>
    <cellStyle name="Porcentual 152 7 3" xfId="8461"/>
    <cellStyle name="Porcentual 152 8" xfId="1955"/>
    <cellStyle name="Porcentual 152 8 2" xfId="5789"/>
    <cellStyle name="Porcentual 152 8 3" xfId="8462"/>
    <cellStyle name="Porcentual 152 9" xfId="1956"/>
    <cellStyle name="Porcentual 152 9 2" xfId="5790"/>
    <cellStyle name="Porcentual 152 9 3" xfId="8463"/>
    <cellStyle name="Porcentual 153 10" xfId="1957"/>
    <cellStyle name="Porcentual 153 10 2" xfId="5791"/>
    <cellStyle name="Porcentual 153 10 3" xfId="8464"/>
    <cellStyle name="Porcentual 153 11" xfId="1958"/>
    <cellStyle name="Porcentual 153 11 2" xfId="5792"/>
    <cellStyle name="Porcentual 153 11 3" xfId="8465"/>
    <cellStyle name="Porcentual 153 12" xfId="1959"/>
    <cellStyle name="Porcentual 153 12 2" xfId="5793"/>
    <cellStyle name="Porcentual 153 12 3" xfId="8466"/>
    <cellStyle name="Porcentual 153 13" xfId="1960"/>
    <cellStyle name="Porcentual 153 13 2" xfId="5794"/>
    <cellStyle name="Porcentual 153 13 3" xfId="8467"/>
    <cellStyle name="Porcentual 153 14" xfId="1961"/>
    <cellStyle name="Porcentual 153 14 2" xfId="5795"/>
    <cellStyle name="Porcentual 153 14 3" xfId="8468"/>
    <cellStyle name="Porcentual 153 15" xfId="1962"/>
    <cellStyle name="Porcentual 153 15 2" xfId="5796"/>
    <cellStyle name="Porcentual 153 15 3" xfId="8469"/>
    <cellStyle name="Porcentual 153 16" xfId="1963"/>
    <cellStyle name="Porcentual 153 16 2" xfId="5797"/>
    <cellStyle name="Porcentual 153 16 3" xfId="8470"/>
    <cellStyle name="Porcentual 153 17" xfId="1964"/>
    <cellStyle name="Porcentual 153 17 2" xfId="5798"/>
    <cellStyle name="Porcentual 153 17 3" xfId="8471"/>
    <cellStyle name="Porcentual 153 18" xfId="1965"/>
    <cellStyle name="Porcentual 153 18 2" xfId="5799"/>
    <cellStyle name="Porcentual 153 18 3" xfId="8472"/>
    <cellStyle name="Porcentual 153 19" xfId="1966"/>
    <cellStyle name="Porcentual 153 19 2" xfId="5800"/>
    <cellStyle name="Porcentual 153 19 3" xfId="8473"/>
    <cellStyle name="Porcentual 153 2" xfId="1967"/>
    <cellStyle name="Porcentual 153 2 2" xfId="5801"/>
    <cellStyle name="Porcentual 153 2 3" xfId="8474"/>
    <cellStyle name="Porcentual 153 20" xfId="1968"/>
    <cellStyle name="Porcentual 153 20 2" xfId="5802"/>
    <cellStyle name="Porcentual 153 20 3" xfId="8475"/>
    <cellStyle name="Porcentual 153 21" xfId="1969"/>
    <cellStyle name="Porcentual 153 21 2" xfId="5803"/>
    <cellStyle name="Porcentual 153 21 3" xfId="8476"/>
    <cellStyle name="Porcentual 153 22" xfId="1970"/>
    <cellStyle name="Porcentual 153 22 2" xfId="5804"/>
    <cellStyle name="Porcentual 153 22 3" xfId="8477"/>
    <cellStyle name="Porcentual 153 23" xfId="1971"/>
    <cellStyle name="Porcentual 153 23 2" xfId="5805"/>
    <cellStyle name="Porcentual 153 23 3" xfId="8478"/>
    <cellStyle name="Porcentual 153 24" xfId="1972"/>
    <cellStyle name="Porcentual 153 24 2" xfId="5806"/>
    <cellStyle name="Porcentual 153 24 3" xfId="8479"/>
    <cellStyle name="Porcentual 153 25" xfId="1973"/>
    <cellStyle name="Porcentual 153 25 2" xfId="5807"/>
    <cellStyle name="Porcentual 153 25 3" xfId="8480"/>
    <cellStyle name="Porcentual 153 26" xfId="1974"/>
    <cellStyle name="Porcentual 153 26 2" xfId="5808"/>
    <cellStyle name="Porcentual 153 26 3" xfId="8481"/>
    <cellStyle name="Porcentual 153 27" xfId="1975"/>
    <cellStyle name="Porcentual 153 27 2" xfId="5809"/>
    <cellStyle name="Porcentual 153 27 3" xfId="8482"/>
    <cellStyle name="Porcentual 153 28" xfId="1976"/>
    <cellStyle name="Porcentual 153 28 2" xfId="5810"/>
    <cellStyle name="Porcentual 153 28 3" xfId="8483"/>
    <cellStyle name="Porcentual 153 3" xfId="1977"/>
    <cellStyle name="Porcentual 153 3 2" xfId="5811"/>
    <cellStyle name="Porcentual 153 3 3" xfId="8484"/>
    <cellStyle name="Porcentual 153 4" xfId="1978"/>
    <cellStyle name="Porcentual 153 4 2" xfId="5812"/>
    <cellStyle name="Porcentual 153 4 3" xfId="8485"/>
    <cellStyle name="Porcentual 153 5" xfId="1979"/>
    <cellStyle name="Porcentual 153 5 2" xfId="5813"/>
    <cellStyle name="Porcentual 153 5 3" xfId="8486"/>
    <cellStyle name="Porcentual 153 6" xfId="1980"/>
    <cellStyle name="Porcentual 153 6 2" xfId="5814"/>
    <cellStyle name="Porcentual 153 6 3" xfId="8487"/>
    <cellStyle name="Porcentual 153 7" xfId="1981"/>
    <cellStyle name="Porcentual 153 7 2" xfId="5815"/>
    <cellStyle name="Porcentual 153 7 3" xfId="8488"/>
    <cellStyle name="Porcentual 153 8" xfId="1982"/>
    <cellStyle name="Porcentual 153 8 2" xfId="5816"/>
    <cellStyle name="Porcentual 153 8 3" xfId="8489"/>
    <cellStyle name="Porcentual 153 9" xfId="1983"/>
    <cellStyle name="Porcentual 153 9 2" xfId="5817"/>
    <cellStyle name="Porcentual 153 9 3" xfId="8490"/>
    <cellStyle name="Porcentual 154 10" xfId="1984"/>
    <cellStyle name="Porcentual 154 10 2" xfId="5818"/>
    <cellStyle name="Porcentual 154 10 3" xfId="8491"/>
    <cellStyle name="Porcentual 154 11" xfId="1985"/>
    <cellStyle name="Porcentual 154 11 2" xfId="5819"/>
    <cellStyle name="Porcentual 154 11 3" xfId="8492"/>
    <cellStyle name="Porcentual 154 12" xfId="1986"/>
    <cellStyle name="Porcentual 154 12 2" xfId="5820"/>
    <cellStyle name="Porcentual 154 12 3" xfId="8493"/>
    <cellStyle name="Porcentual 154 13" xfId="1987"/>
    <cellStyle name="Porcentual 154 13 2" xfId="5821"/>
    <cellStyle name="Porcentual 154 13 3" xfId="8494"/>
    <cellStyle name="Porcentual 154 14" xfId="1988"/>
    <cellStyle name="Porcentual 154 14 2" xfId="5822"/>
    <cellStyle name="Porcentual 154 14 3" xfId="8495"/>
    <cellStyle name="Porcentual 154 15" xfId="1989"/>
    <cellStyle name="Porcentual 154 15 2" xfId="5823"/>
    <cellStyle name="Porcentual 154 15 3" xfId="8496"/>
    <cellStyle name="Porcentual 154 16" xfId="1990"/>
    <cellStyle name="Porcentual 154 16 2" xfId="5824"/>
    <cellStyle name="Porcentual 154 16 3" xfId="8497"/>
    <cellStyle name="Porcentual 154 17" xfId="1991"/>
    <cellStyle name="Porcentual 154 17 2" xfId="5825"/>
    <cellStyle name="Porcentual 154 17 3" xfId="8498"/>
    <cellStyle name="Porcentual 154 18" xfId="1992"/>
    <cellStyle name="Porcentual 154 18 2" xfId="5826"/>
    <cellStyle name="Porcentual 154 18 3" xfId="8499"/>
    <cellStyle name="Porcentual 154 19" xfId="1993"/>
    <cellStyle name="Porcentual 154 19 2" xfId="5827"/>
    <cellStyle name="Porcentual 154 19 3" xfId="8500"/>
    <cellStyle name="Porcentual 154 2" xfId="1994"/>
    <cellStyle name="Porcentual 154 2 2" xfId="5828"/>
    <cellStyle name="Porcentual 154 2 3" xfId="8501"/>
    <cellStyle name="Porcentual 154 20" xfId="1995"/>
    <cellStyle name="Porcentual 154 20 2" xfId="5829"/>
    <cellStyle name="Porcentual 154 20 3" xfId="8502"/>
    <cellStyle name="Porcentual 154 21" xfId="1996"/>
    <cellStyle name="Porcentual 154 21 2" xfId="5830"/>
    <cellStyle name="Porcentual 154 21 3" xfId="8503"/>
    <cellStyle name="Porcentual 154 22" xfId="1997"/>
    <cellStyle name="Porcentual 154 22 2" xfId="5831"/>
    <cellStyle name="Porcentual 154 22 3" xfId="8504"/>
    <cellStyle name="Porcentual 154 23" xfId="1998"/>
    <cellStyle name="Porcentual 154 23 2" xfId="5832"/>
    <cellStyle name="Porcentual 154 23 3" xfId="8505"/>
    <cellStyle name="Porcentual 154 24" xfId="1999"/>
    <cellStyle name="Porcentual 154 24 2" xfId="5833"/>
    <cellStyle name="Porcentual 154 24 3" xfId="8506"/>
    <cellStyle name="Porcentual 154 25" xfId="2000"/>
    <cellStyle name="Porcentual 154 25 2" xfId="5834"/>
    <cellStyle name="Porcentual 154 25 3" xfId="8507"/>
    <cellStyle name="Porcentual 154 26" xfId="2001"/>
    <cellStyle name="Porcentual 154 26 2" xfId="5835"/>
    <cellStyle name="Porcentual 154 26 3" xfId="8508"/>
    <cellStyle name="Porcentual 154 27" xfId="2002"/>
    <cellStyle name="Porcentual 154 27 2" xfId="5836"/>
    <cellStyle name="Porcentual 154 27 3" xfId="8509"/>
    <cellStyle name="Porcentual 154 28" xfId="2003"/>
    <cellStyle name="Porcentual 154 28 2" xfId="5837"/>
    <cellStyle name="Porcentual 154 28 3" xfId="8510"/>
    <cellStyle name="Porcentual 154 3" xfId="2004"/>
    <cellStyle name="Porcentual 154 3 2" xfId="5838"/>
    <cellStyle name="Porcentual 154 3 3" xfId="8511"/>
    <cellStyle name="Porcentual 154 4" xfId="2005"/>
    <cellStyle name="Porcentual 154 4 2" xfId="5839"/>
    <cellStyle name="Porcentual 154 4 3" xfId="8512"/>
    <cellStyle name="Porcentual 154 5" xfId="2006"/>
    <cellStyle name="Porcentual 154 5 2" xfId="5840"/>
    <cellStyle name="Porcentual 154 5 3" xfId="8513"/>
    <cellStyle name="Porcentual 154 6" xfId="2007"/>
    <cellStyle name="Porcentual 154 6 2" xfId="5841"/>
    <cellStyle name="Porcentual 154 6 3" xfId="8514"/>
    <cellStyle name="Porcentual 154 7" xfId="2008"/>
    <cellStyle name="Porcentual 154 7 2" xfId="5842"/>
    <cellStyle name="Porcentual 154 7 3" xfId="8515"/>
    <cellStyle name="Porcentual 154 8" xfId="2009"/>
    <cellStyle name="Porcentual 154 8 2" xfId="5843"/>
    <cellStyle name="Porcentual 154 8 3" xfId="8516"/>
    <cellStyle name="Porcentual 154 9" xfId="2010"/>
    <cellStyle name="Porcentual 154 9 2" xfId="5844"/>
    <cellStyle name="Porcentual 154 9 3" xfId="8517"/>
    <cellStyle name="Porcentual 155 10" xfId="2011"/>
    <cellStyle name="Porcentual 155 10 2" xfId="5845"/>
    <cellStyle name="Porcentual 155 10 3" xfId="8518"/>
    <cellStyle name="Porcentual 155 11" xfId="2012"/>
    <cellStyle name="Porcentual 155 11 2" xfId="5846"/>
    <cellStyle name="Porcentual 155 11 3" xfId="8519"/>
    <cellStyle name="Porcentual 155 12" xfId="2013"/>
    <cellStyle name="Porcentual 155 12 2" xfId="5847"/>
    <cellStyle name="Porcentual 155 12 3" xfId="8520"/>
    <cellStyle name="Porcentual 155 13" xfId="2014"/>
    <cellStyle name="Porcentual 155 13 2" xfId="5848"/>
    <cellStyle name="Porcentual 155 13 3" xfId="8521"/>
    <cellStyle name="Porcentual 155 14" xfId="2015"/>
    <cellStyle name="Porcentual 155 14 2" xfId="5849"/>
    <cellStyle name="Porcentual 155 14 3" xfId="8522"/>
    <cellStyle name="Porcentual 155 15" xfId="2016"/>
    <cellStyle name="Porcentual 155 15 2" xfId="5850"/>
    <cellStyle name="Porcentual 155 15 3" xfId="8523"/>
    <cellStyle name="Porcentual 155 16" xfId="2017"/>
    <cellStyle name="Porcentual 155 16 2" xfId="5851"/>
    <cellStyle name="Porcentual 155 16 3" xfId="8524"/>
    <cellStyle name="Porcentual 155 17" xfId="2018"/>
    <cellStyle name="Porcentual 155 17 2" xfId="5852"/>
    <cellStyle name="Porcentual 155 17 3" xfId="8525"/>
    <cellStyle name="Porcentual 155 18" xfId="2019"/>
    <cellStyle name="Porcentual 155 18 2" xfId="5853"/>
    <cellStyle name="Porcentual 155 18 3" xfId="8526"/>
    <cellStyle name="Porcentual 155 19" xfId="2020"/>
    <cellStyle name="Porcentual 155 19 2" xfId="5854"/>
    <cellStyle name="Porcentual 155 19 3" xfId="8527"/>
    <cellStyle name="Porcentual 155 2" xfId="2021"/>
    <cellStyle name="Porcentual 155 2 2" xfId="5855"/>
    <cellStyle name="Porcentual 155 2 3" xfId="8528"/>
    <cellStyle name="Porcentual 155 20" xfId="2022"/>
    <cellStyle name="Porcentual 155 20 2" xfId="5856"/>
    <cellStyle name="Porcentual 155 20 3" xfId="8529"/>
    <cellStyle name="Porcentual 155 21" xfId="2023"/>
    <cellStyle name="Porcentual 155 21 2" xfId="5857"/>
    <cellStyle name="Porcentual 155 21 3" xfId="8530"/>
    <cellStyle name="Porcentual 155 22" xfId="2024"/>
    <cellStyle name="Porcentual 155 22 2" xfId="5858"/>
    <cellStyle name="Porcentual 155 22 3" xfId="8531"/>
    <cellStyle name="Porcentual 155 23" xfId="2025"/>
    <cellStyle name="Porcentual 155 23 2" xfId="5859"/>
    <cellStyle name="Porcentual 155 23 3" xfId="8532"/>
    <cellStyle name="Porcentual 155 24" xfId="2026"/>
    <cellStyle name="Porcentual 155 24 2" xfId="5860"/>
    <cellStyle name="Porcentual 155 24 3" xfId="8533"/>
    <cellStyle name="Porcentual 155 25" xfId="2027"/>
    <cellStyle name="Porcentual 155 25 2" xfId="5861"/>
    <cellStyle name="Porcentual 155 25 3" xfId="8534"/>
    <cellStyle name="Porcentual 155 26" xfId="2028"/>
    <cellStyle name="Porcentual 155 26 2" xfId="5862"/>
    <cellStyle name="Porcentual 155 26 3" xfId="8535"/>
    <cellStyle name="Porcentual 155 27" xfId="2029"/>
    <cellStyle name="Porcentual 155 27 2" xfId="5863"/>
    <cellStyle name="Porcentual 155 27 3" xfId="8536"/>
    <cellStyle name="Porcentual 155 28" xfId="2030"/>
    <cellStyle name="Porcentual 155 28 2" xfId="5864"/>
    <cellStyle name="Porcentual 155 28 3" xfId="8537"/>
    <cellStyle name="Porcentual 155 3" xfId="2031"/>
    <cellStyle name="Porcentual 155 3 2" xfId="5865"/>
    <cellStyle name="Porcentual 155 3 3" xfId="8538"/>
    <cellStyle name="Porcentual 155 4" xfId="2032"/>
    <cellStyle name="Porcentual 155 4 2" xfId="5866"/>
    <cellStyle name="Porcentual 155 4 3" xfId="8539"/>
    <cellStyle name="Porcentual 155 5" xfId="2033"/>
    <cellStyle name="Porcentual 155 5 2" xfId="5867"/>
    <cellStyle name="Porcentual 155 5 3" xfId="8540"/>
    <cellStyle name="Porcentual 155 6" xfId="2034"/>
    <cellStyle name="Porcentual 155 6 2" xfId="5868"/>
    <cellStyle name="Porcentual 155 6 3" xfId="8541"/>
    <cellStyle name="Porcentual 155 7" xfId="2035"/>
    <cellStyle name="Porcentual 155 7 2" xfId="5869"/>
    <cellStyle name="Porcentual 155 7 3" xfId="8542"/>
    <cellStyle name="Porcentual 155 8" xfId="2036"/>
    <cellStyle name="Porcentual 155 8 2" xfId="5870"/>
    <cellStyle name="Porcentual 155 8 3" xfId="8543"/>
    <cellStyle name="Porcentual 155 9" xfId="2037"/>
    <cellStyle name="Porcentual 155 9 2" xfId="5871"/>
    <cellStyle name="Porcentual 155 9 3" xfId="8544"/>
    <cellStyle name="Porcentual 156 10" xfId="2038"/>
    <cellStyle name="Porcentual 156 10 2" xfId="5872"/>
    <cellStyle name="Porcentual 156 10 3" xfId="8545"/>
    <cellStyle name="Porcentual 156 11" xfId="2039"/>
    <cellStyle name="Porcentual 156 11 2" xfId="5873"/>
    <cellStyle name="Porcentual 156 11 3" xfId="8546"/>
    <cellStyle name="Porcentual 156 12" xfId="2040"/>
    <cellStyle name="Porcentual 156 12 2" xfId="5874"/>
    <cellStyle name="Porcentual 156 12 3" xfId="8547"/>
    <cellStyle name="Porcentual 156 13" xfId="2041"/>
    <cellStyle name="Porcentual 156 13 2" xfId="5875"/>
    <cellStyle name="Porcentual 156 13 3" xfId="8548"/>
    <cellStyle name="Porcentual 156 14" xfId="2042"/>
    <cellStyle name="Porcentual 156 14 2" xfId="5876"/>
    <cellStyle name="Porcentual 156 14 3" xfId="8549"/>
    <cellStyle name="Porcentual 156 15" xfId="2043"/>
    <cellStyle name="Porcentual 156 15 2" xfId="5877"/>
    <cellStyle name="Porcentual 156 15 3" xfId="8550"/>
    <cellStyle name="Porcentual 156 16" xfId="2044"/>
    <cellStyle name="Porcentual 156 16 2" xfId="5878"/>
    <cellStyle name="Porcentual 156 16 3" xfId="8551"/>
    <cellStyle name="Porcentual 156 17" xfId="2045"/>
    <cellStyle name="Porcentual 156 17 2" xfId="5879"/>
    <cellStyle name="Porcentual 156 17 3" xfId="8552"/>
    <cellStyle name="Porcentual 156 18" xfId="2046"/>
    <cellStyle name="Porcentual 156 18 2" xfId="5880"/>
    <cellStyle name="Porcentual 156 18 3" xfId="8553"/>
    <cellStyle name="Porcentual 156 19" xfId="2047"/>
    <cellStyle name="Porcentual 156 19 2" xfId="5881"/>
    <cellStyle name="Porcentual 156 19 3" xfId="8554"/>
    <cellStyle name="Porcentual 156 2" xfId="2048"/>
    <cellStyle name="Porcentual 156 2 2" xfId="5882"/>
    <cellStyle name="Porcentual 156 2 3" xfId="8555"/>
    <cellStyle name="Porcentual 156 20" xfId="2049"/>
    <cellStyle name="Porcentual 156 20 2" xfId="5883"/>
    <cellStyle name="Porcentual 156 20 3" xfId="8556"/>
    <cellStyle name="Porcentual 156 21" xfId="2050"/>
    <cellStyle name="Porcentual 156 21 2" xfId="5884"/>
    <cellStyle name="Porcentual 156 21 3" xfId="8557"/>
    <cellStyle name="Porcentual 156 22" xfId="2051"/>
    <cellStyle name="Porcentual 156 22 2" xfId="5885"/>
    <cellStyle name="Porcentual 156 22 3" xfId="8558"/>
    <cellStyle name="Porcentual 156 23" xfId="2052"/>
    <cellStyle name="Porcentual 156 23 2" xfId="5886"/>
    <cellStyle name="Porcentual 156 23 3" xfId="8559"/>
    <cellStyle name="Porcentual 156 24" xfId="2053"/>
    <cellStyle name="Porcentual 156 24 2" xfId="5887"/>
    <cellStyle name="Porcentual 156 24 3" xfId="8560"/>
    <cellStyle name="Porcentual 156 25" xfId="2054"/>
    <cellStyle name="Porcentual 156 25 2" xfId="5888"/>
    <cellStyle name="Porcentual 156 25 3" xfId="8561"/>
    <cellStyle name="Porcentual 156 26" xfId="2055"/>
    <cellStyle name="Porcentual 156 26 2" xfId="5889"/>
    <cellStyle name="Porcentual 156 26 3" xfId="8562"/>
    <cellStyle name="Porcentual 156 27" xfId="2056"/>
    <cellStyle name="Porcentual 156 27 2" xfId="5890"/>
    <cellStyle name="Porcentual 156 27 3" xfId="8563"/>
    <cellStyle name="Porcentual 156 28" xfId="2057"/>
    <cellStyle name="Porcentual 156 28 2" xfId="5891"/>
    <cellStyle name="Porcentual 156 28 3" xfId="8564"/>
    <cellStyle name="Porcentual 156 3" xfId="2058"/>
    <cellStyle name="Porcentual 156 3 2" xfId="5892"/>
    <cellStyle name="Porcentual 156 3 3" xfId="8565"/>
    <cellStyle name="Porcentual 156 4" xfId="2059"/>
    <cellStyle name="Porcentual 156 4 2" xfId="5893"/>
    <cellStyle name="Porcentual 156 4 3" xfId="8566"/>
    <cellStyle name="Porcentual 156 5" xfId="2060"/>
    <cellStyle name="Porcentual 156 5 2" xfId="5894"/>
    <cellStyle name="Porcentual 156 5 3" xfId="8567"/>
    <cellStyle name="Porcentual 156 6" xfId="2061"/>
    <cellStyle name="Porcentual 156 6 2" xfId="5895"/>
    <cellStyle name="Porcentual 156 6 3" xfId="8568"/>
    <cellStyle name="Porcentual 156 7" xfId="2062"/>
    <cellStyle name="Porcentual 156 7 2" xfId="5896"/>
    <cellStyle name="Porcentual 156 7 3" xfId="8569"/>
    <cellStyle name="Porcentual 156 8" xfId="2063"/>
    <cellStyle name="Porcentual 156 8 2" xfId="5897"/>
    <cellStyle name="Porcentual 156 8 3" xfId="8570"/>
    <cellStyle name="Porcentual 156 9" xfId="2064"/>
    <cellStyle name="Porcentual 156 9 2" xfId="5898"/>
    <cellStyle name="Porcentual 156 9 3" xfId="8571"/>
    <cellStyle name="Porcentual 157 10" xfId="2065"/>
    <cellStyle name="Porcentual 157 10 2" xfId="5899"/>
    <cellStyle name="Porcentual 157 10 3" xfId="8572"/>
    <cellStyle name="Porcentual 157 11" xfId="2066"/>
    <cellStyle name="Porcentual 157 11 2" xfId="5900"/>
    <cellStyle name="Porcentual 157 11 3" xfId="8573"/>
    <cellStyle name="Porcentual 157 12" xfId="2067"/>
    <cellStyle name="Porcentual 157 12 2" xfId="5901"/>
    <cellStyle name="Porcentual 157 12 3" xfId="8574"/>
    <cellStyle name="Porcentual 157 13" xfId="2068"/>
    <cellStyle name="Porcentual 157 13 2" xfId="5902"/>
    <cellStyle name="Porcentual 157 13 3" xfId="8575"/>
    <cellStyle name="Porcentual 157 14" xfId="2069"/>
    <cellStyle name="Porcentual 157 14 2" xfId="5903"/>
    <cellStyle name="Porcentual 157 14 3" xfId="8576"/>
    <cellStyle name="Porcentual 157 15" xfId="2070"/>
    <cellStyle name="Porcentual 157 15 2" xfId="5904"/>
    <cellStyle name="Porcentual 157 15 3" xfId="8577"/>
    <cellStyle name="Porcentual 157 16" xfId="2071"/>
    <cellStyle name="Porcentual 157 16 2" xfId="5905"/>
    <cellStyle name="Porcentual 157 16 3" xfId="8578"/>
    <cellStyle name="Porcentual 157 17" xfId="2072"/>
    <cellStyle name="Porcentual 157 17 2" xfId="5906"/>
    <cellStyle name="Porcentual 157 17 3" xfId="8579"/>
    <cellStyle name="Porcentual 157 18" xfId="2073"/>
    <cellStyle name="Porcentual 157 18 2" xfId="5907"/>
    <cellStyle name="Porcentual 157 18 3" xfId="8580"/>
    <cellStyle name="Porcentual 157 19" xfId="2074"/>
    <cellStyle name="Porcentual 157 19 2" xfId="5908"/>
    <cellStyle name="Porcentual 157 19 3" xfId="8581"/>
    <cellStyle name="Porcentual 157 2" xfId="2075"/>
    <cellStyle name="Porcentual 157 2 2" xfId="5909"/>
    <cellStyle name="Porcentual 157 2 3" xfId="8582"/>
    <cellStyle name="Porcentual 157 20" xfId="2076"/>
    <cellStyle name="Porcentual 157 20 2" xfId="5910"/>
    <cellStyle name="Porcentual 157 20 3" xfId="8583"/>
    <cellStyle name="Porcentual 157 21" xfId="2077"/>
    <cellStyle name="Porcentual 157 21 2" xfId="5911"/>
    <cellStyle name="Porcentual 157 21 3" xfId="8584"/>
    <cellStyle name="Porcentual 157 22" xfId="2078"/>
    <cellStyle name="Porcentual 157 22 2" xfId="5912"/>
    <cellStyle name="Porcentual 157 22 3" xfId="8585"/>
    <cellStyle name="Porcentual 157 23" xfId="2079"/>
    <cellStyle name="Porcentual 157 23 2" xfId="5913"/>
    <cellStyle name="Porcentual 157 23 3" xfId="8586"/>
    <cellStyle name="Porcentual 157 24" xfId="2080"/>
    <cellStyle name="Porcentual 157 24 2" xfId="5914"/>
    <cellStyle name="Porcentual 157 24 3" xfId="8587"/>
    <cellStyle name="Porcentual 157 25" xfId="2081"/>
    <cellStyle name="Porcentual 157 25 2" xfId="5915"/>
    <cellStyle name="Porcentual 157 25 3" xfId="8588"/>
    <cellStyle name="Porcentual 157 26" xfId="2082"/>
    <cellStyle name="Porcentual 157 26 2" xfId="5916"/>
    <cellStyle name="Porcentual 157 26 3" xfId="8589"/>
    <cellStyle name="Porcentual 157 27" xfId="2083"/>
    <cellStyle name="Porcentual 157 27 2" xfId="5917"/>
    <cellStyle name="Porcentual 157 27 3" xfId="8590"/>
    <cellStyle name="Porcentual 157 28" xfId="2084"/>
    <cellStyle name="Porcentual 157 28 2" xfId="5918"/>
    <cellStyle name="Porcentual 157 28 3" xfId="8591"/>
    <cellStyle name="Porcentual 157 3" xfId="2085"/>
    <cellStyle name="Porcentual 157 3 2" xfId="5919"/>
    <cellStyle name="Porcentual 157 3 3" xfId="8592"/>
    <cellStyle name="Porcentual 157 4" xfId="2086"/>
    <cellStyle name="Porcentual 157 4 2" xfId="5920"/>
    <cellStyle name="Porcentual 157 4 3" xfId="8593"/>
    <cellStyle name="Porcentual 157 5" xfId="2087"/>
    <cellStyle name="Porcentual 157 5 2" xfId="5921"/>
    <cellStyle name="Porcentual 157 5 3" xfId="8594"/>
    <cellStyle name="Porcentual 157 6" xfId="2088"/>
    <cellStyle name="Porcentual 157 6 2" xfId="5922"/>
    <cellStyle name="Porcentual 157 6 3" xfId="8595"/>
    <cellStyle name="Porcentual 157 7" xfId="2089"/>
    <cellStyle name="Porcentual 157 7 2" xfId="5923"/>
    <cellStyle name="Porcentual 157 7 3" xfId="8596"/>
    <cellStyle name="Porcentual 157 8" xfId="2090"/>
    <cellStyle name="Porcentual 157 8 2" xfId="5924"/>
    <cellStyle name="Porcentual 157 8 3" xfId="8597"/>
    <cellStyle name="Porcentual 157 9" xfId="2091"/>
    <cellStyle name="Porcentual 157 9 2" xfId="5925"/>
    <cellStyle name="Porcentual 157 9 3" xfId="8598"/>
    <cellStyle name="Porcentual 16" xfId="2092"/>
    <cellStyle name="Porcentual 16 10" xfId="2093"/>
    <cellStyle name="Porcentual 16 10 2" xfId="5926"/>
    <cellStyle name="Porcentual 16 10 3" xfId="8600"/>
    <cellStyle name="Porcentual 16 11" xfId="2094"/>
    <cellStyle name="Porcentual 16 11 2" xfId="5927"/>
    <cellStyle name="Porcentual 16 11 3" xfId="8601"/>
    <cellStyle name="Porcentual 16 12" xfId="2095"/>
    <cellStyle name="Porcentual 16 12 2" xfId="5928"/>
    <cellStyle name="Porcentual 16 12 3" xfId="8602"/>
    <cellStyle name="Porcentual 16 13" xfId="2096"/>
    <cellStyle name="Porcentual 16 13 2" xfId="5929"/>
    <cellStyle name="Porcentual 16 13 3" xfId="8603"/>
    <cellStyle name="Porcentual 16 14" xfId="2097"/>
    <cellStyle name="Porcentual 16 14 2" xfId="5930"/>
    <cellStyle name="Porcentual 16 14 3" xfId="8604"/>
    <cellStyle name="Porcentual 16 15" xfId="2098"/>
    <cellStyle name="Porcentual 16 15 2" xfId="5931"/>
    <cellStyle name="Porcentual 16 15 3" xfId="8605"/>
    <cellStyle name="Porcentual 16 16" xfId="2099"/>
    <cellStyle name="Porcentual 16 16 2" xfId="5932"/>
    <cellStyle name="Porcentual 16 16 3" xfId="8606"/>
    <cellStyle name="Porcentual 16 17" xfId="2100"/>
    <cellStyle name="Porcentual 16 17 2" xfId="5933"/>
    <cellStyle name="Porcentual 16 17 3" xfId="8607"/>
    <cellStyle name="Porcentual 16 18" xfId="2101"/>
    <cellStyle name="Porcentual 16 18 2" xfId="5934"/>
    <cellStyle name="Porcentual 16 18 3" xfId="8608"/>
    <cellStyle name="Porcentual 16 19" xfId="2102"/>
    <cellStyle name="Porcentual 16 19 2" xfId="5935"/>
    <cellStyle name="Porcentual 16 19 3" xfId="8609"/>
    <cellStyle name="Porcentual 16 2" xfId="2103"/>
    <cellStyle name="Porcentual 16 2 2" xfId="5936"/>
    <cellStyle name="Porcentual 16 2 3" xfId="8610"/>
    <cellStyle name="Porcentual 16 20" xfId="2104"/>
    <cellStyle name="Porcentual 16 20 2" xfId="5937"/>
    <cellStyle name="Porcentual 16 20 3" xfId="8611"/>
    <cellStyle name="Porcentual 16 21" xfId="2105"/>
    <cellStyle name="Porcentual 16 21 2" xfId="5938"/>
    <cellStyle name="Porcentual 16 21 3" xfId="8612"/>
    <cellStyle name="Porcentual 16 22" xfId="2106"/>
    <cellStyle name="Porcentual 16 22 2" xfId="5939"/>
    <cellStyle name="Porcentual 16 22 3" xfId="8613"/>
    <cellStyle name="Porcentual 16 23" xfId="2107"/>
    <cellStyle name="Porcentual 16 23 2" xfId="5940"/>
    <cellStyle name="Porcentual 16 23 3" xfId="8614"/>
    <cellStyle name="Porcentual 16 24" xfId="2108"/>
    <cellStyle name="Porcentual 16 24 2" xfId="5941"/>
    <cellStyle name="Porcentual 16 24 3" xfId="8615"/>
    <cellStyle name="Porcentual 16 25" xfId="2109"/>
    <cellStyle name="Porcentual 16 25 2" xfId="5942"/>
    <cellStyle name="Porcentual 16 25 3" xfId="8616"/>
    <cellStyle name="Porcentual 16 26" xfId="2110"/>
    <cellStyle name="Porcentual 16 26 2" xfId="5943"/>
    <cellStyle name="Porcentual 16 26 3" xfId="8617"/>
    <cellStyle name="Porcentual 16 27" xfId="2111"/>
    <cellStyle name="Porcentual 16 27 2" xfId="5944"/>
    <cellStyle name="Porcentual 16 27 3" xfId="8618"/>
    <cellStyle name="Porcentual 16 28" xfId="2112"/>
    <cellStyle name="Porcentual 16 28 2" xfId="5945"/>
    <cellStyle name="Porcentual 16 28 3" xfId="8619"/>
    <cellStyle name="Porcentual 16 29" xfId="5946"/>
    <cellStyle name="Porcentual 16 3" xfId="2113"/>
    <cellStyle name="Porcentual 16 3 2" xfId="5947"/>
    <cellStyle name="Porcentual 16 3 3" xfId="8620"/>
    <cellStyle name="Porcentual 16 30" xfId="8599"/>
    <cellStyle name="Porcentual 16 4" xfId="2114"/>
    <cellStyle name="Porcentual 16 4 2" xfId="5948"/>
    <cellStyle name="Porcentual 16 4 3" xfId="8621"/>
    <cellStyle name="Porcentual 16 5" xfId="2115"/>
    <cellStyle name="Porcentual 16 5 2" xfId="5949"/>
    <cellStyle name="Porcentual 16 5 3" xfId="8622"/>
    <cellStyle name="Porcentual 16 6" xfId="2116"/>
    <cellStyle name="Porcentual 16 6 2" xfId="5950"/>
    <cellStyle name="Porcentual 16 6 3" xfId="8623"/>
    <cellStyle name="Porcentual 16 7" xfId="2117"/>
    <cellStyle name="Porcentual 16 7 2" xfId="5951"/>
    <cellStyle name="Porcentual 16 7 3" xfId="8624"/>
    <cellStyle name="Porcentual 16 8" xfId="2118"/>
    <cellStyle name="Porcentual 16 8 2" xfId="5952"/>
    <cellStyle name="Porcentual 16 8 3" xfId="8625"/>
    <cellStyle name="Porcentual 16 9" xfId="2119"/>
    <cellStyle name="Porcentual 16 9 2" xfId="5953"/>
    <cellStyle name="Porcentual 16 9 3" xfId="8626"/>
    <cellStyle name="Porcentual 17" xfId="2120"/>
    <cellStyle name="Porcentual 17 10" xfId="2121"/>
    <cellStyle name="Porcentual 17 10 2" xfId="5954"/>
    <cellStyle name="Porcentual 17 10 3" xfId="8628"/>
    <cellStyle name="Porcentual 17 11" xfId="2122"/>
    <cellStyle name="Porcentual 17 11 2" xfId="5955"/>
    <cellStyle name="Porcentual 17 11 3" xfId="8629"/>
    <cellStyle name="Porcentual 17 12" xfId="2123"/>
    <cellStyle name="Porcentual 17 12 2" xfId="5956"/>
    <cellStyle name="Porcentual 17 12 3" xfId="8630"/>
    <cellStyle name="Porcentual 17 13" xfId="2124"/>
    <cellStyle name="Porcentual 17 13 2" xfId="5957"/>
    <cellStyle name="Porcentual 17 13 3" xfId="8631"/>
    <cellStyle name="Porcentual 17 14" xfId="2125"/>
    <cellStyle name="Porcentual 17 14 2" xfId="5958"/>
    <cellStyle name="Porcentual 17 14 3" xfId="8632"/>
    <cellStyle name="Porcentual 17 15" xfId="2126"/>
    <cellStyle name="Porcentual 17 15 2" xfId="5959"/>
    <cellStyle name="Porcentual 17 15 3" xfId="8633"/>
    <cellStyle name="Porcentual 17 16" xfId="2127"/>
    <cellStyle name="Porcentual 17 16 2" xfId="5960"/>
    <cellStyle name="Porcentual 17 16 3" xfId="8634"/>
    <cellStyle name="Porcentual 17 17" xfId="2128"/>
    <cellStyle name="Porcentual 17 17 2" xfId="5961"/>
    <cellStyle name="Porcentual 17 17 3" xfId="8635"/>
    <cellStyle name="Porcentual 17 18" xfId="2129"/>
    <cellStyle name="Porcentual 17 18 2" xfId="5962"/>
    <cellStyle name="Porcentual 17 18 3" xfId="8636"/>
    <cellStyle name="Porcentual 17 19" xfId="2130"/>
    <cellStyle name="Porcentual 17 19 2" xfId="5963"/>
    <cellStyle name="Porcentual 17 19 3" xfId="8637"/>
    <cellStyle name="Porcentual 17 2" xfId="2131"/>
    <cellStyle name="Porcentual 17 2 2" xfId="5964"/>
    <cellStyle name="Porcentual 17 2 3" xfId="8638"/>
    <cellStyle name="Porcentual 17 20" xfId="2132"/>
    <cellStyle name="Porcentual 17 20 2" xfId="5965"/>
    <cellStyle name="Porcentual 17 20 3" xfId="8639"/>
    <cellStyle name="Porcentual 17 21" xfId="2133"/>
    <cellStyle name="Porcentual 17 21 2" xfId="5966"/>
    <cellStyle name="Porcentual 17 21 3" xfId="8640"/>
    <cellStyle name="Porcentual 17 22" xfId="2134"/>
    <cellStyle name="Porcentual 17 22 2" xfId="5967"/>
    <cellStyle name="Porcentual 17 22 3" xfId="8641"/>
    <cellStyle name="Porcentual 17 23" xfId="2135"/>
    <cellStyle name="Porcentual 17 23 2" xfId="5968"/>
    <cellStyle name="Porcentual 17 23 3" xfId="8642"/>
    <cellStyle name="Porcentual 17 24" xfId="2136"/>
    <cellStyle name="Porcentual 17 24 2" xfId="5969"/>
    <cellStyle name="Porcentual 17 24 3" xfId="8643"/>
    <cellStyle name="Porcentual 17 25" xfId="2137"/>
    <cellStyle name="Porcentual 17 25 2" xfId="5970"/>
    <cellStyle name="Porcentual 17 25 3" xfId="8644"/>
    <cellStyle name="Porcentual 17 26" xfId="2138"/>
    <cellStyle name="Porcentual 17 26 2" xfId="5971"/>
    <cellStyle name="Porcentual 17 26 3" xfId="8645"/>
    <cellStyle name="Porcentual 17 27" xfId="2139"/>
    <cellStyle name="Porcentual 17 27 2" xfId="5972"/>
    <cellStyle name="Porcentual 17 27 3" xfId="8646"/>
    <cellStyle name="Porcentual 17 28" xfId="2140"/>
    <cellStyle name="Porcentual 17 28 2" xfId="5973"/>
    <cellStyle name="Porcentual 17 28 3" xfId="8647"/>
    <cellStyle name="Porcentual 17 29" xfId="5974"/>
    <cellStyle name="Porcentual 17 3" xfId="2141"/>
    <cellStyle name="Porcentual 17 3 2" xfId="5975"/>
    <cellStyle name="Porcentual 17 3 3" xfId="8648"/>
    <cellStyle name="Porcentual 17 30" xfId="8627"/>
    <cellStyle name="Porcentual 17 4" xfId="2142"/>
    <cellStyle name="Porcentual 17 4 2" xfId="5976"/>
    <cellStyle name="Porcentual 17 4 3" xfId="8649"/>
    <cellStyle name="Porcentual 17 5" xfId="2143"/>
    <cellStyle name="Porcentual 17 5 2" xfId="5977"/>
    <cellStyle name="Porcentual 17 5 3" xfId="8650"/>
    <cellStyle name="Porcentual 17 6" xfId="2144"/>
    <cellStyle name="Porcentual 17 6 2" xfId="5978"/>
    <cellStyle name="Porcentual 17 6 3" xfId="8651"/>
    <cellStyle name="Porcentual 17 7" xfId="2145"/>
    <cellStyle name="Porcentual 17 7 2" xfId="5979"/>
    <cellStyle name="Porcentual 17 7 3" xfId="8652"/>
    <cellStyle name="Porcentual 17 8" xfId="2146"/>
    <cellStyle name="Porcentual 17 8 2" xfId="5980"/>
    <cellStyle name="Porcentual 17 8 3" xfId="8653"/>
    <cellStyle name="Porcentual 17 9" xfId="2147"/>
    <cellStyle name="Porcentual 17 9 2" xfId="5981"/>
    <cellStyle name="Porcentual 17 9 3" xfId="8654"/>
    <cellStyle name="Porcentual 18" xfId="2148"/>
    <cellStyle name="Porcentual 18 10" xfId="2149"/>
    <cellStyle name="Porcentual 18 10 2" xfId="5982"/>
    <cellStyle name="Porcentual 18 10 3" xfId="8656"/>
    <cellStyle name="Porcentual 18 11" xfId="2150"/>
    <cellStyle name="Porcentual 18 11 2" xfId="5983"/>
    <cellStyle name="Porcentual 18 11 3" xfId="8657"/>
    <cellStyle name="Porcentual 18 12" xfId="2151"/>
    <cellStyle name="Porcentual 18 12 2" xfId="5984"/>
    <cellStyle name="Porcentual 18 12 3" xfId="8658"/>
    <cellStyle name="Porcentual 18 13" xfId="2152"/>
    <cellStyle name="Porcentual 18 13 2" xfId="5985"/>
    <cellStyle name="Porcentual 18 13 3" xfId="8659"/>
    <cellStyle name="Porcentual 18 14" xfId="2153"/>
    <cellStyle name="Porcentual 18 14 2" xfId="5986"/>
    <cellStyle name="Porcentual 18 14 3" xfId="8660"/>
    <cellStyle name="Porcentual 18 15" xfId="2154"/>
    <cellStyle name="Porcentual 18 15 2" xfId="5987"/>
    <cellStyle name="Porcentual 18 15 3" xfId="8661"/>
    <cellStyle name="Porcentual 18 16" xfId="2155"/>
    <cellStyle name="Porcentual 18 16 2" xfId="5988"/>
    <cellStyle name="Porcentual 18 16 3" xfId="8662"/>
    <cellStyle name="Porcentual 18 17" xfId="2156"/>
    <cellStyle name="Porcentual 18 17 2" xfId="5989"/>
    <cellStyle name="Porcentual 18 17 3" xfId="8663"/>
    <cellStyle name="Porcentual 18 18" xfId="2157"/>
    <cellStyle name="Porcentual 18 18 2" xfId="5990"/>
    <cellStyle name="Porcentual 18 18 3" xfId="8664"/>
    <cellStyle name="Porcentual 18 19" xfId="2158"/>
    <cellStyle name="Porcentual 18 19 2" xfId="5991"/>
    <cellStyle name="Porcentual 18 19 3" xfId="8665"/>
    <cellStyle name="Porcentual 18 2" xfId="2159"/>
    <cellStyle name="Porcentual 18 2 2" xfId="5992"/>
    <cellStyle name="Porcentual 18 2 3" xfId="8666"/>
    <cellStyle name="Porcentual 18 20" xfId="2160"/>
    <cellStyle name="Porcentual 18 20 2" xfId="5993"/>
    <cellStyle name="Porcentual 18 20 3" xfId="8667"/>
    <cellStyle name="Porcentual 18 21" xfId="2161"/>
    <cellStyle name="Porcentual 18 21 2" xfId="5994"/>
    <cellStyle name="Porcentual 18 21 3" xfId="8668"/>
    <cellStyle name="Porcentual 18 22" xfId="2162"/>
    <cellStyle name="Porcentual 18 22 2" xfId="5995"/>
    <cellStyle name="Porcentual 18 22 3" xfId="8669"/>
    <cellStyle name="Porcentual 18 23" xfId="2163"/>
    <cellStyle name="Porcentual 18 23 2" xfId="5996"/>
    <cellStyle name="Porcentual 18 23 3" xfId="8670"/>
    <cellStyle name="Porcentual 18 24" xfId="2164"/>
    <cellStyle name="Porcentual 18 24 2" xfId="5997"/>
    <cellStyle name="Porcentual 18 24 3" xfId="8671"/>
    <cellStyle name="Porcentual 18 25" xfId="2165"/>
    <cellStyle name="Porcentual 18 25 2" xfId="5998"/>
    <cellStyle name="Porcentual 18 25 3" xfId="8672"/>
    <cellStyle name="Porcentual 18 26" xfId="2166"/>
    <cellStyle name="Porcentual 18 26 2" xfId="5999"/>
    <cellStyle name="Porcentual 18 26 3" xfId="8673"/>
    <cellStyle name="Porcentual 18 27" xfId="2167"/>
    <cellStyle name="Porcentual 18 27 2" xfId="6000"/>
    <cellStyle name="Porcentual 18 27 3" xfId="8674"/>
    <cellStyle name="Porcentual 18 28" xfId="2168"/>
    <cellStyle name="Porcentual 18 28 2" xfId="6001"/>
    <cellStyle name="Porcentual 18 28 3" xfId="8675"/>
    <cellStyle name="Porcentual 18 29" xfId="6002"/>
    <cellStyle name="Porcentual 18 3" xfId="2169"/>
    <cellStyle name="Porcentual 18 3 2" xfId="6003"/>
    <cellStyle name="Porcentual 18 3 3" xfId="8676"/>
    <cellStyle name="Porcentual 18 30" xfId="8655"/>
    <cellStyle name="Porcentual 18 4" xfId="2170"/>
    <cellStyle name="Porcentual 18 4 2" xfId="6004"/>
    <cellStyle name="Porcentual 18 4 3" xfId="8677"/>
    <cellStyle name="Porcentual 18 5" xfId="2171"/>
    <cellStyle name="Porcentual 18 5 2" xfId="6005"/>
    <cellStyle name="Porcentual 18 5 3" xfId="8678"/>
    <cellStyle name="Porcentual 18 6" xfId="2172"/>
    <cellStyle name="Porcentual 18 6 2" xfId="6006"/>
    <cellStyle name="Porcentual 18 6 3" xfId="8679"/>
    <cellStyle name="Porcentual 18 7" xfId="2173"/>
    <cellStyle name="Porcentual 18 7 2" xfId="6007"/>
    <cellStyle name="Porcentual 18 7 3" xfId="8680"/>
    <cellStyle name="Porcentual 18 8" xfId="2174"/>
    <cellStyle name="Porcentual 18 8 2" xfId="6008"/>
    <cellStyle name="Porcentual 18 8 3" xfId="8681"/>
    <cellStyle name="Porcentual 18 9" xfId="2175"/>
    <cellStyle name="Porcentual 18 9 2" xfId="6009"/>
    <cellStyle name="Porcentual 18 9 3" xfId="8682"/>
    <cellStyle name="Porcentual 19" xfId="2176"/>
    <cellStyle name="Porcentual 19 10" xfId="2177"/>
    <cellStyle name="Porcentual 19 10 2" xfId="6010"/>
    <cellStyle name="Porcentual 19 10 3" xfId="8684"/>
    <cellStyle name="Porcentual 19 11" xfId="2178"/>
    <cellStyle name="Porcentual 19 11 2" xfId="6011"/>
    <cellStyle name="Porcentual 19 11 3" xfId="8685"/>
    <cellStyle name="Porcentual 19 12" xfId="2179"/>
    <cellStyle name="Porcentual 19 12 2" xfId="6012"/>
    <cellStyle name="Porcentual 19 12 3" xfId="8686"/>
    <cellStyle name="Porcentual 19 13" xfId="2180"/>
    <cellStyle name="Porcentual 19 13 2" xfId="6013"/>
    <cellStyle name="Porcentual 19 13 3" xfId="8687"/>
    <cellStyle name="Porcentual 19 14" xfId="2181"/>
    <cellStyle name="Porcentual 19 14 2" xfId="6014"/>
    <cellStyle name="Porcentual 19 14 3" xfId="8688"/>
    <cellStyle name="Porcentual 19 15" xfId="2182"/>
    <cellStyle name="Porcentual 19 15 2" xfId="6015"/>
    <cellStyle name="Porcentual 19 15 3" xfId="8689"/>
    <cellStyle name="Porcentual 19 16" xfId="2183"/>
    <cellStyle name="Porcentual 19 16 2" xfId="6016"/>
    <cellStyle name="Porcentual 19 16 3" xfId="8690"/>
    <cellStyle name="Porcentual 19 17" xfId="2184"/>
    <cellStyle name="Porcentual 19 17 2" xfId="6017"/>
    <cellStyle name="Porcentual 19 17 3" xfId="8691"/>
    <cellStyle name="Porcentual 19 18" xfId="2185"/>
    <cellStyle name="Porcentual 19 18 2" xfId="6018"/>
    <cellStyle name="Porcentual 19 18 3" xfId="8692"/>
    <cellStyle name="Porcentual 19 19" xfId="2186"/>
    <cellStyle name="Porcentual 19 19 2" xfId="6019"/>
    <cellStyle name="Porcentual 19 19 3" xfId="8693"/>
    <cellStyle name="Porcentual 19 2" xfId="2187"/>
    <cellStyle name="Porcentual 19 2 2" xfId="6020"/>
    <cellStyle name="Porcentual 19 2 3" xfId="8694"/>
    <cellStyle name="Porcentual 19 20" xfId="2188"/>
    <cellStyle name="Porcentual 19 20 2" xfId="6021"/>
    <cellStyle name="Porcentual 19 20 3" xfId="8695"/>
    <cellStyle name="Porcentual 19 21" xfId="2189"/>
    <cellStyle name="Porcentual 19 21 2" xfId="6022"/>
    <cellStyle name="Porcentual 19 21 3" xfId="8696"/>
    <cellStyle name="Porcentual 19 22" xfId="2190"/>
    <cellStyle name="Porcentual 19 22 2" xfId="6023"/>
    <cellStyle name="Porcentual 19 22 3" xfId="8697"/>
    <cellStyle name="Porcentual 19 23" xfId="2191"/>
    <cellStyle name="Porcentual 19 23 2" xfId="6024"/>
    <cellStyle name="Porcentual 19 23 3" xfId="8698"/>
    <cellStyle name="Porcentual 19 24" xfId="2192"/>
    <cellStyle name="Porcentual 19 24 2" xfId="6025"/>
    <cellStyle name="Porcentual 19 24 3" xfId="8699"/>
    <cellStyle name="Porcentual 19 25" xfId="2193"/>
    <cellStyle name="Porcentual 19 25 2" xfId="6026"/>
    <cellStyle name="Porcentual 19 25 3" xfId="8700"/>
    <cellStyle name="Porcentual 19 26" xfId="2194"/>
    <cellStyle name="Porcentual 19 26 2" xfId="6027"/>
    <cellStyle name="Porcentual 19 26 3" xfId="8701"/>
    <cellStyle name="Porcentual 19 27" xfId="2195"/>
    <cellStyle name="Porcentual 19 27 2" xfId="6028"/>
    <cellStyle name="Porcentual 19 27 3" xfId="8702"/>
    <cellStyle name="Porcentual 19 28" xfId="2196"/>
    <cellStyle name="Porcentual 19 28 2" xfId="6029"/>
    <cellStyle name="Porcentual 19 28 3" xfId="8703"/>
    <cellStyle name="Porcentual 19 29" xfId="6030"/>
    <cellStyle name="Porcentual 19 3" xfId="2197"/>
    <cellStyle name="Porcentual 19 3 2" xfId="6031"/>
    <cellStyle name="Porcentual 19 3 3" xfId="8704"/>
    <cellStyle name="Porcentual 19 30" xfId="8683"/>
    <cellStyle name="Porcentual 19 4" xfId="2198"/>
    <cellStyle name="Porcentual 19 4 2" xfId="6032"/>
    <cellStyle name="Porcentual 19 4 3" xfId="8705"/>
    <cellStyle name="Porcentual 19 5" xfId="2199"/>
    <cellStyle name="Porcentual 19 5 2" xfId="6033"/>
    <cellStyle name="Porcentual 19 5 3" xfId="8706"/>
    <cellStyle name="Porcentual 19 6" xfId="2200"/>
    <cellStyle name="Porcentual 19 6 2" xfId="6034"/>
    <cellStyle name="Porcentual 19 6 3" xfId="8707"/>
    <cellStyle name="Porcentual 19 7" xfId="2201"/>
    <cellStyle name="Porcentual 19 7 2" xfId="6035"/>
    <cellStyle name="Porcentual 19 7 3" xfId="8708"/>
    <cellStyle name="Porcentual 19 8" xfId="2202"/>
    <cellStyle name="Porcentual 19 8 2" xfId="6036"/>
    <cellStyle name="Porcentual 19 8 3" xfId="8709"/>
    <cellStyle name="Porcentual 19 9" xfId="2203"/>
    <cellStyle name="Porcentual 19 9 2" xfId="6037"/>
    <cellStyle name="Porcentual 19 9 3" xfId="8710"/>
    <cellStyle name="Porcentual 2" xfId="2204"/>
    <cellStyle name="Porcentual 2 10" xfId="2205"/>
    <cellStyle name="Porcentual 2 10 10" xfId="2206"/>
    <cellStyle name="Porcentual 2 10 10 2" xfId="6038"/>
    <cellStyle name="Porcentual 2 10 11" xfId="2207"/>
    <cellStyle name="Porcentual 2 10 11 2" xfId="6039"/>
    <cellStyle name="Porcentual 2 10 12" xfId="2208"/>
    <cellStyle name="Porcentual 2 10 12 2" xfId="6040"/>
    <cellStyle name="Porcentual 2 10 13" xfId="2209"/>
    <cellStyle name="Porcentual 2 10 13 2" xfId="6041"/>
    <cellStyle name="Porcentual 2 10 14" xfId="2210"/>
    <cellStyle name="Porcentual 2 10 14 2" xfId="6042"/>
    <cellStyle name="Porcentual 2 10 15" xfId="2211"/>
    <cellStyle name="Porcentual 2 10 15 2" xfId="6043"/>
    <cellStyle name="Porcentual 2 10 16" xfId="2212"/>
    <cellStyle name="Porcentual 2 10 16 2" xfId="6044"/>
    <cellStyle name="Porcentual 2 10 17" xfId="2213"/>
    <cellStyle name="Porcentual 2 10 17 2" xfId="6045"/>
    <cellStyle name="Porcentual 2 10 18" xfId="2214"/>
    <cellStyle name="Porcentual 2 10 18 2" xfId="6046"/>
    <cellStyle name="Porcentual 2 10 19" xfId="2215"/>
    <cellStyle name="Porcentual 2 10 19 2" xfId="6047"/>
    <cellStyle name="Porcentual 2 10 2" xfId="2216"/>
    <cellStyle name="Porcentual 2 10 2 2" xfId="6048"/>
    <cellStyle name="Porcentual 2 10 20" xfId="2217"/>
    <cellStyle name="Porcentual 2 10 20 2" xfId="6049"/>
    <cellStyle name="Porcentual 2 10 21" xfId="2218"/>
    <cellStyle name="Porcentual 2 10 21 2" xfId="6050"/>
    <cellStyle name="Porcentual 2 10 22" xfId="2219"/>
    <cellStyle name="Porcentual 2 10 22 2" xfId="6051"/>
    <cellStyle name="Porcentual 2 10 23" xfId="2220"/>
    <cellStyle name="Porcentual 2 10 23 2" xfId="6052"/>
    <cellStyle name="Porcentual 2 10 24" xfId="2221"/>
    <cellStyle name="Porcentual 2 10 24 2" xfId="6053"/>
    <cellStyle name="Porcentual 2 10 25" xfId="2222"/>
    <cellStyle name="Porcentual 2 10 25 2" xfId="6054"/>
    <cellStyle name="Porcentual 2 10 26" xfId="2223"/>
    <cellStyle name="Porcentual 2 10 26 2" xfId="6055"/>
    <cellStyle name="Porcentual 2 10 27" xfId="2224"/>
    <cellStyle name="Porcentual 2 10 27 2" xfId="6056"/>
    <cellStyle name="Porcentual 2 10 28" xfId="2225"/>
    <cellStyle name="Porcentual 2 10 28 2" xfId="6057"/>
    <cellStyle name="Porcentual 2 10 29" xfId="6058"/>
    <cellStyle name="Porcentual 2 10 3" xfId="2226"/>
    <cellStyle name="Porcentual 2 10 3 2" xfId="6059"/>
    <cellStyle name="Porcentual 2 10 4" xfId="2227"/>
    <cellStyle name="Porcentual 2 10 4 2" xfId="6060"/>
    <cellStyle name="Porcentual 2 10 5" xfId="2228"/>
    <cellStyle name="Porcentual 2 10 5 2" xfId="6061"/>
    <cellStyle name="Porcentual 2 10 6" xfId="2229"/>
    <cellStyle name="Porcentual 2 10 6 2" xfId="6062"/>
    <cellStyle name="Porcentual 2 10 7" xfId="2230"/>
    <cellStyle name="Porcentual 2 10 7 2" xfId="6063"/>
    <cellStyle name="Porcentual 2 10 8" xfId="2231"/>
    <cellStyle name="Porcentual 2 10 8 2" xfId="6064"/>
    <cellStyle name="Porcentual 2 10 9" xfId="2232"/>
    <cellStyle name="Porcentual 2 10 9 2" xfId="6065"/>
    <cellStyle name="Porcentual 2 100" xfId="2233"/>
    <cellStyle name="Porcentual 2 100 2" xfId="8711"/>
    <cellStyle name="Porcentual 2 101" xfId="2234"/>
    <cellStyle name="Porcentual 2 101 2" xfId="8712"/>
    <cellStyle name="Porcentual 2 102" xfId="2235"/>
    <cellStyle name="Porcentual 2 102 2" xfId="8713"/>
    <cellStyle name="Porcentual 2 103" xfId="2236"/>
    <cellStyle name="Porcentual 2 103 2" xfId="8714"/>
    <cellStyle name="Porcentual 2 104" xfId="2237"/>
    <cellStyle name="Porcentual 2 104 2" xfId="8715"/>
    <cellStyle name="Porcentual 2 105" xfId="2238"/>
    <cellStyle name="Porcentual 2 105 2" xfId="8716"/>
    <cellStyle name="Porcentual 2 106" xfId="2239"/>
    <cellStyle name="Porcentual 2 106 2" xfId="8717"/>
    <cellStyle name="Porcentual 2 107" xfId="2240"/>
    <cellStyle name="Porcentual 2 107 2" xfId="8718"/>
    <cellStyle name="Porcentual 2 108" xfId="2241"/>
    <cellStyle name="Porcentual 2 108 2" xfId="8719"/>
    <cellStyle name="Porcentual 2 109" xfId="2242"/>
    <cellStyle name="Porcentual 2 109 2" xfId="8720"/>
    <cellStyle name="Porcentual 2 11" xfId="2243"/>
    <cellStyle name="Porcentual 2 11 10" xfId="2244"/>
    <cellStyle name="Porcentual 2 11 10 2" xfId="6066"/>
    <cellStyle name="Porcentual 2 11 11" xfId="2245"/>
    <cellStyle name="Porcentual 2 11 11 2" xfId="6067"/>
    <cellStyle name="Porcentual 2 11 12" xfId="2246"/>
    <cellStyle name="Porcentual 2 11 12 2" xfId="6068"/>
    <cellStyle name="Porcentual 2 11 13" xfId="2247"/>
    <cellStyle name="Porcentual 2 11 13 2" xfId="6069"/>
    <cellStyle name="Porcentual 2 11 14" xfId="2248"/>
    <cellStyle name="Porcentual 2 11 14 2" xfId="6070"/>
    <cellStyle name="Porcentual 2 11 15" xfId="2249"/>
    <cellStyle name="Porcentual 2 11 15 2" xfId="6071"/>
    <cellStyle name="Porcentual 2 11 16" xfId="2250"/>
    <cellStyle name="Porcentual 2 11 16 2" xfId="6072"/>
    <cellStyle name="Porcentual 2 11 17" xfId="2251"/>
    <cellStyle name="Porcentual 2 11 17 2" xfId="6073"/>
    <cellStyle name="Porcentual 2 11 18" xfId="2252"/>
    <cellStyle name="Porcentual 2 11 18 2" xfId="6074"/>
    <cellStyle name="Porcentual 2 11 19" xfId="2253"/>
    <cellStyle name="Porcentual 2 11 19 2" xfId="6075"/>
    <cellStyle name="Porcentual 2 11 2" xfId="2254"/>
    <cellStyle name="Porcentual 2 11 2 2" xfId="6076"/>
    <cellStyle name="Porcentual 2 11 20" xfId="2255"/>
    <cellStyle name="Porcentual 2 11 20 2" xfId="6077"/>
    <cellStyle name="Porcentual 2 11 21" xfId="2256"/>
    <cellStyle name="Porcentual 2 11 21 2" xfId="6078"/>
    <cellStyle name="Porcentual 2 11 22" xfId="2257"/>
    <cellStyle name="Porcentual 2 11 22 2" xfId="6079"/>
    <cellStyle name="Porcentual 2 11 23" xfId="2258"/>
    <cellStyle name="Porcentual 2 11 23 2" xfId="6080"/>
    <cellStyle name="Porcentual 2 11 24" xfId="2259"/>
    <cellStyle name="Porcentual 2 11 24 2" xfId="6081"/>
    <cellStyle name="Porcentual 2 11 25" xfId="2260"/>
    <cellStyle name="Porcentual 2 11 25 2" xfId="6082"/>
    <cellStyle name="Porcentual 2 11 26" xfId="2261"/>
    <cellStyle name="Porcentual 2 11 26 2" xfId="6083"/>
    <cellStyle name="Porcentual 2 11 27" xfId="2262"/>
    <cellStyle name="Porcentual 2 11 27 2" xfId="6084"/>
    <cellStyle name="Porcentual 2 11 28" xfId="2263"/>
    <cellStyle name="Porcentual 2 11 28 2" xfId="6085"/>
    <cellStyle name="Porcentual 2 11 29" xfId="6086"/>
    <cellStyle name="Porcentual 2 11 3" xfId="2264"/>
    <cellStyle name="Porcentual 2 11 3 2" xfId="6087"/>
    <cellStyle name="Porcentual 2 11 4" xfId="2265"/>
    <cellStyle name="Porcentual 2 11 4 2" xfId="6088"/>
    <cellStyle name="Porcentual 2 11 5" xfId="2266"/>
    <cellStyle name="Porcentual 2 11 5 2" xfId="6089"/>
    <cellStyle name="Porcentual 2 11 6" xfId="2267"/>
    <cellStyle name="Porcentual 2 11 6 2" xfId="6090"/>
    <cellStyle name="Porcentual 2 11 7" xfId="2268"/>
    <cellStyle name="Porcentual 2 11 7 2" xfId="6091"/>
    <cellStyle name="Porcentual 2 11 8" xfId="2269"/>
    <cellStyle name="Porcentual 2 11 8 2" xfId="6092"/>
    <cellStyle name="Porcentual 2 11 9" xfId="2270"/>
    <cellStyle name="Porcentual 2 11 9 2" xfId="6093"/>
    <cellStyle name="Porcentual 2 110" xfId="4025"/>
    <cellStyle name="Porcentual 2 110 2" xfId="9529"/>
    <cellStyle name="Porcentual 2 110 2 2" xfId="10561"/>
    <cellStyle name="Porcentual 2 110 3" xfId="10560"/>
    <cellStyle name="Porcentual 2 111" xfId="4146"/>
    <cellStyle name="Porcentual 2 111 2" xfId="9582"/>
    <cellStyle name="Porcentual 2 111 2 2" xfId="10563"/>
    <cellStyle name="Porcentual 2 111 3" xfId="10562"/>
    <cellStyle name="Porcentual 2 112" xfId="4254"/>
    <cellStyle name="Porcentual 2 112 2" xfId="9686"/>
    <cellStyle name="Porcentual 2 112 2 2" xfId="10565"/>
    <cellStyle name="Porcentual 2 112 3" xfId="10564"/>
    <cellStyle name="Porcentual 2 113" xfId="4264"/>
    <cellStyle name="Porcentual 2 113 2" xfId="9690"/>
    <cellStyle name="Porcentual 2 113 2 2" xfId="10567"/>
    <cellStyle name="Porcentual 2 113 3" xfId="10566"/>
    <cellStyle name="Porcentual 2 114" xfId="4270"/>
    <cellStyle name="Porcentual 2 114 2" xfId="9696"/>
    <cellStyle name="Porcentual 2 114 2 2" xfId="10569"/>
    <cellStyle name="Porcentual 2 114 3" xfId="10568"/>
    <cellStyle name="Porcentual 2 115" xfId="4329"/>
    <cellStyle name="Porcentual 2 115 2" xfId="9737"/>
    <cellStyle name="Porcentual 2 115 2 2" xfId="10571"/>
    <cellStyle name="Porcentual 2 115 3" xfId="10570"/>
    <cellStyle name="Porcentual 2 116" xfId="9800"/>
    <cellStyle name="Porcentual 2 116 2" xfId="10572"/>
    <cellStyle name="Porcentual 2 12" xfId="2271"/>
    <cellStyle name="Porcentual 2 12 10" xfId="2272"/>
    <cellStyle name="Porcentual 2 12 10 2" xfId="6094"/>
    <cellStyle name="Porcentual 2 12 11" xfId="2273"/>
    <cellStyle name="Porcentual 2 12 11 2" xfId="6095"/>
    <cellStyle name="Porcentual 2 12 12" xfId="2274"/>
    <cellStyle name="Porcentual 2 12 12 2" xfId="6096"/>
    <cellStyle name="Porcentual 2 12 13" xfId="2275"/>
    <cellStyle name="Porcentual 2 12 13 2" xfId="6097"/>
    <cellStyle name="Porcentual 2 12 14" xfId="2276"/>
    <cellStyle name="Porcentual 2 12 14 2" xfId="6098"/>
    <cellStyle name="Porcentual 2 12 15" xfId="2277"/>
    <cellStyle name="Porcentual 2 12 15 2" xfId="6099"/>
    <cellStyle name="Porcentual 2 12 16" xfId="2278"/>
    <cellStyle name="Porcentual 2 12 16 2" xfId="6100"/>
    <cellStyle name="Porcentual 2 12 17" xfId="2279"/>
    <cellStyle name="Porcentual 2 12 17 2" xfId="6101"/>
    <cellStyle name="Porcentual 2 12 18" xfId="2280"/>
    <cellStyle name="Porcentual 2 12 18 2" xfId="6102"/>
    <cellStyle name="Porcentual 2 12 19" xfId="2281"/>
    <cellStyle name="Porcentual 2 12 19 2" xfId="6103"/>
    <cellStyle name="Porcentual 2 12 2" xfId="2282"/>
    <cellStyle name="Porcentual 2 12 2 2" xfId="6104"/>
    <cellStyle name="Porcentual 2 12 20" xfId="2283"/>
    <cellStyle name="Porcentual 2 12 20 2" xfId="6105"/>
    <cellStyle name="Porcentual 2 12 21" xfId="2284"/>
    <cellStyle name="Porcentual 2 12 21 2" xfId="6106"/>
    <cellStyle name="Porcentual 2 12 22" xfId="2285"/>
    <cellStyle name="Porcentual 2 12 22 2" xfId="6107"/>
    <cellStyle name="Porcentual 2 12 23" xfId="2286"/>
    <cellStyle name="Porcentual 2 12 23 2" xfId="6108"/>
    <cellStyle name="Porcentual 2 12 24" xfId="2287"/>
    <cellStyle name="Porcentual 2 12 24 2" xfId="6109"/>
    <cellStyle name="Porcentual 2 12 25" xfId="2288"/>
    <cellStyle name="Porcentual 2 12 25 2" xfId="6110"/>
    <cellStyle name="Porcentual 2 12 26" xfId="2289"/>
    <cellStyle name="Porcentual 2 12 26 2" xfId="6111"/>
    <cellStyle name="Porcentual 2 12 27" xfId="2290"/>
    <cellStyle name="Porcentual 2 12 27 2" xfId="6112"/>
    <cellStyle name="Porcentual 2 12 28" xfId="2291"/>
    <cellStyle name="Porcentual 2 12 28 2" xfId="6113"/>
    <cellStyle name="Porcentual 2 12 29" xfId="6114"/>
    <cellStyle name="Porcentual 2 12 3" xfId="2292"/>
    <cellStyle name="Porcentual 2 12 3 2" xfId="6115"/>
    <cellStyle name="Porcentual 2 12 4" xfId="2293"/>
    <cellStyle name="Porcentual 2 12 4 2" xfId="6116"/>
    <cellStyle name="Porcentual 2 12 5" xfId="2294"/>
    <cellStyle name="Porcentual 2 12 5 2" xfId="6117"/>
    <cellStyle name="Porcentual 2 12 6" xfId="2295"/>
    <cellStyle name="Porcentual 2 12 6 2" xfId="6118"/>
    <cellStyle name="Porcentual 2 12 7" xfId="2296"/>
    <cellStyle name="Porcentual 2 12 7 2" xfId="6119"/>
    <cellStyle name="Porcentual 2 12 8" xfId="2297"/>
    <cellStyle name="Porcentual 2 12 8 2" xfId="6120"/>
    <cellStyle name="Porcentual 2 12 9" xfId="2298"/>
    <cellStyle name="Porcentual 2 12 9 2" xfId="6121"/>
    <cellStyle name="Porcentual 2 13" xfId="2299"/>
    <cellStyle name="Porcentual 2 13 10" xfId="2300"/>
    <cellStyle name="Porcentual 2 13 10 2" xfId="6122"/>
    <cellStyle name="Porcentual 2 13 11" xfId="2301"/>
    <cellStyle name="Porcentual 2 13 11 2" xfId="6123"/>
    <cellStyle name="Porcentual 2 13 12" xfId="2302"/>
    <cellStyle name="Porcentual 2 13 12 2" xfId="6124"/>
    <cellStyle name="Porcentual 2 13 13" xfId="2303"/>
    <cellStyle name="Porcentual 2 13 13 2" xfId="6125"/>
    <cellStyle name="Porcentual 2 13 14" xfId="2304"/>
    <cellStyle name="Porcentual 2 13 14 2" xfId="6126"/>
    <cellStyle name="Porcentual 2 13 15" xfId="2305"/>
    <cellStyle name="Porcentual 2 13 15 2" xfId="6127"/>
    <cellStyle name="Porcentual 2 13 16" xfId="2306"/>
    <cellStyle name="Porcentual 2 13 16 2" xfId="6128"/>
    <cellStyle name="Porcentual 2 13 17" xfId="2307"/>
    <cellStyle name="Porcentual 2 13 17 2" xfId="6129"/>
    <cellStyle name="Porcentual 2 13 18" xfId="2308"/>
    <cellStyle name="Porcentual 2 13 18 2" xfId="6130"/>
    <cellStyle name="Porcentual 2 13 19" xfId="2309"/>
    <cellStyle name="Porcentual 2 13 19 2" xfId="6131"/>
    <cellStyle name="Porcentual 2 13 2" xfId="2310"/>
    <cellStyle name="Porcentual 2 13 2 2" xfId="6132"/>
    <cellStyle name="Porcentual 2 13 20" xfId="2311"/>
    <cellStyle name="Porcentual 2 13 20 2" xfId="6133"/>
    <cellStyle name="Porcentual 2 13 21" xfId="2312"/>
    <cellStyle name="Porcentual 2 13 21 2" xfId="6134"/>
    <cellStyle name="Porcentual 2 13 22" xfId="2313"/>
    <cellStyle name="Porcentual 2 13 22 2" xfId="6135"/>
    <cellStyle name="Porcentual 2 13 23" xfId="2314"/>
    <cellStyle name="Porcentual 2 13 23 2" xfId="6136"/>
    <cellStyle name="Porcentual 2 13 24" xfId="2315"/>
    <cellStyle name="Porcentual 2 13 24 2" xfId="6137"/>
    <cellStyle name="Porcentual 2 13 25" xfId="2316"/>
    <cellStyle name="Porcentual 2 13 25 2" xfId="6138"/>
    <cellStyle name="Porcentual 2 13 26" xfId="2317"/>
    <cellStyle name="Porcentual 2 13 26 2" xfId="6139"/>
    <cellStyle name="Porcentual 2 13 27" xfId="2318"/>
    <cellStyle name="Porcentual 2 13 27 2" xfId="6140"/>
    <cellStyle name="Porcentual 2 13 28" xfId="2319"/>
    <cellStyle name="Porcentual 2 13 28 2" xfId="6141"/>
    <cellStyle name="Porcentual 2 13 29" xfId="6142"/>
    <cellStyle name="Porcentual 2 13 3" xfId="2320"/>
    <cellStyle name="Porcentual 2 13 3 2" xfId="6143"/>
    <cellStyle name="Porcentual 2 13 4" xfId="2321"/>
    <cellStyle name="Porcentual 2 13 4 2" xfId="6144"/>
    <cellStyle name="Porcentual 2 13 5" xfId="2322"/>
    <cellStyle name="Porcentual 2 13 5 2" xfId="6145"/>
    <cellStyle name="Porcentual 2 13 6" xfId="2323"/>
    <cellStyle name="Porcentual 2 13 6 2" xfId="6146"/>
    <cellStyle name="Porcentual 2 13 7" xfId="2324"/>
    <cellStyle name="Porcentual 2 13 7 2" xfId="6147"/>
    <cellStyle name="Porcentual 2 13 8" xfId="2325"/>
    <cellStyle name="Porcentual 2 13 8 2" xfId="6148"/>
    <cellStyle name="Porcentual 2 13 9" xfId="2326"/>
    <cellStyle name="Porcentual 2 13 9 2" xfId="6149"/>
    <cellStyle name="Porcentual 2 14" xfId="2327"/>
    <cellStyle name="Porcentual 2 14 10" xfId="2328"/>
    <cellStyle name="Porcentual 2 14 10 2" xfId="6150"/>
    <cellStyle name="Porcentual 2 14 11" xfId="2329"/>
    <cellStyle name="Porcentual 2 14 11 2" xfId="6151"/>
    <cellStyle name="Porcentual 2 14 12" xfId="2330"/>
    <cellStyle name="Porcentual 2 14 12 2" xfId="6152"/>
    <cellStyle name="Porcentual 2 14 13" xfId="2331"/>
    <cellStyle name="Porcentual 2 14 13 2" xfId="6153"/>
    <cellStyle name="Porcentual 2 14 14" xfId="2332"/>
    <cellStyle name="Porcentual 2 14 14 2" xfId="6154"/>
    <cellStyle name="Porcentual 2 14 15" xfId="2333"/>
    <cellStyle name="Porcentual 2 14 15 2" xfId="6155"/>
    <cellStyle name="Porcentual 2 14 16" xfId="2334"/>
    <cellStyle name="Porcentual 2 14 16 2" xfId="6156"/>
    <cellStyle name="Porcentual 2 14 17" xfId="2335"/>
    <cellStyle name="Porcentual 2 14 17 2" xfId="6157"/>
    <cellStyle name="Porcentual 2 14 18" xfId="2336"/>
    <cellStyle name="Porcentual 2 14 18 2" xfId="6158"/>
    <cellStyle name="Porcentual 2 14 19" xfId="2337"/>
    <cellStyle name="Porcentual 2 14 19 2" xfId="6159"/>
    <cellStyle name="Porcentual 2 14 2" xfId="2338"/>
    <cellStyle name="Porcentual 2 14 2 2" xfId="6160"/>
    <cellStyle name="Porcentual 2 14 20" xfId="2339"/>
    <cellStyle name="Porcentual 2 14 20 2" xfId="6161"/>
    <cellStyle name="Porcentual 2 14 21" xfId="2340"/>
    <cellStyle name="Porcentual 2 14 21 2" xfId="6162"/>
    <cellStyle name="Porcentual 2 14 22" xfId="2341"/>
    <cellStyle name="Porcentual 2 14 22 2" xfId="6163"/>
    <cellStyle name="Porcentual 2 14 23" xfId="2342"/>
    <cellStyle name="Porcentual 2 14 23 2" xfId="6164"/>
    <cellStyle name="Porcentual 2 14 24" xfId="2343"/>
    <cellStyle name="Porcentual 2 14 24 2" xfId="6165"/>
    <cellStyle name="Porcentual 2 14 25" xfId="2344"/>
    <cellStyle name="Porcentual 2 14 25 2" xfId="6166"/>
    <cellStyle name="Porcentual 2 14 26" xfId="2345"/>
    <cellStyle name="Porcentual 2 14 26 2" xfId="6167"/>
    <cellStyle name="Porcentual 2 14 27" xfId="2346"/>
    <cellStyle name="Porcentual 2 14 27 2" xfId="6168"/>
    <cellStyle name="Porcentual 2 14 28" xfId="2347"/>
    <cellStyle name="Porcentual 2 14 28 2" xfId="6169"/>
    <cellStyle name="Porcentual 2 14 29" xfId="6170"/>
    <cellStyle name="Porcentual 2 14 3" xfId="2348"/>
    <cellStyle name="Porcentual 2 14 3 2" xfId="6171"/>
    <cellStyle name="Porcentual 2 14 4" xfId="2349"/>
    <cellStyle name="Porcentual 2 14 4 2" xfId="6172"/>
    <cellStyle name="Porcentual 2 14 5" xfId="2350"/>
    <cellStyle name="Porcentual 2 14 5 2" xfId="6173"/>
    <cellStyle name="Porcentual 2 14 6" xfId="2351"/>
    <cellStyle name="Porcentual 2 14 6 2" xfId="6174"/>
    <cellStyle name="Porcentual 2 14 7" xfId="2352"/>
    <cellStyle name="Porcentual 2 14 7 2" xfId="6175"/>
    <cellStyle name="Porcentual 2 14 8" xfId="2353"/>
    <cellStyle name="Porcentual 2 14 8 2" xfId="6176"/>
    <cellStyle name="Porcentual 2 14 9" xfId="2354"/>
    <cellStyle name="Porcentual 2 14 9 2" xfId="6177"/>
    <cellStyle name="Porcentual 2 15" xfId="2355"/>
    <cellStyle name="Porcentual 2 15 10" xfId="2356"/>
    <cellStyle name="Porcentual 2 15 10 2" xfId="6178"/>
    <cellStyle name="Porcentual 2 15 11" xfId="2357"/>
    <cellStyle name="Porcentual 2 15 11 2" xfId="6179"/>
    <cellStyle name="Porcentual 2 15 12" xfId="2358"/>
    <cellStyle name="Porcentual 2 15 12 2" xfId="6180"/>
    <cellStyle name="Porcentual 2 15 13" xfId="2359"/>
    <cellStyle name="Porcentual 2 15 13 2" xfId="6181"/>
    <cellStyle name="Porcentual 2 15 14" xfId="2360"/>
    <cellStyle name="Porcentual 2 15 14 2" xfId="6182"/>
    <cellStyle name="Porcentual 2 15 15" xfId="2361"/>
    <cellStyle name="Porcentual 2 15 15 2" xfId="6183"/>
    <cellStyle name="Porcentual 2 15 16" xfId="2362"/>
    <cellStyle name="Porcentual 2 15 16 2" xfId="6184"/>
    <cellStyle name="Porcentual 2 15 17" xfId="2363"/>
    <cellStyle name="Porcentual 2 15 17 2" xfId="6185"/>
    <cellStyle name="Porcentual 2 15 18" xfId="2364"/>
    <cellStyle name="Porcentual 2 15 18 2" xfId="6186"/>
    <cellStyle name="Porcentual 2 15 19" xfId="2365"/>
    <cellStyle name="Porcentual 2 15 19 2" xfId="6187"/>
    <cellStyle name="Porcentual 2 15 2" xfId="2366"/>
    <cellStyle name="Porcentual 2 15 2 2" xfId="6188"/>
    <cellStyle name="Porcentual 2 15 20" xfId="2367"/>
    <cellStyle name="Porcentual 2 15 20 2" xfId="6189"/>
    <cellStyle name="Porcentual 2 15 21" xfId="2368"/>
    <cellStyle name="Porcentual 2 15 21 2" xfId="6190"/>
    <cellStyle name="Porcentual 2 15 22" xfId="2369"/>
    <cellStyle name="Porcentual 2 15 22 2" xfId="6191"/>
    <cellStyle name="Porcentual 2 15 23" xfId="2370"/>
    <cellStyle name="Porcentual 2 15 23 2" xfId="6192"/>
    <cellStyle name="Porcentual 2 15 24" xfId="2371"/>
    <cellStyle name="Porcentual 2 15 24 2" xfId="6193"/>
    <cellStyle name="Porcentual 2 15 25" xfId="2372"/>
    <cellStyle name="Porcentual 2 15 25 2" xfId="6194"/>
    <cellStyle name="Porcentual 2 15 26" xfId="2373"/>
    <cellStyle name="Porcentual 2 15 26 2" xfId="6195"/>
    <cellStyle name="Porcentual 2 15 27" xfId="2374"/>
    <cellStyle name="Porcentual 2 15 27 2" xfId="6196"/>
    <cellStyle name="Porcentual 2 15 28" xfId="2375"/>
    <cellStyle name="Porcentual 2 15 28 2" xfId="6197"/>
    <cellStyle name="Porcentual 2 15 29" xfId="6198"/>
    <cellStyle name="Porcentual 2 15 3" xfId="2376"/>
    <cellStyle name="Porcentual 2 15 3 2" xfId="6199"/>
    <cellStyle name="Porcentual 2 15 4" xfId="2377"/>
    <cellStyle name="Porcentual 2 15 4 2" xfId="6200"/>
    <cellStyle name="Porcentual 2 15 5" xfId="2378"/>
    <cellStyle name="Porcentual 2 15 5 2" xfId="6201"/>
    <cellStyle name="Porcentual 2 15 6" xfId="2379"/>
    <cellStyle name="Porcentual 2 15 6 2" xfId="6202"/>
    <cellStyle name="Porcentual 2 15 7" xfId="2380"/>
    <cellStyle name="Porcentual 2 15 7 2" xfId="6203"/>
    <cellStyle name="Porcentual 2 15 8" xfId="2381"/>
    <cellStyle name="Porcentual 2 15 8 2" xfId="6204"/>
    <cellStyle name="Porcentual 2 15 9" xfId="2382"/>
    <cellStyle name="Porcentual 2 15 9 2" xfId="6205"/>
    <cellStyle name="Porcentual 2 16" xfId="2383"/>
    <cellStyle name="Porcentual 2 16 10" xfId="2384"/>
    <cellStyle name="Porcentual 2 16 10 2" xfId="6206"/>
    <cellStyle name="Porcentual 2 16 11" xfId="2385"/>
    <cellStyle name="Porcentual 2 16 11 2" xfId="6207"/>
    <cellStyle name="Porcentual 2 16 12" xfId="2386"/>
    <cellStyle name="Porcentual 2 16 12 2" xfId="6208"/>
    <cellStyle name="Porcentual 2 16 13" xfId="2387"/>
    <cellStyle name="Porcentual 2 16 13 2" xfId="6209"/>
    <cellStyle name="Porcentual 2 16 14" xfId="2388"/>
    <cellStyle name="Porcentual 2 16 14 2" xfId="6210"/>
    <cellStyle name="Porcentual 2 16 15" xfId="2389"/>
    <cellStyle name="Porcentual 2 16 15 2" xfId="6211"/>
    <cellStyle name="Porcentual 2 16 16" xfId="2390"/>
    <cellStyle name="Porcentual 2 16 16 2" xfId="6212"/>
    <cellStyle name="Porcentual 2 16 17" xfId="2391"/>
    <cellStyle name="Porcentual 2 16 17 2" xfId="6213"/>
    <cellStyle name="Porcentual 2 16 18" xfId="2392"/>
    <cellStyle name="Porcentual 2 16 18 2" xfId="6214"/>
    <cellStyle name="Porcentual 2 16 19" xfId="2393"/>
    <cellStyle name="Porcentual 2 16 19 2" xfId="6215"/>
    <cellStyle name="Porcentual 2 16 2" xfId="2394"/>
    <cellStyle name="Porcentual 2 16 2 2" xfId="6216"/>
    <cellStyle name="Porcentual 2 16 20" xfId="2395"/>
    <cellStyle name="Porcentual 2 16 20 2" xfId="6217"/>
    <cellStyle name="Porcentual 2 16 21" xfId="2396"/>
    <cellStyle name="Porcentual 2 16 21 2" xfId="6218"/>
    <cellStyle name="Porcentual 2 16 22" xfId="2397"/>
    <cellStyle name="Porcentual 2 16 22 2" xfId="6219"/>
    <cellStyle name="Porcentual 2 16 23" xfId="2398"/>
    <cellStyle name="Porcentual 2 16 23 2" xfId="6220"/>
    <cellStyle name="Porcentual 2 16 24" xfId="2399"/>
    <cellStyle name="Porcentual 2 16 24 2" xfId="6221"/>
    <cellStyle name="Porcentual 2 16 25" xfId="2400"/>
    <cellStyle name="Porcentual 2 16 25 2" xfId="6222"/>
    <cellStyle name="Porcentual 2 16 26" xfId="2401"/>
    <cellStyle name="Porcentual 2 16 26 2" xfId="6223"/>
    <cellStyle name="Porcentual 2 16 27" xfId="2402"/>
    <cellStyle name="Porcentual 2 16 27 2" xfId="6224"/>
    <cellStyle name="Porcentual 2 16 28" xfId="2403"/>
    <cellStyle name="Porcentual 2 16 28 2" xfId="6225"/>
    <cellStyle name="Porcentual 2 16 29" xfId="6226"/>
    <cellStyle name="Porcentual 2 16 3" xfId="2404"/>
    <cellStyle name="Porcentual 2 16 3 2" xfId="6227"/>
    <cellStyle name="Porcentual 2 16 4" xfId="2405"/>
    <cellStyle name="Porcentual 2 16 4 2" xfId="6228"/>
    <cellStyle name="Porcentual 2 16 5" xfId="2406"/>
    <cellStyle name="Porcentual 2 16 5 2" xfId="6229"/>
    <cellStyle name="Porcentual 2 16 6" xfId="2407"/>
    <cellStyle name="Porcentual 2 16 6 2" xfId="6230"/>
    <cellStyle name="Porcentual 2 16 7" xfId="2408"/>
    <cellStyle name="Porcentual 2 16 7 2" xfId="6231"/>
    <cellStyle name="Porcentual 2 16 8" xfId="2409"/>
    <cellStyle name="Porcentual 2 16 8 2" xfId="6232"/>
    <cellStyle name="Porcentual 2 16 9" xfId="2410"/>
    <cellStyle name="Porcentual 2 16 9 2" xfId="6233"/>
    <cellStyle name="Porcentual 2 17" xfId="2411"/>
    <cellStyle name="Porcentual 2 17 10" xfId="2412"/>
    <cellStyle name="Porcentual 2 17 10 2" xfId="6234"/>
    <cellStyle name="Porcentual 2 17 11" xfId="2413"/>
    <cellStyle name="Porcentual 2 17 11 2" xfId="6235"/>
    <cellStyle name="Porcentual 2 17 12" xfId="2414"/>
    <cellStyle name="Porcentual 2 17 12 2" xfId="6236"/>
    <cellStyle name="Porcentual 2 17 13" xfId="2415"/>
    <cellStyle name="Porcentual 2 17 13 2" xfId="6237"/>
    <cellStyle name="Porcentual 2 17 14" xfId="2416"/>
    <cellStyle name="Porcentual 2 17 14 2" xfId="6238"/>
    <cellStyle name="Porcentual 2 17 15" xfId="2417"/>
    <cellStyle name="Porcentual 2 17 15 2" xfId="6239"/>
    <cellStyle name="Porcentual 2 17 16" xfId="2418"/>
    <cellStyle name="Porcentual 2 17 16 2" xfId="6240"/>
    <cellStyle name="Porcentual 2 17 17" xfId="2419"/>
    <cellStyle name="Porcentual 2 17 17 2" xfId="6241"/>
    <cellStyle name="Porcentual 2 17 18" xfId="2420"/>
    <cellStyle name="Porcentual 2 17 18 2" xfId="6242"/>
    <cellStyle name="Porcentual 2 17 19" xfId="2421"/>
    <cellStyle name="Porcentual 2 17 19 2" xfId="6243"/>
    <cellStyle name="Porcentual 2 17 2" xfId="2422"/>
    <cellStyle name="Porcentual 2 17 2 2" xfId="6244"/>
    <cellStyle name="Porcentual 2 17 20" xfId="2423"/>
    <cellStyle name="Porcentual 2 17 20 2" xfId="6245"/>
    <cellStyle name="Porcentual 2 17 21" xfId="2424"/>
    <cellStyle name="Porcentual 2 17 21 2" xfId="6246"/>
    <cellStyle name="Porcentual 2 17 22" xfId="2425"/>
    <cellStyle name="Porcentual 2 17 22 2" xfId="6247"/>
    <cellStyle name="Porcentual 2 17 23" xfId="2426"/>
    <cellStyle name="Porcentual 2 17 23 2" xfId="6248"/>
    <cellStyle name="Porcentual 2 17 24" xfId="2427"/>
    <cellStyle name="Porcentual 2 17 24 2" xfId="6249"/>
    <cellStyle name="Porcentual 2 17 25" xfId="2428"/>
    <cellStyle name="Porcentual 2 17 25 2" xfId="6250"/>
    <cellStyle name="Porcentual 2 17 26" xfId="2429"/>
    <cellStyle name="Porcentual 2 17 26 2" xfId="6251"/>
    <cellStyle name="Porcentual 2 17 27" xfId="2430"/>
    <cellStyle name="Porcentual 2 17 27 2" xfId="6252"/>
    <cellStyle name="Porcentual 2 17 28" xfId="2431"/>
    <cellStyle name="Porcentual 2 17 28 2" xfId="6253"/>
    <cellStyle name="Porcentual 2 17 29" xfId="6254"/>
    <cellStyle name="Porcentual 2 17 3" xfId="2432"/>
    <cellStyle name="Porcentual 2 17 3 2" xfId="6255"/>
    <cellStyle name="Porcentual 2 17 4" xfId="2433"/>
    <cellStyle name="Porcentual 2 17 4 2" xfId="6256"/>
    <cellStyle name="Porcentual 2 17 5" xfId="2434"/>
    <cellStyle name="Porcentual 2 17 5 2" xfId="6257"/>
    <cellStyle name="Porcentual 2 17 6" xfId="2435"/>
    <cellStyle name="Porcentual 2 17 6 2" xfId="6258"/>
    <cellStyle name="Porcentual 2 17 7" xfId="2436"/>
    <cellStyle name="Porcentual 2 17 7 2" xfId="6259"/>
    <cellStyle name="Porcentual 2 17 8" xfId="2437"/>
    <cellStyle name="Porcentual 2 17 8 2" xfId="6260"/>
    <cellStyle name="Porcentual 2 17 9" xfId="2438"/>
    <cellStyle name="Porcentual 2 17 9 2" xfId="6261"/>
    <cellStyle name="Porcentual 2 18" xfId="2439"/>
    <cellStyle name="Porcentual 2 18 10" xfId="2440"/>
    <cellStyle name="Porcentual 2 18 10 2" xfId="6262"/>
    <cellStyle name="Porcentual 2 18 11" xfId="2441"/>
    <cellStyle name="Porcentual 2 18 11 2" xfId="6263"/>
    <cellStyle name="Porcentual 2 18 12" xfId="2442"/>
    <cellStyle name="Porcentual 2 18 12 2" xfId="6264"/>
    <cellStyle name="Porcentual 2 18 13" xfId="2443"/>
    <cellStyle name="Porcentual 2 18 13 2" xfId="6265"/>
    <cellStyle name="Porcentual 2 18 14" xfId="2444"/>
    <cellStyle name="Porcentual 2 18 14 2" xfId="6266"/>
    <cellStyle name="Porcentual 2 18 15" xfId="2445"/>
    <cellStyle name="Porcentual 2 18 15 2" xfId="6267"/>
    <cellStyle name="Porcentual 2 18 16" xfId="2446"/>
    <cellStyle name="Porcentual 2 18 16 2" xfId="6268"/>
    <cellStyle name="Porcentual 2 18 17" xfId="2447"/>
    <cellStyle name="Porcentual 2 18 17 2" xfId="6269"/>
    <cellStyle name="Porcentual 2 18 18" xfId="2448"/>
    <cellStyle name="Porcentual 2 18 18 2" xfId="6270"/>
    <cellStyle name="Porcentual 2 18 19" xfId="2449"/>
    <cellStyle name="Porcentual 2 18 19 2" xfId="6271"/>
    <cellStyle name="Porcentual 2 18 2" xfId="2450"/>
    <cellStyle name="Porcentual 2 18 2 2" xfId="6272"/>
    <cellStyle name="Porcentual 2 18 20" xfId="2451"/>
    <cellStyle name="Porcentual 2 18 20 2" xfId="6273"/>
    <cellStyle name="Porcentual 2 18 21" xfId="2452"/>
    <cellStyle name="Porcentual 2 18 21 2" xfId="6274"/>
    <cellStyle name="Porcentual 2 18 22" xfId="2453"/>
    <cellStyle name="Porcentual 2 18 22 2" xfId="6275"/>
    <cellStyle name="Porcentual 2 18 23" xfId="2454"/>
    <cellStyle name="Porcentual 2 18 23 2" xfId="6276"/>
    <cellStyle name="Porcentual 2 18 24" xfId="2455"/>
    <cellStyle name="Porcentual 2 18 24 2" xfId="6277"/>
    <cellStyle name="Porcentual 2 18 25" xfId="2456"/>
    <cellStyle name="Porcentual 2 18 25 2" xfId="6278"/>
    <cellStyle name="Porcentual 2 18 26" xfId="2457"/>
    <cellStyle name="Porcentual 2 18 26 2" xfId="6279"/>
    <cellStyle name="Porcentual 2 18 27" xfId="2458"/>
    <cellStyle name="Porcentual 2 18 27 2" xfId="6280"/>
    <cellStyle name="Porcentual 2 18 28" xfId="2459"/>
    <cellStyle name="Porcentual 2 18 28 2" xfId="6281"/>
    <cellStyle name="Porcentual 2 18 29" xfId="6282"/>
    <cellStyle name="Porcentual 2 18 3" xfId="2460"/>
    <cellStyle name="Porcentual 2 18 3 2" xfId="6283"/>
    <cellStyle name="Porcentual 2 18 4" xfId="2461"/>
    <cellStyle name="Porcentual 2 18 4 2" xfId="6284"/>
    <cellStyle name="Porcentual 2 18 5" xfId="2462"/>
    <cellStyle name="Porcentual 2 18 5 2" xfId="6285"/>
    <cellStyle name="Porcentual 2 18 6" xfId="2463"/>
    <cellStyle name="Porcentual 2 18 6 2" xfId="6286"/>
    <cellStyle name="Porcentual 2 18 7" xfId="2464"/>
    <cellStyle name="Porcentual 2 18 7 2" xfId="6287"/>
    <cellStyle name="Porcentual 2 18 8" xfId="2465"/>
    <cellStyle name="Porcentual 2 18 8 2" xfId="6288"/>
    <cellStyle name="Porcentual 2 18 9" xfId="2466"/>
    <cellStyle name="Porcentual 2 18 9 2" xfId="6289"/>
    <cellStyle name="Porcentual 2 19" xfId="2467"/>
    <cellStyle name="Porcentual 2 19 10" xfId="2468"/>
    <cellStyle name="Porcentual 2 19 10 2" xfId="6290"/>
    <cellStyle name="Porcentual 2 19 11" xfId="2469"/>
    <cellStyle name="Porcentual 2 19 11 2" xfId="6291"/>
    <cellStyle name="Porcentual 2 19 12" xfId="2470"/>
    <cellStyle name="Porcentual 2 19 12 2" xfId="6292"/>
    <cellStyle name="Porcentual 2 19 13" xfId="2471"/>
    <cellStyle name="Porcentual 2 19 13 2" xfId="6293"/>
    <cellStyle name="Porcentual 2 19 14" xfId="2472"/>
    <cellStyle name="Porcentual 2 19 14 2" xfId="6294"/>
    <cellStyle name="Porcentual 2 19 15" xfId="2473"/>
    <cellStyle name="Porcentual 2 19 15 2" xfId="6295"/>
    <cellStyle name="Porcentual 2 19 16" xfId="2474"/>
    <cellStyle name="Porcentual 2 19 16 2" xfId="6296"/>
    <cellStyle name="Porcentual 2 19 17" xfId="2475"/>
    <cellStyle name="Porcentual 2 19 17 2" xfId="6297"/>
    <cellStyle name="Porcentual 2 19 18" xfId="2476"/>
    <cellStyle name="Porcentual 2 19 18 2" xfId="6298"/>
    <cellStyle name="Porcentual 2 19 19" xfId="2477"/>
    <cellStyle name="Porcentual 2 19 19 2" xfId="6299"/>
    <cellStyle name="Porcentual 2 19 2" xfId="2478"/>
    <cellStyle name="Porcentual 2 19 2 2" xfId="6300"/>
    <cellStyle name="Porcentual 2 19 20" xfId="2479"/>
    <cellStyle name="Porcentual 2 19 20 2" xfId="6301"/>
    <cellStyle name="Porcentual 2 19 21" xfId="2480"/>
    <cellStyle name="Porcentual 2 19 21 2" xfId="6302"/>
    <cellStyle name="Porcentual 2 19 22" xfId="2481"/>
    <cellStyle name="Porcentual 2 19 22 2" xfId="6303"/>
    <cellStyle name="Porcentual 2 19 23" xfId="2482"/>
    <cellStyle name="Porcentual 2 19 23 2" xfId="6304"/>
    <cellStyle name="Porcentual 2 19 24" xfId="2483"/>
    <cellStyle name="Porcentual 2 19 24 2" xfId="6305"/>
    <cellStyle name="Porcentual 2 19 25" xfId="2484"/>
    <cellStyle name="Porcentual 2 19 25 2" xfId="6306"/>
    <cellStyle name="Porcentual 2 19 26" xfId="2485"/>
    <cellStyle name="Porcentual 2 19 26 2" xfId="6307"/>
    <cellStyle name="Porcentual 2 19 27" xfId="2486"/>
    <cellStyle name="Porcentual 2 19 27 2" xfId="6308"/>
    <cellStyle name="Porcentual 2 19 28" xfId="2487"/>
    <cellStyle name="Porcentual 2 19 28 2" xfId="6309"/>
    <cellStyle name="Porcentual 2 19 29" xfId="6310"/>
    <cellStyle name="Porcentual 2 19 3" xfId="2488"/>
    <cellStyle name="Porcentual 2 19 3 2" xfId="6311"/>
    <cellStyle name="Porcentual 2 19 4" xfId="2489"/>
    <cellStyle name="Porcentual 2 19 4 2" xfId="6312"/>
    <cellStyle name="Porcentual 2 19 5" xfId="2490"/>
    <cellStyle name="Porcentual 2 19 5 2" xfId="6313"/>
    <cellStyle name="Porcentual 2 19 6" xfId="2491"/>
    <cellStyle name="Porcentual 2 19 6 2" xfId="6314"/>
    <cellStyle name="Porcentual 2 19 7" xfId="2492"/>
    <cellStyle name="Porcentual 2 19 7 2" xfId="6315"/>
    <cellStyle name="Porcentual 2 19 8" xfId="2493"/>
    <cellStyle name="Porcentual 2 19 8 2" xfId="6316"/>
    <cellStyle name="Porcentual 2 19 9" xfId="2494"/>
    <cellStyle name="Porcentual 2 19 9 2" xfId="6317"/>
    <cellStyle name="Porcentual 2 2" xfId="2495"/>
    <cellStyle name="Porcentual 2 2 10" xfId="2496"/>
    <cellStyle name="Porcentual 2 2 10 2" xfId="6318"/>
    <cellStyle name="Porcentual 2 2 10 3" xfId="8721"/>
    <cellStyle name="Porcentual 2 2 11" xfId="2497"/>
    <cellStyle name="Porcentual 2 2 11 2" xfId="6319"/>
    <cellStyle name="Porcentual 2 2 11 3" xfId="8722"/>
    <cellStyle name="Porcentual 2 2 12" xfId="2498"/>
    <cellStyle name="Porcentual 2 2 12 2" xfId="6320"/>
    <cellStyle name="Porcentual 2 2 12 3" xfId="8723"/>
    <cellStyle name="Porcentual 2 2 13" xfId="2499"/>
    <cellStyle name="Porcentual 2 2 13 2" xfId="6321"/>
    <cellStyle name="Porcentual 2 2 13 3" xfId="8724"/>
    <cellStyle name="Porcentual 2 2 14" xfId="2500"/>
    <cellStyle name="Porcentual 2 2 14 2" xfId="6322"/>
    <cellStyle name="Porcentual 2 2 14 3" xfId="8725"/>
    <cellStyle name="Porcentual 2 2 15" xfId="2501"/>
    <cellStyle name="Porcentual 2 2 15 2" xfId="6323"/>
    <cellStyle name="Porcentual 2 2 15 3" xfId="8726"/>
    <cellStyle name="Porcentual 2 2 16" xfId="2502"/>
    <cellStyle name="Porcentual 2 2 16 2" xfId="6324"/>
    <cellStyle name="Porcentual 2 2 16 3" xfId="8727"/>
    <cellStyle name="Porcentual 2 2 17" xfId="2503"/>
    <cellStyle name="Porcentual 2 2 17 2" xfId="6325"/>
    <cellStyle name="Porcentual 2 2 17 3" xfId="8728"/>
    <cellStyle name="Porcentual 2 2 18" xfId="2504"/>
    <cellStyle name="Porcentual 2 2 18 2" xfId="6326"/>
    <cellStyle name="Porcentual 2 2 18 3" xfId="8729"/>
    <cellStyle name="Porcentual 2 2 19" xfId="2505"/>
    <cellStyle name="Porcentual 2 2 19 2" xfId="6327"/>
    <cellStyle name="Porcentual 2 2 19 3" xfId="8730"/>
    <cellStyle name="Porcentual 2 2 2" xfId="2506"/>
    <cellStyle name="Porcentual 2 2 2 10" xfId="4184"/>
    <cellStyle name="Porcentual 2 2 2 10 2" xfId="9619"/>
    <cellStyle name="Porcentual 2 2 2 10 2 2" xfId="10574"/>
    <cellStyle name="Porcentual 2 2 2 10 3" xfId="10573"/>
    <cellStyle name="Porcentual 2 2 2 11" xfId="4309"/>
    <cellStyle name="Porcentual 2 2 2 11 2" xfId="9720"/>
    <cellStyle name="Porcentual 2 2 2 11 2 2" xfId="10576"/>
    <cellStyle name="Porcentual 2 2 2 11 3" xfId="10575"/>
    <cellStyle name="Porcentual 2 2 2 2" xfId="2507"/>
    <cellStyle name="Porcentual 2 2 2 2 2" xfId="4235"/>
    <cellStyle name="Porcentual 2 2 2 2 2 2" xfId="9670"/>
    <cellStyle name="Porcentual 2 2 2 2 2 2 2" xfId="10578"/>
    <cellStyle name="Porcentual 2 2 2 2 2 3" xfId="10577"/>
    <cellStyle name="Porcentual 2 2 2 2 3" xfId="8731"/>
    <cellStyle name="Porcentual 2 2 2 3" xfId="2508"/>
    <cellStyle name="Porcentual 2 2 2 3 2" xfId="8732"/>
    <cellStyle name="Porcentual 2 2 2 4" xfId="2509"/>
    <cellStyle name="Porcentual 2 2 2 4 2" xfId="8733"/>
    <cellStyle name="Porcentual 2 2 2 5" xfId="2510"/>
    <cellStyle name="Porcentual 2 2 2 5 2" xfId="8734"/>
    <cellStyle name="Porcentual 2 2 2 6" xfId="2511"/>
    <cellStyle name="Porcentual 2 2 2 6 2" xfId="8735"/>
    <cellStyle name="Porcentual 2 2 2 7" xfId="2512"/>
    <cellStyle name="Porcentual 2 2 2 7 2" xfId="8736"/>
    <cellStyle name="Porcentual 2 2 2 8" xfId="2513"/>
    <cellStyle name="Porcentual 2 2 2 8 2" xfId="8737"/>
    <cellStyle name="Porcentual 2 2 2 9" xfId="4108"/>
    <cellStyle name="Porcentual 2 2 2 9 2" xfId="9567"/>
    <cellStyle name="Porcentual 2 2 2 9 2 2" xfId="10580"/>
    <cellStyle name="Porcentual 2 2 2 9 3" xfId="10579"/>
    <cellStyle name="Porcentual 2 2 20" xfId="2514"/>
    <cellStyle name="Porcentual 2 2 20 2" xfId="6328"/>
    <cellStyle name="Porcentual 2 2 20 3" xfId="8738"/>
    <cellStyle name="Porcentual 2 2 21" xfId="2515"/>
    <cellStyle name="Porcentual 2 2 21 2" xfId="6329"/>
    <cellStyle name="Porcentual 2 2 21 3" xfId="8739"/>
    <cellStyle name="Porcentual 2 2 22" xfId="2516"/>
    <cellStyle name="Porcentual 2 2 22 2" xfId="6330"/>
    <cellStyle name="Porcentual 2 2 22 3" xfId="8740"/>
    <cellStyle name="Porcentual 2 2 23" xfId="2517"/>
    <cellStyle name="Porcentual 2 2 23 2" xfId="6331"/>
    <cellStyle name="Porcentual 2 2 23 3" xfId="8741"/>
    <cellStyle name="Porcentual 2 2 24" xfId="2518"/>
    <cellStyle name="Porcentual 2 2 24 2" xfId="6332"/>
    <cellStyle name="Porcentual 2 2 24 3" xfId="8742"/>
    <cellStyle name="Porcentual 2 2 25" xfId="2519"/>
    <cellStyle name="Porcentual 2 2 25 2" xfId="6333"/>
    <cellStyle name="Porcentual 2 2 25 3" xfId="8743"/>
    <cellStyle name="Porcentual 2 2 26" xfId="2520"/>
    <cellStyle name="Porcentual 2 2 26 2" xfId="6334"/>
    <cellStyle name="Porcentual 2 2 26 3" xfId="8744"/>
    <cellStyle name="Porcentual 2 2 27" xfId="2521"/>
    <cellStyle name="Porcentual 2 2 27 2" xfId="6335"/>
    <cellStyle name="Porcentual 2 2 27 3" xfId="8745"/>
    <cellStyle name="Porcentual 2 2 28" xfId="2522"/>
    <cellStyle name="Porcentual 2 2 28 2" xfId="6336"/>
    <cellStyle name="Porcentual 2 2 28 3" xfId="8746"/>
    <cellStyle name="Porcentual 2 2 29" xfId="2523"/>
    <cellStyle name="Porcentual 2 2 29 2" xfId="6337"/>
    <cellStyle name="Porcentual 2 2 29 3" xfId="8747"/>
    <cellStyle name="Porcentual 2 2 3" xfId="2524"/>
    <cellStyle name="Porcentual 2 2 3 2" xfId="4067"/>
    <cellStyle name="Porcentual 2 2 3 2 2" xfId="4217"/>
    <cellStyle name="Porcentual 2 2 3 2 2 2" xfId="9652"/>
    <cellStyle name="Porcentual 2 2 3 2 2 2 2" xfId="10583"/>
    <cellStyle name="Porcentual 2 2 3 2 2 3" xfId="10582"/>
    <cellStyle name="Porcentual 2 2 3 2 3" xfId="9548"/>
    <cellStyle name="Porcentual 2 2 3 2 3 2" xfId="10584"/>
    <cellStyle name="Porcentual 2 2 3 2 4" xfId="10581"/>
    <cellStyle name="Porcentual 2 2 3 3" xfId="4166"/>
    <cellStyle name="Porcentual 2 2 3 3 2" xfId="9601"/>
    <cellStyle name="Porcentual 2 2 3 3 2 2" xfId="10586"/>
    <cellStyle name="Porcentual 2 2 3 3 3" xfId="10585"/>
    <cellStyle name="Porcentual 2 2 3 4" xfId="8748"/>
    <cellStyle name="Porcentual 2 2 30" xfId="2525"/>
    <cellStyle name="Porcentual 2 2 30 2" xfId="6338"/>
    <cellStyle name="Porcentual 2 2 31" xfId="2526"/>
    <cellStyle name="Porcentual 2 2 31 2" xfId="6339"/>
    <cellStyle name="Porcentual 2 2 32" xfId="2527"/>
    <cellStyle name="Porcentual 2 2 32 2" xfId="6340"/>
    <cellStyle name="Porcentual 2 2 33" xfId="2528"/>
    <cellStyle name="Porcentual 2 2 33 2" xfId="6341"/>
    <cellStyle name="Porcentual 2 2 34" xfId="2529"/>
    <cellStyle name="Porcentual 2 2 34 2" xfId="6342"/>
    <cellStyle name="Porcentual 2 2 35" xfId="2530"/>
    <cellStyle name="Porcentual 2 2 35 2" xfId="6343"/>
    <cellStyle name="Porcentual 2 2 36" xfId="2531"/>
    <cellStyle name="Porcentual 2 2 36 2" xfId="6344"/>
    <cellStyle name="Porcentual 2 2 37" xfId="2532"/>
    <cellStyle name="Porcentual 2 2 37 2" xfId="6345"/>
    <cellStyle name="Porcentual 2 2 38" xfId="2533"/>
    <cellStyle name="Porcentual 2 2 38 2" xfId="6346"/>
    <cellStyle name="Porcentual 2 2 39" xfId="2534"/>
    <cellStyle name="Porcentual 2 2 39 2" xfId="6347"/>
    <cellStyle name="Porcentual 2 2 4" xfId="2535"/>
    <cellStyle name="Porcentual 2 2 4 2" xfId="4201"/>
    <cellStyle name="Porcentual 2 2 4 2 2" xfId="9636"/>
    <cellStyle name="Porcentual 2 2 4 2 2 2" xfId="10588"/>
    <cellStyle name="Porcentual 2 2 4 2 3" xfId="10587"/>
    <cellStyle name="Porcentual 2 2 4 3" xfId="8749"/>
    <cellStyle name="Porcentual 2 2 40" xfId="2536"/>
    <cellStyle name="Porcentual 2 2 40 2" xfId="6348"/>
    <cellStyle name="Porcentual 2 2 41" xfId="2537"/>
    <cellStyle name="Porcentual 2 2 41 2" xfId="6349"/>
    <cellStyle name="Porcentual 2 2 42" xfId="2538"/>
    <cellStyle name="Porcentual 2 2 42 2" xfId="6350"/>
    <cellStyle name="Porcentual 2 2 43" xfId="2539"/>
    <cellStyle name="Porcentual 2 2 43 2" xfId="6351"/>
    <cellStyle name="Porcentual 2 2 44" xfId="2540"/>
    <cellStyle name="Porcentual 2 2 44 2" xfId="6352"/>
    <cellStyle name="Porcentual 2 2 45" xfId="2541"/>
    <cellStyle name="Porcentual 2 2 45 2" xfId="6353"/>
    <cellStyle name="Porcentual 2 2 46" xfId="2542"/>
    <cellStyle name="Porcentual 2 2 46 2" xfId="6354"/>
    <cellStyle name="Porcentual 2 2 47" xfId="2543"/>
    <cellStyle name="Porcentual 2 2 47 2" xfId="6355"/>
    <cellStyle name="Porcentual 2 2 48" xfId="2544"/>
    <cellStyle name="Porcentual 2 2 48 2" xfId="6356"/>
    <cellStyle name="Porcentual 2 2 49" xfId="2545"/>
    <cellStyle name="Porcentual 2 2 49 2" xfId="6357"/>
    <cellStyle name="Porcentual 2 2 5" xfId="2546"/>
    <cellStyle name="Porcentual 2 2 5 2" xfId="6358"/>
    <cellStyle name="Porcentual 2 2 5 3" xfId="8750"/>
    <cellStyle name="Porcentual 2 2 50" xfId="2547"/>
    <cellStyle name="Porcentual 2 2 50 2" xfId="6359"/>
    <cellStyle name="Porcentual 2 2 51" xfId="2548"/>
    <cellStyle name="Porcentual 2 2 51 2" xfId="6360"/>
    <cellStyle name="Porcentual 2 2 52" xfId="2549"/>
    <cellStyle name="Porcentual 2 2 52 2" xfId="6361"/>
    <cellStyle name="Porcentual 2 2 53" xfId="2550"/>
    <cellStyle name="Porcentual 2 2 53 2" xfId="6362"/>
    <cellStyle name="Porcentual 2 2 54" xfId="2551"/>
    <cellStyle name="Porcentual 2 2 54 2" xfId="6363"/>
    <cellStyle name="Porcentual 2 2 55" xfId="2552"/>
    <cellStyle name="Porcentual 2 2 55 2" xfId="6364"/>
    <cellStyle name="Porcentual 2 2 56" xfId="2553"/>
    <cellStyle name="Porcentual 2 2 56 2" xfId="6365"/>
    <cellStyle name="Porcentual 2 2 57" xfId="2554"/>
    <cellStyle name="Porcentual 2 2 58" xfId="2555"/>
    <cellStyle name="Porcentual 2 2 59" xfId="2556"/>
    <cellStyle name="Porcentual 2 2 6" xfId="2557"/>
    <cellStyle name="Porcentual 2 2 6 2" xfId="6366"/>
    <cellStyle name="Porcentual 2 2 6 3" xfId="8751"/>
    <cellStyle name="Porcentual 2 2 60" xfId="2558"/>
    <cellStyle name="Porcentual 2 2 61" xfId="2559"/>
    <cellStyle name="Porcentual 2 2 62" xfId="2560"/>
    <cellStyle name="Porcentual 2 2 63" xfId="4033"/>
    <cellStyle name="Porcentual 2 2 63 2" xfId="9532"/>
    <cellStyle name="Porcentual 2 2 63 2 2" xfId="10590"/>
    <cellStyle name="Porcentual 2 2 63 3" xfId="10589"/>
    <cellStyle name="Porcentual 2 2 64" xfId="4150"/>
    <cellStyle name="Porcentual 2 2 64 2" xfId="9585"/>
    <cellStyle name="Porcentual 2 2 64 2 2" xfId="10592"/>
    <cellStyle name="Porcentual 2 2 64 3" xfId="10591"/>
    <cellStyle name="Porcentual 2 2 65" xfId="4288"/>
    <cellStyle name="Porcentual 2 2 65 2" xfId="9704"/>
    <cellStyle name="Porcentual 2 2 65 2 2" xfId="10594"/>
    <cellStyle name="Porcentual 2 2 65 3" xfId="10593"/>
    <cellStyle name="Porcentual 2 2 7" xfId="2561"/>
    <cellStyle name="Porcentual 2 2 7 2" xfId="6367"/>
    <cellStyle name="Porcentual 2 2 7 3" xfId="8752"/>
    <cellStyle name="Porcentual 2 2 8" xfId="2562"/>
    <cellStyle name="Porcentual 2 2 8 2" xfId="6368"/>
    <cellStyle name="Porcentual 2 2 8 3" xfId="8753"/>
    <cellStyle name="Porcentual 2 2 9" xfId="2563"/>
    <cellStyle name="Porcentual 2 2 9 2" xfId="6369"/>
    <cellStyle name="Porcentual 2 2 9 3" xfId="8754"/>
    <cellStyle name="Porcentual 2 20" xfId="2564"/>
    <cellStyle name="Porcentual 2 20 10" xfId="2565"/>
    <cellStyle name="Porcentual 2 20 10 2" xfId="6370"/>
    <cellStyle name="Porcentual 2 20 11" xfId="2566"/>
    <cellStyle name="Porcentual 2 20 11 2" xfId="6371"/>
    <cellStyle name="Porcentual 2 20 12" xfId="2567"/>
    <cellStyle name="Porcentual 2 20 12 2" xfId="6372"/>
    <cellStyle name="Porcentual 2 20 13" xfId="2568"/>
    <cellStyle name="Porcentual 2 20 13 2" xfId="6373"/>
    <cellStyle name="Porcentual 2 20 14" xfId="2569"/>
    <cellStyle name="Porcentual 2 20 14 2" xfId="6374"/>
    <cellStyle name="Porcentual 2 20 15" xfId="2570"/>
    <cellStyle name="Porcentual 2 20 15 2" xfId="6375"/>
    <cellStyle name="Porcentual 2 20 16" xfId="2571"/>
    <cellStyle name="Porcentual 2 20 16 2" xfId="6376"/>
    <cellStyle name="Porcentual 2 20 17" xfId="2572"/>
    <cellStyle name="Porcentual 2 20 17 2" xfId="6377"/>
    <cellStyle name="Porcentual 2 20 18" xfId="2573"/>
    <cellStyle name="Porcentual 2 20 18 2" xfId="6378"/>
    <cellStyle name="Porcentual 2 20 19" xfId="2574"/>
    <cellStyle name="Porcentual 2 20 19 2" xfId="6379"/>
    <cellStyle name="Porcentual 2 20 2" xfId="2575"/>
    <cellStyle name="Porcentual 2 20 2 2" xfId="6380"/>
    <cellStyle name="Porcentual 2 20 20" xfId="2576"/>
    <cellStyle name="Porcentual 2 20 20 2" xfId="6381"/>
    <cellStyle name="Porcentual 2 20 21" xfId="2577"/>
    <cellStyle name="Porcentual 2 20 21 2" xfId="6382"/>
    <cellStyle name="Porcentual 2 20 22" xfId="2578"/>
    <cellStyle name="Porcentual 2 20 22 2" xfId="6383"/>
    <cellStyle name="Porcentual 2 20 23" xfId="2579"/>
    <cellStyle name="Porcentual 2 20 23 2" xfId="6384"/>
    <cellStyle name="Porcentual 2 20 24" xfId="2580"/>
    <cellStyle name="Porcentual 2 20 24 2" xfId="6385"/>
    <cellStyle name="Porcentual 2 20 25" xfId="2581"/>
    <cellStyle name="Porcentual 2 20 25 2" xfId="6386"/>
    <cellStyle name="Porcentual 2 20 26" xfId="2582"/>
    <cellStyle name="Porcentual 2 20 26 2" xfId="6387"/>
    <cellStyle name="Porcentual 2 20 27" xfId="2583"/>
    <cellStyle name="Porcentual 2 20 27 2" xfId="6388"/>
    <cellStyle name="Porcentual 2 20 28" xfId="2584"/>
    <cellStyle name="Porcentual 2 20 28 2" xfId="6389"/>
    <cellStyle name="Porcentual 2 20 29" xfId="6390"/>
    <cellStyle name="Porcentual 2 20 3" xfId="2585"/>
    <cellStyle name="Porcentual 2 20 3 2" xfId="6391"/>
    <cellStyle name="Porcentual 2 20 4" xfId="2586"/>
    <cellStyle name="Porcentual 2 20 4 2" xfId="6392"/>
    <cellStyle name="Porcentual 2 20 5" xfId="2587"/>
    <cellStyle name="Porcentual 2 20 5 2" xfId="6393"/>
    <cellStyle name="Porcentual 2 20 6" xfId="2588"/>
    <cellStyle name="Porcentual 2 20 6 2" xfId="6394"/>
    <cellStyle name="Porcentual 2 20 7" xfId="2589"/>
    <cellStyle name="Porcentual 2 20 7 2" xfId="6395"/>
    <cellStyle name="Porcentual 2 20 8" xfId="2590"/>
    <cellStyle name="Porcentual 2 20 8 2" xfId="6396"/>
    <cellStyle name="Porcentual 2 20 9" xfId="2591"/>
    <cellStyle name="Porcentual 2 20 9 2" xfId="6397"/>
    <cellStyle name="Porcentual 2 21" xfId="2592"/>
    <cellStyle name="Porcentual 2 21 10" xfId="2593"/>
    <cellStyle name="Porcentual 2 21 10 2" xfId="6398"/>
    <cellStyle name="Porcentual 2 21 11" xfId="2594"/>
    <cellStyle name="Porcentual 2 21 11 2" xfId="6399"/>
    <cellStyle name="Porcentual 2 21 12" xfId="2595"/>
    <cellStyle name="Porcentual 2 21 12 2" xfId="6400"/>
    <cellStyle name="Porcentual 2 21 13" xfId="2596"/>
    <cellStyle name="Porcentual 2 21 13 2" xfId="6401"/>
    <cellStyle name="Porcentual 2 21 14" xfId="2597"/>
    <cellStyle name="Porcentual 2 21 14 2" xfId="6402"/>
    <cellStyle name="Porcentual 2 21 15" xfId="2598"/>
    <cellStyle name="Porcentual 2 21 15 2" xfId="6403"/>
    <cellStyle name="Porcentual 2 21 16" xfId="2599"/>
    <cellStyle name="Porcentual 2 21 16 2" xfId="6404"/>
    <cellStyle name="Porcentual 2 21 17" xfId="2600"/>
    <cellStyle name="Porcentual 2 21 17 2" xfId="6405"/>
    <cellStyle name="Porcentual 2 21 18" xfId="2601"/>
    <cellStyle name="Porcentual 2 21 18 2" xfId="6406"/>
    <cellStyle name="Porcentual 2 21 19" xfId="2602"/>
    <cellStyle name="Porcentual 2 21 19 2" xfId="6407"/>
    <cellStyle name="Porcentual 2 21 2" xfId="2603"/>
    <cellStyle name="Porcentual 2 21 2 2" xfId="6408"/>
    <cellStyle name="Porcentual 2 21 20" xfId="2604"/>
    <cellStyle name="Porcentual 2 21 20 2" xfId="6409"/>
    <cellStyle name="Porcentual 2 21 21" xfId="2605"/>
    <cellStyle name="Porcentual 2 21 21 2" xfId="6410"/>
    <cellStyle name="Porcentual 2 21 22" xfId="2606"/>
    <cellStyle name="Porcentual 2 21 22 2" xfId="6411"/>
    <cellStyle name="Porcentual 2 21 23" xfId="2607"/>
    <cellStyle name="Porcentual 2 21 23 2" xfId="6412"/>
    <cellStyle name="Porcentual 2 21 24" xfId="2608"/>
    <cellStyle name="Porcentual 2 21 24 2" xfId="6413"/>
    <cellStyle name="Porcentual 2 21 25" xfId="2609"/>
    <cellStyle name="Porcentual 2 21 25 2" xfId="6414"/>
    <cellStyle name="Porcentual 2 21 26" xfId="2610"/>
    <cellStyle name="Porcentual 2 21 26 2" xfId="6415"/>
    <cellStyle name="Porcentual 2 21 27" xfId="2611"/>
    <cellStyle name="Porcentual 2 21 27 2" xfId="6416"/>
    <cellStyle name="Porcentual 2 21 28" xfId="2612"/>
    <cellStyle name="Porcentual 2 21 28 2" xfId="6417"/>
    <cellStyle name="Porcentual 2 21 29" xfId="6418"/>
    <cellStyle name="Porcentual 2 21 3" xfId="2613"/>
    <cellStyle name="Porcentual 2 21 3 2" xfId="6419"/>
    <cellStyle name="Porcentual 2 21 4" xfId="2614"/>
    <cellStyle name="Porcentual 2 21 4 2" xfId="6420"/>
    <cellStyle name="Porcentual 2 21 5" xfId="2615"/>
    <cellStyle name="Porcentual 2 21 5 2" xfId="6421"/>
    <cellStyle name="Porcentual 2 21 6" xfId="2616"/>
    <cellStyle name="Porcentual 2 21 6 2" xfId="6422"/>
    <cellStyle name="Porcentual 2 21 7" xfId="2617"/>
    <cellStyle name="Porcentual 2 21 7 2" xfId="6423"/>
    <cellStyle name="Porcentual 2 21 8" xfId="2618"/>
    <cellStyle name="Porcentual 2 21 8 2" xfId="6424"/>
    <cellStyle name="Porcentual 2 21 9" xfId="2619"/>
    <cellStyle name="Porcentual 2 21 9 2" xfId="6425"/>
    <cellStyle name="Porcentual 2 22" xfId="2620"/>
    <cellStyle name="Porcentual 2 22 10" xfId="2621"/>
    <cellStyle name="Porcentual 2 22 10 2" xfId="6426"/>
    <cellStyle name="Porcentual 2 22 11" xfId="2622"/>
    <cellStyle name="Porcentual 2 22 11 2" xfId="6427"/>
    <cellStyle name="Porcentual 2 22 12" xfId="2623"/>
    <cellStyle name="Porcentual 2 22 12 2" xfId="6428"/>
    <cellStyle name="Porcentual 2 22 13" xfId="2624"/>
    <cellStyle name="Porcentual 2 22 13 2" xfId="6429"/>
    <cellStyle name="Porcentual 2 22 14" xfId="2625"/>
    <cellStyle name="Porcentual 2 22 14 2" xfId="6430"/>
    <cellStyle name="Porcentual 2 22 15" xfId="2626"/>
    <cellStyle name="Porcentual 2 22 15 2" xfId="6431"/>
    <cellStyle name="Porcentual 2 22 16" xfId="2627"/>
    <cellStyle name="Porcentual 2 22 16 2" xfId="6432"/>
    <cellStyle name="Porcentual 2 22 17" xfId="2628"/>
    <cellStyle name="Porcentual 2 22 17 2" xfId="6433"/>
    <cellStyle name="Porcentual 2 22 18" xfId="2629"/>
    <cellStyle name="Porcentual 2 22 18 2" xfId="6434"/>
    <cellStyle name="Porcentual 2 22 19" xfId="2630"/>
    <cellStyle name="Porcentual 2 22 19 2" xfId="6435"/>
    <cellStyle name="Porcentual 2 22 2" xfId="2631"/>
    <cellStyle name="Porcentual 2 22 2 2" xfId="6436"/>
    <cellStyle name="Porcentual 2 22 20" xfId="2632"/>
    <cellStyle name="Porcentual 2 22 20 2" xfId="6437"/>
    <cellStyle name="Porcentual 2 22 21" xfId="2633"/>
    <cellStyle name="Porcentual 2 22 21 2" xfId="6438"/>
    <cellStyle name="Porcentual 2 22 22" xfId="2634"/>
    <cellStyle name="Porcentual 2 22 22 2" xfId="6439"/>
    <cellStyle name="Porcentual 2 22 23" xfId="2635"/>
    <cellStyle name="Porcentual 2 22 23 2" xfId="6440"/>
    <cellStyle name="Porcentual 2 22 24" xfId="2636"/>
    <cellStyle name="Porcentual 2 22 24 2" xfId="6441"/>
    <cellStyle name="Porcentual 2 22 25" xfId="2637"/>
    <cellStyle name="Porcentual 2 22 25 2" xfId="6442"/>
    <cellStyle name="Porcentual 2 22 26" xfId="2638"/>
    <cellStyle name="Porcentual 2 22 26 2" xfId="6443"/>
    <cellStyle name="Porcentual 2 22 27" xfId="2639"/>
    <cellStyle name="Porcentual 2 22 27 2" xfId="6444"/>
    <cellStyle name="Porcentual 2 22 28" xfId="2640"/>
    <cellStyle name="Porcentual 2 22 28 2" xfId="6445"/>
    <cellStyle name="Porcentual 2 22 29" xfId="6446"/>
    <cellStyle name="Porcentual 2 22 3" xfId="2641"/>
    <cellStyle name="Porcentual 2 22 3 2" xfId="6447"/>
    <cellStyle name="Porcentual 2 22 4" xfId="2642"/>
    <cellStyle name="Porcentual 2 22 4 2" xfId="6448"/>
    <cellStyle name="Porcentual 2 22 5" xfId="2643"/>
    <cellStyle name="Porcentual 2 22 5 2" xfId="6449"/>
    <cellStyle name="Porcentual 2 22 6" xfId="2644"/>
    <cellStyle name="Porcentual 2 22 6 2" xfId="6450"/>
    <cellStyle name="Porcentual 2 22 7" xfId="2645"/>
    <cellStyle name="Porcentual 2 22 7 2" xfId="6451"/>
    <cellStyle name="Porcentual 2 22 8" xfId="2646"/>
    <cellStyle name="Porcentual 2 22 8 2" xfId="6452"/>
    <cellStyle name="Porcentual 2 22 9" xfId="2647"/>
    <cellStyle name="Porcentual 2 22 9 2" xfId="6453"/>
    <cellStyle name="Porcentual 2 23" xfId="2648"/>
    <cellStyle name="Porcentual 2 23 10" xfId="2649"/>
    <cellStyle name="Porcentual 2 23 10 2" xfId="6454"/>
    <cellStyle name="Porcentual 2 23 11" xfId="2650"/>
    <cellStyle name="Porcentual 2 23 11 2" xfId="6455"/>
    <cellStyle name="Porcentual 2 23 12" xfId="2651"/>
    <cellStyle name="Porcentual 2 23 12 2" xfId="6456"/>
    <cellStyle name="Porcentual 2 23 13" xfId="2652"/>
    <cellStyle name="Porcentual 2 23 13 2" xfId="6457"/>
    <cellStyle name="Porcentual 2 23 14" xfId="2653"/>
    <cellStyle name="Porcentual 2 23 14 2" xfId="6458"/>
    <cellStyle name="Porcentual 2 23 15" xfId="2654"/>
    <cellStyle name="Porcentual 2 23 15 2" xfId="6459"/>
    <cellStyle name="Porcentual 2 23 16" xfId="2655"/>
    <cellStyle name="Porcentual 2 23 16 2" xfId="6460"/>
    <cellStyle name="Porcentual 2 23 17" xfId="2656"/>
    <cellStyle name="Porcentual 2 23 17 2" xfId="6461"/>
    <cellStyle name="Porcentual 2 23 18" xfId="2657"/>
    <cellStyle name="Porcentual 2 23 18 2" xfId="6462"/>
    <cellStyle name="Porcentual 2 23 19" xfId="2658"/>
    <cellStyle name="Porcentual 2 23 19 2" xfId="6463"/>
    <cellStyle name="Porcentual 2 23 2" xfId="2659"/>
    <cellStyle name="Porcentual 2 23 2 2" xfId="6464"/>
    <cellStyle name="Porcentual 2 23 20" xfId="2660"/>
    <cellStyle name="Porcentual 2 23 20 2" xfId="6465"/>
    <cellStyle name="Porcentual 2 23 21" xfId="2661"/>
    <cellStyle name="Porcentual 2 23 21 2" xfId="6466"/>
    <cellStyle name="Porcentual 2 23 22" xfId="2662"/>
    <cellStyle name="Porcentual 2 23 22 2" xfId="6467"/>
    <cellStyle name="Porcentual 2 23 23" xfId="2663"/>
    <cellStyle name="Porcentual 2 23 23 2" xfId="6468"/>
    <cellStyle name="Porcentual 2 23 24" xfId="2664"/>
    <cellStyle name="Porcentual 2 23 24 2" xfId="6469"/>
    <cellStyle name="Porcentual 2 23 25" xfId="2665"/>
    <cellStyle name="Porcentual 2 23 25 2" xfId="6470"/>
    <cellStyle name="Porcentual 2 23 26" xfId="2666"/>
    <cellStyle name="Porcentual 2 23 26 2" xfId="6471"/>
    <cellStyle name="Porcentual 2 23 27" xfId="2667"/>
    <cellStyle name="Porcentual 2 23 27 2" xfId="6472"/>
    <cellStyle name="Porcentual 2 23 28" xfId="2668"/>
    <cellStyle name="Porcentual 2 23 28 2" xfId="6473"/>
    <cellStyle name="Porcentual 2 23 29" xfId="6474"/>
    <cellStyle name="Porcentual 2 23 3" xfId="2669"/>
    <cellStyle name="Porcentual 2 23 3 2" xfId="6475"/>
    <cellStyle name="Porcentual 2 23 4" xfId="2670"/>
    <cellStyle name="Porcentual 2 23 4 2" xfId="6476"/>
    <cellStyle name="Porcentual 2 23 5" xfId="2671"/>
    <cellStyle name="Porcentual 2 23 5 2" xfId="6477"/>
    <cellStyle name="Porcentual 2 23 6" xfId="2672"/>
    <cellStyle name="Porcentual 2 23 6 2" xfId="6478"/>
    <cellStyle name="Porcentual 2 23 7" xfId="2673"/>
    <cellStyle name="Porcentual 2 23 7 2" xfId="6479"/>
    <cellStyle name="Porcentual 2 23 8" xfId="2674"/>
    <cellStyle name="Porcentual 2 23 8 2" xfId="6480"/>
    <cellStyle name="Porcentual 2 23 9" xfId="2675"/>
    <cellStyle name="Porcentual 2 23 9 2" xfId="6481"/>
    <cellStyle name="Porcentual 2 24" xfId="2676"/>
    <cellStyle name="Porcentual 2 24 10" xfId="2677"/>
    <cellStyle name="Porcentual 2 24 10 2" xfId="6482"/>
    <cellStyle name="Porcentual 2 24 11" xfId="2678"/>
    <cellStyle name="Porcentual 2 24 11 2" xfId="6483"/>
    <cellStyle name="Porcentual 2 24 12" xfId="2679"/>
    <cellStyle name="Porcentual 2 24 12 2" xfId="6484"/>
    <cellStyle name="Porcentual 2 24 13" xfId="2680"/>
    <cellStyle name="Porcentual 2 24 13 2" xfId="6485"/>
    <cellStyle name="Porcentual 2 24 14" xfId="2681"/>
    <cellStyle name="Porcentual 2 24 14 2" xfId="6486"/>
    <cellStyle name="Porcentual 2 24 15" xfId="2682"/>
    <cellStyle name="Porcentual 2 24 15 2" xfId="6487"/>
    <cellStyle name="Porcentual 2 24 16" xfId="2683"/>
    <cellStyle name="Porcentual 2 24 16 2" xfId="6488"/>
    <cellStyle name="Porcentual 2 24 17" xfId="2684"/>
    <cellStyle name="Porcentual 2 24 17 2" xfId="6489"/>
    <cellStyle name="Porcentual 2 24 18" xfId="2685"/>
    <cellStyle name="Porcentual 2 24 18 2" xfId="6490"/>
    <cellStyle name="Porcentual 2 24 19" xfId="2686"/>
    <cellStyle name="Porcentual 2 24 19 2" xfId="6491"/>
    <cellStyle name="Porcentual 2 24 2" xfId="2687"/>
    <cellStyle name="Porcentual 2 24 2 2" xfId="6492"/>
    <cellStyle name="Porcentual 2 24 20" xfId="2688"/>
    <cellStyle name="Porcentual 2 24 20 2" xfId="6493"/>
    <cellStyle name="Porcentual 2 24 21" xfId="2689"/>
    <cellStyle name="Porcentual 2 24 21 2" xfId="6494"/>
    <cellStyle name="Porcentual 2 24 22" xfId="2690"/>
    <cellStyle name="Porcentual 2 24 22 2" xfId="6495"/>
    <cellStyle name="Porcentual 2 24 23" xfId="2691"/>
    <cellStyle name="Porcentual 2 24 23 2" xfId="6496"/>
    <cellStyle name="Porcentual 2 24 24" xfId="2692"/>
    <cellStyle name="Porcentual 2 24 24 2" xfId="6497"/>
    <cellStyle name="Porcentual 2 24 25" xfId="2693"/>
    <cellStyle name="Porcentual 2 24 25 2" xfId="6498"/>
    <cellStyle name="Porcentual 2 24 26" xfId="2694"/>
    <cellStyle name="Porcentual 2 24 26 2" xfId="6499"/>
    <cellStyle name="Porcentual 2 24 27" xfId="2695"/>
    <cellStyle name="Porcentual 2 24 27 2" xfId="6500"/>
    <cellStyle name="Porcentual 2 24 28" xfId="2696"/>
    <cellStyle name="Porcentual 2 24 28 2" xfId="6501"/>
    <cellStyle name="Porcentual 2 24 29" xfId="6502"/>
    <cellStyle name="Porcentual 2 24 3" xfId="2697"/>
    <cellStyle name="Porcentual 2 24 3 2" xfId="6503"/>
    <cellStyle name="Porcentual 2 24 4" xfId="2698"/>
    <cellStyle name="Porcentual 2 24 4 2" xfId="6504"/>
    <cellStyle name="Porcentual 2 24 5" xfId="2699"/>
    <cellStyle name="Porcentual 2 24 5 2" xfId="6505"/>
    <cellStyle name="Porcentual 2 24 6" xfId="2700"/>
    <cellStyle name="Porcentual 2 24 6 2" xfId="6506"/>
    <cellStyle name="Porcentual 2 24 7" xfId="2701"/>
    <cellStyle name="Porcentual 2 24 7 2" xfId="6507"/>
    <cellStyle name="Porcentual 2 24 8" xfId="2702"/>
    <cellStyle name="Porcentual 2 24 8 2" xfId="6508"/>
    <cellStyle name="Porcentual 2 24 9" xfId="2703"/>
    <cellStyle name="Porcentual 2 24 9 2" xfId="6509"/>
    <cellStyle name="Porcentual 2 25" xfId="2704"/>
    <cellStyle name="Porcentual 2 25 10" xfId="2705"/>
    <cellStyle name="Porcentual 2 25 10 2" xfId="6510"/>
    <cellStyle name="Porcentual 2 25 11" xfId="2706"/>
    <cellStyle name="Porcentual 2 25 11 2" xfId="6511"/>
    <cellStyle name="Porcentual 2 25 12" xfId="2707"/>
    <cellStyle name="Porcentual 2 25 12 2" xfId="6512"/>
    <cellStyle name="Porcentual 2 25 13" xfId="2708"/>
    <cellStyle name="Porcentual 2 25 13 2" xfId="6513"/>
    <cellStyle name="Porcentual 2 25 14" xfId="2709"/>
    <cellStyle name="Porcentual 2 25 14 2" xfId="6514"/>
    <cellStyle name="Porcentual 2 25 15" xfId="2710"/>
    <cellStyle name="Porcentual 2 25 15 2" xfId="6515"/>
    <cellStyle name="Porcentual 2 25 16" xfId="2711"/>
    <cellStyle name="Porcentual 2 25 16 2" xfId="6516"/>
    <cellStyle name="Porcentual 2 25 17" xfId="2712"/>
    <cellStyle name="Porcentual 2 25 17 2" xfId="6517"/>
    <cellStyle name="Porcentual 2 25 18" xfId="2713"/>
    <cellStyle name="Porcentual 2 25 18 2" xfId="6518"/>
    <cellStyle name="Porcentual 2 25 19" xfId="2714"/>
    <cellStyle name="Porcentual 2 25 19 2" xfId="6519"/>
    <cellStyle name="Porcentual 2 25 2" xfId="2715"/>
    <cellStyle name="Porcentual 2 25 2 2" xfId="6520"/>
    <cellStyle name="Porcentual 2 25 20" xfId="2716"/>
    <cellStyle name="Porcentual 2 25 20 2" xfId="6521"/>
    <cellStyle name="Porcentual 2 25 21" xfId="2717"/>
    <cellStyle name="Porcentual 2 25 21 2" xfId="6522"/>
    <cellStyle name="Porcentual 2 25 22" xfId="2718"/>
    <cellStyle name="Porcentual 2 25 22 2" xfId="6523"/>
    <cellStyle name="Porcentual 2 25 23" xfId="2719"/>
    <cellStyle name="Porcentual 2 25 23 2" xfId="6524"/>
    <cellStyle name="Porcentual 2 25 24" xfId="2720"/>
    <cellStyle name="Porcentual 2 25 24 2" xfId="6525"/>
    <cellStyle name="Porcentual 2 25 25" xfId="2721"/>
    <cellStyle name="Porcentual 2 25 25 2" xfId="6526"/>
    <cellStyle name="Porcentual 2 25 26" xfId="2722"/>
    <cellStyle name="Porcentual 2 25 26 2" xfId="6527"/>
    <cellStyle name="Porcentual 2 25 27" xfId="2723"/>
    <cellStyle name="Porcentual 2 25 27 2" xfId="6528"/>
    <cellStyle name="Porcentual 2 25 28" xfId="2724"/>
    <cellStyle name="Porcentual 2 25 28 2" xfId="6529"/>
    <cellStyle name="Porcentual 2 25 29" xfId="6530"/>
    <cellStyle name="Porcentual 2 25 3" xfId="2725"/>
    <cellStyle name="Porcentual 2 25 3 2" xfId="6531"/>
    <cellStyle name="Porcentual 2 25 4" xfId="2726"/>
    <cellStyle name="Porcentual 2 25 4 2" xfId="6532"/>
    <cellStyle name="Porcentual 2 25 5" xfId="2727"/>
    <cellStyle name="Porcentual 2 25 5 2" xfId="6533"/>
    <cellStyle name="Porcentual 2 25 6" xfId="2728"/>
    <cellStyle name="Porcentual 2 25 6 2" xfId="6534"/>
    <cellStyle name="Porcentual 2 25 7" xfId="2729"/>
    <cellStyle name="Porcentual 2 25 7 2" xfId="6535"/>
    <cellStyle name="Porcentual 2 25 8" xfId="2730"/>
    <cellStyle name="Porcentual 2 25 8 2" xfId="6536"/>
    <cellStyle name="Porcentual 2 25 9" xfId="2731"/>
    <cellStyle name="Porcentual 2 25 9 2" xfId="6537"/>
    <cellStyle name="Porcentual 2 26" xfId="2732"/>
    <cellStyle name="Porcentual 2 26 10" xfId="2733"/>
    <cellStyle name="Porcentual 2 26 10 2" xfId="6538"/>
    <cellStyle name="Porcentual 2 26 11" xfId="2734"/>
    <cellStyle name="Porcentual 2 26 11 2" xfId="6539"/>
    <cellStyle name="Porcentual 2 26 12" xfId="2735"/>
    <cellStyle name="Porcentual 2 26 12 2" xfId="6540"/>
    <cellStyle name="Porcentual 2 26 13" xfId="2736"/>
    <cellStyle name="Porcentual 2 26 13 2" xfId="6541"/>
    <cellStyle name="Porcentual 2 26 14" xfId="2737"/>
    <cellStyle name="Porcentual 2 26 14 2" xfId="6542"/>
    <cellStyle name="Porcentual 2 26 15" xfId="2738"/>
    <cellStyle name="Porcentual 2 26 15 2" xfId="6543"/>
    <cellStyle name="Porcentual 2 26 16" xfId="2739"/>
    <cellStyle name="Porcentual 2 26 16 2" xfId="6544"/>
    <cellStyle name="Porcentual 2 26 17" xfId="2740"/>
    <cellStyle name="Porcentual 2 26 17 2" xfId="6545"/>
    <cellStyle name="Porcentual 2 26 18" xfId="2741"/>
    <cellStyle name="Porcentual 2 26 18 2" xfId="6546"/>
    <cellStyle name="Porcentual 2 26 19" xfId="2742"/>
    <cellStyle name="Porcentual 2 26 19 2" xfId="6547"/>
    <cellStyle name="Porcentual 2 26 2" xfId="2743"/>
    <cellStyle name="Porcentual 2 26 2 2" xfId="6548"/>
    <cellStyle name="Porcentual 2 26 20" xfId="2744"/>
    <cellStyle name="Porcentual 2 26 20 2" xfId="6549"/>
    <cellStyle name="Porcentual 2 26 21" xfId="2745"/>
    <cellStyle name="Porcentual 2 26 21 2" xfId="6550"/>
    <cellStyle name="Porcentual 2 26 22" xfId="2746"/>
    <cellStyle name="Porcentual 2 26 22 2" xfId="6551"/>
    <cellStyle name="Porcentual 2 26 23" xfId="2747"/>
    <cellStyle name="Porcentual 2 26 23 2" xfId="6552"/>
    <cellStyle name="Porcentual 2 26 24" xfId="2748"/>
    <cellStyle name="Porcentual 2 26 24 2" xfId="6553"/>
    <cellStyle name="Porcentual 2 26 25" xfId="2749"/>
    <cellStyle name="Porcentual 2 26 25 2" xfId="6554"/>
    <cellStyle name="Porcentual 2 26 26" xfId="2750"/>
    <cellStyle name="Porcentual 2 26 26 2" xfId="6555"/>
    <cellStyle name="Porcentual 2 26 27" xfId="2751"/>
    <cellStyle name="Porcentual 2 26 27 2" xfId="6556"/>
    <cellStyle name="Porcentual 2 26 28" xfId="2752"/>
    <cellStyle name="Porcentual 2 26 28 2" xfId="6557"/>
    <cellStyle name="Porcentual 2 26 29" xfId="6558"/>
    <cellStyle name="Porcentual 2 26 3" xfId="2753"/>
    <cellStyle name="Porcentual 2 26 3 2" xfId="6559"/>
    <cellStyle name="Porcentual 2 26 4" xfId="2754"/>
    <cellStyle name="Porcentual 2 26 4 2" xfId="6560"/>
    <cellStyle name="Porcentual 2 26 5" xfId="2755"/>
    <cellStyle name="Porcentual 2 26 5 2" xfId="6561"/>
    <cellStyle name="Porcentual 2 26 6" xfId="2756"/>
    <cellStyle name="Porcentual 2 26 6 2" xfId="6562"/>
    <cellStyle name="Porcentual 2 26 7" xfId="2757"/>
    <cellStyle name="Porcentual 2 26 7 2" xfId="6563"/>
    <cellStyle name="Porcentual 2 26 8" xfId="2758"/>
    <cellStyle name="Porcentual 2 26 8 2" xfId="6564"/>
    <cellStyle name="Porcentual 2 26 9" xfId="2759"/>
    <cellStyle name="Porcentual 2 26 9 2" xfId="6565"/>
    <cellStyle name="Porcentual 2 27" xfId="2760"/>
    <cellStyle name="Porcentual 2 27 10" xfId="2761"/>
    <cellStyle name="Porcentual 2 27 10 2" xfId="6566"/>
    <cellStyle name="Porcentual 2 27 11" xfId="2762"/>
    <cellStyle name="Porcentual 2 27 11 2" xfId="6567"/>
    <cellStyle name="Porcentual 2 27 12" xfId="2763"/>
    <cellStyle name="Porcentual 2 27 12 2" xfId="6568"/>
    <cellStyle name="Porcentual 2 27 13" xfId="2764"/>
    <cellStyle name="Porcentual 2 27 13 2" xfId="6569"/>
    <cellStyle name="Porcentual 2 27 14" xfId="2765"/>
    <cellStyle name="Porcentual 2 27 14 2" xfId="6570"/>
    <cellStyle name="Porcentual 2 27 15" xfId="2766"/>
    <cellStyle name="Porcentual 2 27 15 2" xfId="6571"/>
    <cellStyle name="Porcentual 2 27 16" xfId="2767"/>
    <cellStyle name="Porcentual 2 27 16 2" xfId="6572"/>
    <cellStyle name="Porcentual 2 27 17" xfId="2768"/>
    <cellStyle name="Porcentual 2 27 17 2" xfId="6573"/>
    <cellStyle name="Porcentual 2 27 18" xfId="2769"/>
    <cellStyle name="Porcentual 2 27 18 2" xfId="6574"/>
    <cellStyle name="Porcentual 2 27 19" xfId="2770"/>
    <cellStyle name="Porcentual 2 27 19 2" xfId="6575"/>
    <cellStyle name="Porcentual 2 27 2" xfId="2771"/>
    <cellStyle name="Porcentual 2 27 2 2" xfId="6576"/>
    <cellStyle name="Porcentual 2 27 20" xfId="2772"/>
    <cellStyle name="Porcentual 2 27 20 2" xfId="6577"/>
    <cellStyle name="Porcentual 2 27 21" xfId="2773"/>
    <cellStyle name="Porcentual 2 27 21 2" xfId="6578"/>
    <cellStyle name="Porcentual 2 27 22" xfId="2774"/>
    <cellStyle name="Porcentual 2 27 22 2" xfId="6579"/>
    <cellStyle name="Porcentual 2 27 23" xfId="2775"/>
    <cellStyle name="Porcentual 2 27 23 2" xfId="6580"/>
    <cellStyle name="Porcentual 2 27 24" xfId="2776"/>
    <cellStyle name="Porcentual 2 27 24 2" xfId="6581"/>
    <cellStyle name="Porcentual 2 27 25" xfId="2777"/>
    <cellStyle name="Porcentual 2 27 25 2" xfId="6582"/>
    <cellStyle name="Porcentual 2 27 26" xfId="2778"/>
    <cellStyle name="Porcentual 2 27 26 2" xfId="6583"/>
    <cellStyle name="Porcentual 2 27 27" xfId="2779"/>
    <cellStyle name="Porcentual 2 27 27 2" xfId="6584"/>
    <cellStyle name="Porcentual 2 27 28" xfId="2780"/>
    <cellStyle name="Porcentual 2 27 28 2" xfId="6585"/>
    <cellStyle name="Porcentual 2 27 29" xfId="6586"/>
    <cellStyle name="Porcentual 2 27 3" xfId="2781"/>
    <cellStyle name="Porcentual 2 27 3 2" xfId="6587"/>
    <cellStyle name="Porcentual 2 27 4" xfId="2782"/>
    <cellStyle name="Porcentual 2 27 4 2" xfId="6588"/>
    <cellStyle name="Porcentual 2 27 5" xfId="2783"/>
    <cellStyle name="Porcentual 2 27 5 2" xfId="6589"/>
    <cellStyle name="Porcentual 2 27 6" xfId="2784"/>
    <cellStyle name="Porcentual 2 27 6 2" xfId="6590"/>
    <cellStyle name="Porcentual 2 27 7" xfId="2785"/>
    <cellStyle name="Porcentual 2 27 7 2" xfId="6591"/>
    <cellStyle name="Porcentual 2 27 8" xfId="2786"/>
    <cellStyle name="Porcentual 2 27 8 2" xfId="6592"/>
    <cellStyle name="Porcentual 2 27 9" xfId="2787"/>
    <cellStyle name="Porcentual 2 27 9 2" xfId="6593"/>
    <cellStyle name="Porcentual 2 28" xfId="2788"/>
    <cellStyle name="Porcentual 2 28 10" xfId="2789"/>
    <cellStyle name="Porcentual 2 28 10 2" xfId="6594"/>
    <cellStyle name="Porcentual 2 28 11" xfId="2790"/>
    <cellStyle name="Porcentual 2 28 11 2" xfId="6595"/>
    <cellStyle name="Porcentual 2 28 12" xfId="2791"/>
    <cellStyle name="Porcentual 2 28 12 2" xfId="6596"/>
    <cellStyle name="Porcentual 2 28 13" xfId="2792"/>
    <cellStyle name="Porcentual 2 28 13 2" xfId="6597"/>
    <cellStyle name="Porcentual 2 28 14" xfId="2793"/>
    <cellStyle name="Porcentual 2 28 14 2" xfId="6598"/>
    <cellStyle name="Porcentual 2 28 15" xfId="2794"/>
    <cellStyle name="Porcentual 2 28 15 2" xfId="6599"/>
    <cellStyle name="Porcentual 2 28 16" xfId="2795"/>
    <cellStyle name="Porcentual 2 28 16 2" xfId="6600"/>
    <cellStyle name="Porcentual 2 28 17" xfId="2796"/>
    <cellStyle name="Porcentual 2 28 17 2" xfId="6601"/>
    <cellStyle name="Porcentual 2 28 18" xfId="2797"/>
    <cellStyle name="Porcentual 2 28 18 2" xfId="6602"/>
    <cellStyle name="Porcentual 2 28 19" xfId="2798"/>
    <cellStyle name="Porcentual 2 28 19 2" xfId="6603"/>
    <cellStyle name="Porcentual 2 28 2" xfId="2799"/>
    <cellStyle name="Porcentual 2 28 2 2" xfId="6604"/>
    <cellStyle name="Porcentual 2 28 20" xfId="2800"/>
    <cellStyle name="Porcentual 2 28 20 2" xfId="6605"/>
    <cellStyle name="Porcentual 2 28 21" xfId="2801"/>
    <cellStyle name="Porcentual 2 28 21 2" xfId="6606"/>
    <cellStyle name="Porcentual 2 28 22" xfId="2802"/>
    <cellStyle name="Porcentual 2 28 22 2" xfId="6607"/>
    <cellStyle name="Porcentual 2 28 23" xfId="2803"/>
    <cellStyle name="Porcentual 2 28 23 2" xfId="6608"/>
    <cellStyle name="Porcentual 2 28 24" xfId="2804"/>
    <cellStyle name="Porcentual 2 28 24 2" xfId="6609"/>
    <cellStyle name="Porcentual 2 28 25" xfId="2805"/>
    <cellStyle name="Porcentual 2 28 25 2" xfId="6610"/>
    <cellStyle name="Porcentual 2 28 26" xfId="2806"/>
    <cellStyle name="Porcentual 2 28 26 2" xfId="6611"/>
    <cellStyle name="Porcentual 2 28 27" xfId="2807"/>
    <cellStyle name="Porcentual 2 28 27 2" xfId="6612"/>
    <cellStyle name="Porcentual 2 28 28" xfId="2808"/>
    <cellStyle name="Porcentual 2 28 28 2" xfId="6613"/>
    <cellStyle name="Porcentual 2 28 29" xfId="6614"/>
    <cellStyle name="Porcentual 2 28 3" xfId="2809"/>
    <cellStyle name="Porcentual 2 28 3 2" xfId="6615"/>
    <cellStyle name="Porcentual 2 28 4" xfId="2810"/>
    <cellStyle name="Porcentual 2 28 4 2" xfId="6616"/>
    <cellStyle name="Porcentual 2 28 5" xfId="2811"/>
    <cellStyle name="Porcentual 2 28 5 2" xfId="6617"/>
    <cellStyle name="Porcentual 2 28 6" xfId="2812"/>
    <cellStyle name="Porcentual 2 28 6 2" xfId="6618"/>
    <cellStyle name="Porcentual 2 28 7" xfId="2813"/>
    <cellStyle name="Porcentual 2 28 7 2" xfId="6619"/>
    <cellStyle name="Porcentual 2 28 8" xfId="2814"/>
    <cellStyle name="Porcentual 2 28 8 2" xfId="6620"/>
    <cellStyle name="Porcentual 2 28 9" xfId="2815"/>
    <cellStyle name="Porcentual 2 28 9 2" xfId="6621"/>
    <cellStyle name="Porcentual 2 29" xfId="2816"/>
    <cellStyle name="Porcentual 2 29 10" xfId="2817"/>
    <cellStyle name="Porcentual 2 29 10 2" xfId="6622"/>
    <cellStyle name="Porcentual 2 29 11" xfId="2818"/>
    <cellStyle name="Porcentual 2 29 11 2" xfId="6623"/>
    <cellStyle name="Porcentual 2 29 12" xfId="2819"/>
    <cellStyle name="Porcentual 2 29 12 2" xfId="6624"/>
    <cellStyle name="Porcentual 2 29 13" xfId="2820"/>
    <cellStyle name="Porcentual 2 29 13 2" xfId="6625"/>
    <cellStyle name="Porcentual 2 29 14" xfId="2821"/>
    <cellStyle name="Porcentual 2 29 14 2" xfId="6626"/>
    <cellStyle name="Porcentual 2 29 15" xfId="2822"/>
    <cellStyle name="Porcentual 2 29 15 2" xfId="6627"/>
    <cellStyle name="Porcentual 2 29 16" xfId="2823"/>
    <cellStyle name="Porcentual 2 29 16 2" xfId="6628"/>
    <cellStyle name="Porcentual 2 29 17" xfId="2824"/>
    <cellStyle name="Porcentual 2 29 17 2" xfId="6629"/>
    <cellStyle name="Porcentual 2 29 18" xfId="2825"/>
    <cellStyle name="Porcentual 2 29 18 2" xfId="6630"/>
    <cellStyle name="Porcentual 2 29 19" xfId="2826"/>
    <cellStyle name="Porcentual 2 29 19 2" xfId="6631"/>
    <cellStyle name="Porcentual 2 29 2" xfId="2827"/>
    <cellStyle name="Porcentual 2 29 2 2" xfId="6632"/>
    <cellStyle name="Porcentual 2 29 20" xfId="2828"/>
    <cellStyle name="Porcentual 2 29 20 2" xfId="6633"/>
    <cellStyle name="Porcentual 2 29 21" xfId="2829"/>
    <cellStyle name="Porcentual 2 29 21 2" xfId="6634"/>
    <cellStyle name="Porcentual 2 29 22" xfId="2830"/>
    <cellStyle name="Porcentual 2 29 22 2" xfId="6635"/>
    <cellStyle name="Porcentual 2 29 23" xfId="2831"/>
    <cellStyle name="Porcentual 2 29 23 2" xfId="6636"/>
    <cellStyle name="Porcentual 2 29 24" xfId="2832"/>
    <cellStyle name="Porcentual 2 29 24 2" xfId="6637"/>
    <cellStyle name="Porcentual 2 29 25" xfId="2833"/>
    <cellStyle name="Porcentual 2 29 25 2" xfId="6638"/>
    <cellStyle name="Porcentual 2 29 26" xfId="2834"/>
    <cellStyle name="Porcentual 2 29 26 2" xfId="6639"/>
    <cellStyle name="Porcentual 2 29 27" xfId="2835"/>
    <cellStyle name="Porcentual 2 29 27 2" xfId="6640"/>
    <cellStyle name="Porcentual 2 29 28" xfId="2836"/>
    <cellStyle name="Porcentual 2 29 28 2" xfId="6641"/>
    <cellStyle name="Porcentual 2 29 29" xfId="6642"/>
    <cellStyle name="Porcentual 2 29 3" xfId="2837"/>
    <cellStyle name="Porcentual 2 29 3 2" xfId="6643"/>
    <cellStyle name="Porcentual 2 29 4" xfId="2838"/>
    <cellStyle name="Porcentual 2 29 4 2" xfId="6644"/>
    <cellStyle name="Porcentual 2 29 5" xfId="2839"/>
    <cellStyle name="Porcentual 2 29 5 2" xfId="6645"/>
    <cellStyle name="Porcentual 2 29 6" xfId="2840"/>
    <cellStyle name="Porcentual 2 29 6 2" xfId="6646"/>
    <cellStyle name="Porcentual 2 29 7" xfId="2841"/>
    <cellStyle name="Porcentual 2 29 7 2" xfId="6647"/>
    <cellStyle name="Porcentual 2 29 8" xfId="2842"/>
    <cellStyle name="Porcentual 2 29 8 2" xfId="6648"/>
    <cellStyle name="Porcentual 2 29 9" xfId="2843"/>
    <cellStyle name="Porcentual 2 29 9 2" xfId="6649"/>
    <cellStyle name="Porcentual 2 3" xfId="2844"/>
    <cellStyle name="Porcentual 2 3 10" xfId="2845"/>
    <cellStyle name="Porcentual 2 3 10 2" xfId="6650"/>
    <cellStyle name="Porcentual 2 3 11" xfId="2846"/>
    <cellStyle name="Porcentual 2 3 11 2" xfId="6651"/>
    <cellStyle name="Porcentual 2 3 12" xfId="2847"/>
    <cellStyle name="Porcentual 2 3 12 2" xfId="6652"/>
    <cellStyle name="Porcentual 2 3 13" xfId="2848"/>
    <cellStyle name="Porcentual 2 3 13 2" xfId="6653"/>
    <cellStyle name="Porcentual 2 3 14" xfId="2849"/>
    <cellStyle name="Porcentual 2 3 14 2" xfId="6654"/>
    <cellStyle name="Porcentual 2 3 15" xfId="2850"/>
    <cellStyle name="Porcentual 2 3 15 2" xfId="6655"/>
    <cellStyle name="Porcentual 2 3 16" xfId="2851"/>
    <cellStyle name="Porcentual 2 3 16 2" xfId="6656"/>
    <cellStyle name="Porcentual 2 3 17" xfId="2852"/>
    <cellStyle name="Porcentual 2 3 17 2" xfId="6657"/>
    <cellStyle name="Porcentual 2 3 18" xfId="2853"/>
    <cellStyle name="Porcentual 2 3 18 2" xfId="6658"/>
    <cellStyle name="Porcentual 2 3 19" xfId="2854"/>
    <cellStyle name="Porcentual 2 3 19 2" xfId="6659"/>
    <cellStyle name="Porcentual 2 3 2" xfId="2855"/>
    <cellStyle name="Porcentual 2 3 2 2" xfId="4232"/>
    <cellStyle name="Porcentual 2 3 2 2 2" xfId="9667"/>
    <cellStyle name="Porcentual 2 3 2 2 2 2" xfId="10596"/>
    <cellStyle name="Porcentual 2 3 2 2 3" xfId="10595"/>
    <cellStyle name="Porcentual 2 3 20" xfId="2856"/>
    <cellStyle name="Porcentual 2 3 20 2" xfId="6660"/>
    <cellStyle name="Porcentual 2 3 21" xfId="2857"/>
    <cellStyle name="Porcentual 2 3 21 2" xfId="6661"/>
    <cellStyle name="Porcentual 2 3 22" xfId="2858"/>
    <cellStyle name="Porcentual 2 3 22 2" xfId="6662"/>
    <cellStyle name="Porcentual 2 3 23" xfId="2859"/>
    <cellStyle name="Porcentual 2 3 23 2" xfId="6663"/>
    <cellStyle name="Porcentual 2 3 24" xfId="2860"/>
    <cellStyle name="Porcentual 2 3 24 2" xfId="6664"/>
    <cellStyle name="Porcentual 2 3 25" xfId="2861"/>
    <cellStyle name="Porcentual 2 3 25 2" xfId="6665"/>
    <cellStyle name="Porcentual 2 3 26" xfId="2862"/>
    <cellStyle name="Porcentual 2 3 26 2" xfId="6666"/>
    <cellStyle name="Porcentual 2 3 27" xfId="2863"/>
    <cellStyle name="Porcentual 2 3 27 2" xfId="6667"/>
    <cellStyle name="Porcentual 2 3 28" xfId="2864"/>
    <cellStyle name="Porcentual 2 3 28 2" xfId="6668"/>
    <cellStyle name="Porcentual 2 3 29" xfId="2865"/>
    <cellStyle name="Porcentual 2 3 3" xfId="2866"/>
    <cellStyle name="Porcentual 2 3 3 2" xfId="6669"/>
    <cellStyle name="Porcentual 2 3 30" xfId="2867"/>
    <cellStyle name="Porcentual 2 3 31" xfId="2868"/>
    <cellStyle name="Porcentual 2 3 32" xfId="2869"/>
    <cellStyle name="Porcentual 2 3 33" xfId="2870"/>
    <cellStyle name="Porcentual 2 3 34" xfId="2871"/>
    <cellStyle name="Porcentual 2 3 35" xfId="4099"/>
    <cellStyle name="Porcentual 2 3 35 2" xfId="9564"/>
    <cellStyle name="Porcentual 2 3 35 2 2" xfId="10598"/>
    <cellStyle name="Porcentual 2 3 35 3" xfId="10597"/>
    <cellStyle name="Porcentual 2 3 36" xfId="4181"/>
    <cellStyle name="Porcentual 2 3 36 2" xfId="9616"/>
    <cellStyle name="Porcentual 2 3 36 2 2" xfId="10600"/>
    <cellStyle name="Porcentual 2 3 36 3" xfId="10599"/>
    <cellStyle name="Porcentual 2 3 37" xfId="4305"/>
    <cellStyle name="Porcentual 2 3 37 2" xfId="9716"/>
    <cellStyle name="Porcentual 2 3 37 2 2" xfId="10602"/>
    <cellStyle name="Porcentual 2 3 37 3" xfId="10601"/>
    <cellStyle name="Porcentual 2 3 4" xfId="2872"/>
    <cellStyle name="Porcentual 2 3 4 2" xfId="6670"/>
    <cellStyle name="Porcentual 2 3 5" xfId="2873"/>
    <cellStyle name="Porcentual 2 3 5 2" xfId="6671"/>
    <cellStyle name="Porcentual 2 3 6" xfId="2874"/>
    <cellStyle name="Porcentual 2 3 6 2" xfId="6672"/>
    <cellStyle name="Porcentual 2 3 7" xfId="2875"/>
    <cellStyle name="Porcentual 2 3 7 2" xfId="6673"/>
    <cellStyle name="Porcentual 2 3 8" xfId="2876"/>
    <cellStyle name="Porcentual 2 3 8 2" xfId="6674"/>
    <cellStyle name="Porcentual 2 3 9" xfId="2877"/>
    <cellStyle name="Porcentual 2 3 9 2" xfId="6675"/>
    <cellStyle name="Porcentual 2 30" xfId="2878"/>
    <cellStyle name="Porcentual 2 30 2" xfId="6676"/>
    <cellStyle name="Porcentual 2 31" xfId="2879"/>
    <cellStyle name="Porcentual 2 31 2" xfId="6677"/>
    <cellStyle name="Porcentual 2 32" xfId="2880"/>
    <cellStyle name="Porcentual 2 32 2" xfId="2881"/>
    <cellStyle name="Porcentual 2 33" xfId="2882"/>
    <cellStyle name="Porcentual 2 33 2" xfId="8755"/>
    <cellStyle name="Porcentual 2 34" xfId="2883"/>
    <cellStyle name="Porcentual 2 34 2" xfId="8756"/>
    <cellStyle name="Porcentual 2 35" xfId="2884"/>
    <cellStyle name="Porcentual 2 35 2" xfId="8757"/>
    <cellStyle name="Porcentual 2 36" xfId="2885"/>
    <cellStyle name="Porcentual 2 36 2" xfId="8758"/>
    <cellStyle name="Porcentual 2 37" xfId="2886"/>
    <cellStyle name="Porcentual 2 37 2" xfId="8759"/>
    <cellStyle name="Porcentual 2 38" xfId="2887"/>
    <cellStyle name="Porcentual 2 38 2" xfId="8760"/>
    <cellStyle name="Porcentual 2 39" xfId="2888"/>
    <cellStyle name="Porcentual 2 39 2" xfId="8761"/>
    <cellStyle name="Porcentual 2 4" xfId="2889"/>
    <cellStyle name="Porcentual 2 4 10" xfId="2890"/>
    <cellStyle name="Porcentual 2 4 10 2" xfId="6678"/>
    <cellStyle name="Porcentual 2 4 11" xfId="2891"/>
    <cellStyle name="Porcentual 2 4 11 2" xfId="6679"/>
    <cellStyle name="Porcentual 2 4 12" xfId="2892"/>
    <cellStyle name="Porcentual 2 4 12 2" xfId="6680"/>
    <cellStyle name="Porcentual 2 4 13" xfId="2893"/>
    <cellStyle name="Porcentual 2 4 13 2" xfId="6681"/>
    <cellStyle name="Porcentual 2 4 14" xfId="2894"/>
    <cellStyle name="Porcentual 2 4 14 2" xfId="6682"/>
    <cellStyle name="Porcentual 2 4 15" xfId="2895"/>
    <cellStyle name="Porcentual 2 4 15 2" xfId="6683"/>
    <cellStyle name="Porcentual 2 4 16" xfId="2896"/>
    <cellStyle name="Porcentual 2 4 16 2" xfId="6684"/>
    <cellStyle name="Porcentual 2 4 17" xfId="2897"/>
    <cellStyle name="Porcentual 2 4 17 2" xfId="6685"/>
    <cellStyle name="Porcentual 2 4 18" xfId="2898"/>
    <cellStyle name="Porcentual 2 4 18 2" xfId="6686"/>
    <cellStyle name="Porcentual 2 4 19" xfId="2899"/>
    <cellStyle name="Porcentual 2 4 19 2" xfId="6687"/>
    <cellStyle name="Porcentual 2 4 2" xfId="2900"/>
    <cellStyle name="Porcentual 2 4 2 2" xfId="4214"/>
    <cellStyle name="Porcentual 2 4 2 2 2" xfId="9649"/>
    <cellStyle name="Porcentual 2 4 2 2 2 2" xfId="10604"/>
    <cellStyle name="Porcentual 2 4 2 2 3" xfId="10603"/>
    <cellStyle name="Porcentual 2 4 20" xfId="2901"/>
    <cellStyle name="Porcentual 2 4 20 2" xfId="6688"/>
    <cellStyle name="Porcentual 2 4 21" xfId="2902"/>
    <cellStyle name="Porcentual 2 4 21 2" xfId="6689"/>
    <cellStyle name="Porcentual 2 4 22" xfId="2903"/>
    <cellStyle name="Porcentual 2 4 22 2" xfId="6690"/>
    <cellStyle name="Porcentual 2 4 23" xfId="2904"/>
    <cellStyle name="Porcentual 2 4 23 2" xfId="6691"/>
    <cellStyle name="Porcentual 2 4 24" xfId="2905"/>
    <cellStyle name="Porcentual 2 4 24 2" xfId="6692"/>
    <cellStyle name="Porcentual 2 4 25" xfId="2906"/>
    <cellStyle name="Porcentual 2 4 25 2" xfId="6693"/>
    <cellStyle name="Porcentual 2 4 26" xfId="2907"/>
    <cellStyle name="Porcentual 2 4 26 2" xfId="6694"/>
    <cellStyle name="Porcentual 2 4 27" xfId="2908"/>
    <cellStyle name="Porcentual 2 4 27 2" xfId="6695"/>
    <cellStyle name="Porcentual 2 4 28" xfId="2909"/>
    <cellStyle name="Porcentual 2 4 28 2" xfId="6696"/>
    <cellStyle name="Porcentual 2 4 29" xfId="2910"/>
    <cellStyle name="Porcentual 2 4 3" xfId="2911"/>
    <cellStyle name="Porcentual 2 4 3 2" xfId="6697"/>
    <cellStyle name="Porcentual 2 4 30" xfId="2912"/>
    <cellStyle name="Porcentual 2 4 31" xfId="2913"/>
    <cellStyle name="Porcentual 2 4 32" xfId="2914"/>
    <cellStyle name="Porcentual 2 4 33" xfId="2915"/>
    <cellStyle name="Porcentual 2 4 34" xfId="2916"/>
    <cellStyle name="Porcentual 2 4 35" xfId="4059"/>
    <cellStyle name="Porcentual 2 4 35 2" xfId="9545"/>
    <cellStyle name="Porcentual 2 4 35 2 2" xfId="10606"/>
    <cellStyle name="Porcentual 2 4 35 3" xfId="10605"/>
    <cellStyle name="Porcentual 2 4 36" xfId="4163"/>
    <cellStyle name="Porcentual 2 4 36 2" xfId="9598"/>
    <cellStyle name="Porcentual 2 4 36 2 2" xfId="10608"/>
    <cellStyle name="Porcentual 2 4 36 3" xfId="10607"/>
    <cellStyle name="Porcentual 2 4 4" xfId="2917"/>
    <cellStyle name="Porcentual 2 4 4 2" xfId="6698"/>
    <cellStyle name="Porcentual 2 4 5" xfId="2918"/>
    <cellStyle name="Porcentual 2 4 5 2" xfId="6699"/>
    <cellStyle name="Porcentual 2 4 6" xfId="2919"/>
    <cellStyle name="Porcentual 2 4 6 2" xfId="6700"/>
    <cellStyle name="Porcentual 2 4 7" xfId="2920"/>
    <cellStyle name="Porcentual 2 4 7 2" xfId="6701"/>
    <cellStyle name="Porcentual 2 4 8" xfId="2921"/>
    <cellStyle name="Porcentual 2 4 8 2" xfId="6702"/>
    <cellStyle name="Porcentual 2 4 9" xfId="2922"/>
    <cellStyle name="Porcentual 2 4 9 2" xfId="6703"/>
    <cellStyle name="Porcentual 2 40" xfId="2923"/>
    <cellStyle name="Porcentual 2 40 2" xfId="8762"/>
    <cellStyle name="Porcentual 2 41" xfId="2924"/>
    <cellStyle name="Porcentual 2 41 2" xfId="8763"/>
    <cellStyle name="Porcentual 2 42" xfId="2925"/>
    <cellStyle name="Porcentual 2 42 2" xfId="8764"/>
    <cellStyle name="Porcentual 2 43" xfId="2926"/>
    <cellStyle name="Porcentual 2 43 2" xfId="8765"/>
    <cellStyle name="Porcentual 2 44" xfId="2927"/>
    <cellStyle name="Porcentual 2 44 2" xfId="8766"/>
    <cellStyle name="Porcentual 2 45" xfId="2928"/>
    <cellStyle name="Porcentual 2 45 2" xfId="8767"/>
    <cellStyle name="Porcentual 2 46" xfId="2929"/>
    <cellStyle name="Porcentual 2 46 2" xfId="8768"/>
    <cellStyle name="Porcentual 2 47" xfId="2930"/>
    <cellStyle name="Porcentual 2 47 2" xfId="8769"/>
    <cellStyle name="Porcentual 2 48" xfId="2931"/>
    <cellStyle name="Porcentual 2 48 2" xfId="8770"/>
    <cellStyle name="Porcentual 2 49" xfId="2932"/>
    <cellStyle name="Porcentual 2 49 2" xfId="8771"/>
    <cellStyle name="Porcentual 2 5" xfId="2933"/>
    <cellStyle name="Porcentual 2 5 10" xfId="2934"/>
    <cellStyle name="Porcentual 2 5 10 2" xfId="6704"/>
    <cellStyle name="Porcentual 2 5 11" xfId="2935"/>
    <cellStyle name="Porcentual 2 5 11 2" xfId="6705"/>
    <cellStyle name="Porcentual 2 5 12" xfId="2936"/>
    <cellStyle name="Porcentual 2 5 12 2" xfId="6706"/>
    <cellStyle name="Porcentual 2 5 13" xfId="2937"/>
    <cellStyle name="Porcentual 2 5 13 2" xfId="6707"/>
    <cellStyle name="Porcentual 2 5 14" xfId="2938"/>
    <cellStyle name="Porcentual 2 5 14 2" xfId="6708"/>
    <cellStyle name="Porcentual 2 5 15" xfId="2939"/>
    <cellStyle name="Porcentual 2 5 15 2" xfId="6709"/>
    <cellStyle name="Porcentual 2 5 16" xfId="2940"/>
    <cellStyle name="Porcentual 2 5 16 2" xfId="6710"/>
    <cellStyle name="Porcentual 2 5 17" xfId="2941"/>
    <cellStyle name="Porcentual 2 5 17 2" xfId="6711"/>
    <cellStyle name="Porcentual 2 5 18" xfId="2942"/>
    <cellStyle name="Porcentual 2 5 18 2" xfId="6712"/>
    <cellStyle name="Porcentual 2 5 19" xfId="2943"/>
    <cellStyle name="Porcentual 2 5 19 2" xfId="6713"/>
    <cellStyle name="Porcentual 2 5 2" xfId="2944"/>
    <cellStyle name="Porcentual 2 5 2 2" xfId="6714"/>
    <cellStyle name="Porcentual 2 5 20" xfId="2945"/>
    <cellStyle name="Porcentual 2 5 20 2" xfId="6715"/>
    <cellStyle name="Porcentual 2 5 21" xfId="2946"/>
    <cellStyle name="Porcentual 2 5 21 2" xfId="6716"/>
    <cellStyle name="Porcentual 2 5 22" xfId="2947"/>
    <cellStyle name="Porcentual 2 5 22 2" xfId="6717"/>
    <cellStyle name="Porcentual 2 5 23" xfId="2948"/>
    <cellStyle name="Porcentual 2 5 23 2" xfId="6718"/>
    <cellStyle name="Porcentual 2 5 24" xfId="2949"/>
    <cellStyle name="Porcentual 2 5 24 2" xfId="6719"/>
    <cellStyle name="Porcentual 2 5 25" xfId="2950"/>
    <cellStyle name="Porcentual 2 5 25 2" xfId="6720"/>
    <cellStyle name="Porcentual 2 5 26" xfId="2951"/>
    <cellStyle name="Porcentual 2 5 26 2" xfId="6721"/>
    <cellStyle name="Porcentual 2 5 27" xfId="2952"/>
    <cellStyle name="Porcentual 2 5 27 2" xfId="6722"/>
    <cellStyle name="Porcentual 2 5 28" xfId="2953"/>
    <cellStyle name="Porcentual 2 5 28 2" xfId="6723"/>
    <cellStyle name="Porcentual 2 5 29" xfId="2954"/>
    <cellStyle name="Porcentual 2 5 3" xfId="2955"/>
    <cellStyle name="Porcentual 2 5 3 2" xfId="6724"/>
    <cellStyle name="Porcentual 2 5 30" xfId="2956"/>
    <cellStyle name="Porcentual 2 5 31" xfId="2957"/>
    <cellStyle name="Porcentual 2 5 32" xfId="2958"/>
    <cellStyle name="Porcentual 2 5 33" xfId="2959"/>
    <cellStyle name="Porcentual 2 5 34" xfId="2960"/>
    <cellStyle name="Porcentual 2 5 35" xfId="4198"/>
    <cellStyle name="Porcentual 2 5 35 2" xfId="9633"/>
    <cellStyle name="Porcentual 2 5 35 2 2" xfId="10610"/>
    <cellStyle name="Porcentual 2 5 35 3" xfId="10609"/>
    <cellStyle name="Porcentual 2 5 4" xfId="2961"/>
    <cellStyle name="Porcentual 2 5 4 2" xfId="6725"/>
    <cellStyle name="Porcentual 2 5 5" xfId="2962"/>
    <cellStyle name="Porcentual 2 5 5 2" xfId="6726"/>
    <cellStyle name="Porcentual 2 5 6" xfId="2963"/>
    <cellStyle name="Porcentual 2 5 6 2" xfId="6727"/>
    <cellStyle name="Porcentual 2 5 7" xfId="2964"/>
    <cellStyle name="Porcentual 2 5 7 2" xfId="6728"/>
    <cellStyle name="Porcentual 2 5 8" xfId="2965"/>
    <cellStyle name="Porcentual 2 5 8 2" xfId="6729"/>
    <cellStyle name="Porcentual 2 5 9" xfId="2966"/>
    <cellStyle name="Porcentual 2 5 9 2" xfId="6730"/>
    <cellStyle name="Porcentual 2 50" xfId="2967"/>
    <cellStyle name="Porcentual 2 50 2" xfId="8772"/>
    <cellStyle name="Porcentual 2 51" xfId="2968"/>
    <cellStyle name="Porcentual 2 51 2" xfId="8773"/>
    <cellStyle name="Porcentual 2 52" xfId="2969"/>
    <cellStyle name="Porcentual 2 52 2" xfId="8774"/>
    <cellStyle name="Porcentual 2 53" xfId="2970"/>
    <cellStyle name="Porcentual 2 53 2" xfId="8775"/>
    <cellStyle name="Porcentual 2 54" xfId="2971"/>
    <cellStyle name="Porcentual 2 54 2" xfId="8776"/>
    <cellStyle name="Porcentual 2 55" xfId="2972"/>
    <cellStyle name="Porcentual 2 55 2" xfId="8777"/>
    <cellStyle name="Porcentual 2 56" xfId="2973"/>
    <cellStyle name="Porcentual 2 56 2" xfId="8778"/>
    <cellStyle name="Porcentual 2 57" xfId="2974"/>
    <cellStyle name="Porcentual 2 57 2" xfId="8779"/>
    <cellStyle name="Porcentual 2 58" xfId="2975"/>
    <cellStyle name="Porcentual 2 58 2" xfId="8780"/>
    <cellStyle name="Porcentual 2 59" xfId="2976"/>
    <cellStyle name="Porcentual 2 59 2" xfId="8781"/>
    <cellStyle name="Porcentual 2 6" xfId="2977"/>
    <cellStyle name="Porcentual 2 6 10" xfId="2978"/>
    <cellStyle name="Porcentual 2 6 10 2" xfId="6731"/>
    <cellStyle name="Porcentual 2 6 11" xfId="2979"/>
    <cellStyle name="Porcentual 2 6 11 2" xfId="6732"/>
    <cellStyle name="Porcentual 2 6 12" xfId="2980"/>
    <cellStyle name="Porcentual 2 6 12 2" xfId="6733"/>
    <cellStyle name="Porcentual 2 6 13" xfId="2981"/>
    <cellStyle name="Porcentual 2 6 13 2" xfId="6734"/>
    <cellStyle name="Porcentual 2 6 14" xfId="2982"/>
    <cellStyle name="Porcentual 2 6 14 2" xfId="6735"/>
    <cellStyle name="Porcentual 2 6 15" xfId="2983"/>
    <cellStyle name="Porcentual 2 6 15 2" xfId="6736"/>
    <cellStyle name="Porcentual 2 6 16" xfId="2984"/>
    <cellStyle name="Porcentual 2 6 16 2" xfId="6737"/>
    <cellStyle name="Porcentual 2 6 17" xfId="2985"/>
    <cellStyle name="Porcentual 2 6 17 2" xfId="6738"/>
    <cellStyle name="Porcentual 2 6 18" xfId="2986"/>
    <cellStyle name="Porcentual 2 6 18 2" xfId="6739"/>
    <cellStyle name="Porcentual 2 6 19" xfId="2987"/>
    <cellStyle name="Porcentual 2 6 19 2" xfId="6740"/>
    <cellStyle name="Porcentual 2 6 2" xfId="2988"/>
    <cellStyle name="Porcentual 2 6 2 2" xfId="6741"/>
    <cellStyle name="Porcentual 2 6 20" xfId="2989"/>
    <cellStyle name="Porcentual 2 6 20 2" xfId="6742"/>
    <cellStyle name="Porcentual 2 6 21" xfId="2990"/>
    <cellStyle name="Porcentual 2 6 21 2" xfId="6743"/>
    <cellStyle name="Porcentual 2 6 22" xfId="2991"/>
    <cellStyle name="Porcentual 2 6 22 2" xfId="6744"/>
    <cellStyle name="Porcentual 2 6 23" xfId="2992"/>
    <cellStyle name="Porcentual 2 6 23 2" xfId="6745"/>
    <cellStyle name="Porcentual 2 6 24" xfId="2993"/>
    <cellStyle name="Porcentual 2 6 24 2" xfId="6746"/>
    <cellStyle name="Porcentual 2 6 25" xfId="2994"/>
    <cellStyle name="Porcentual 2 6 25 2" xfId="6747"/>
    <cellStyle name="Porcentual 2 6 26" xfId="2995"/>
    <cellStyle name="Porcentual 2 6 26 2" xfId="6748"/>
    <cellStyle name="Porcentual 2 6 27" xfId="2996"/>
    <cellStyle name="Porcentual 2 6 27 2" xfId="6749"/>
    <cellStyle name="Porcentual 2 6 28" xfId="2997"/>
    <cellStyle name="Porcentual 2 6 28 2" xfId="6750"/>
    <cellStyle name="Porcentual 2 6 29" xfId="6751"/>
    <cellStyle name="Porcentual 2 6 3" xfId="2998"/>
    <cellStyle name="Porcentual 2 6 3 2" xfId="6752"/>
    <cellStyle name="Porcentual 2 6 4" xfId="2999"/>
    <cellStyle name="Porcentual 2 6 4 2" xfId="6753"/>
    <cellStyle name="Porcentual 2 6 5" xfId="3000"/>
    <cellStyle name="Porcentual 2 6 5 2" xfId="6754"/>
    <cellStyle name="Porcentual 2 6 6" xfId="3001"/>
    <cellStyle name="Porcentual 2 6 6 2" xfId="6755"/>
    <cellStyle name="Porcentual 2 6 7" xfId="3002"/>
    <cellStyle name="Porcentual 2 6 7 2" xfId="6756"/>
    <cellStyle name="Porcentual 2 6 8" xfId="3003"/>
    <cellStyle name="Porcentual 2 6 8 2" xfId="6757"/>
    <cellStyle name="Porcentual 2 6 9" xfId="3004"/>
    <cellStyle name="Porcentual 2 6 9 2" xfId="6758"/>
    <cellStyle name="Porcentual 2 60" xfId="3005"/>
    <cellStyle name="Porcentual 2 60 2" xfId="8782"/>
    <cellStyle name="Porcentual 2 61" xfId="3006"/>
    <cellStyle name="Porcentual 2 61 2" xfId="8783"/>
    <cellStyle name="Porcentual 2 62" xfId="3007"/>
    <cellStyle name="Porcentual 2 62 2" xfId="8784"/>
    <cellStyle name="Porcentual 2 63" xfId="3008"/>
    <cellStyle name="Porcentual 2 63 2" xfId="8785"/>
    <cellStyle name="Porcentual 2 64" xfId="3009"/>
    <cellStyle name="Porcentual 2 64 2" xfId="8786"/>
    <cellStyle name="Porcentual 2 65" xfId="3010"/>
    <cellStyle name="Porcentual 2 65 2" xfId="8787"/>
    <cellStyle name="Porcentual 2 66" xfId="3011"/>
    <cellStyle name="Porcentual 2 66 2" xfId="8788"/>
    <cellStyle name="Porcentual 2 67" xfId="3012"/>
    <cellStyle name="Porcentual 2 67 2" xfId="8789"/>
    <cellStyle name="Porcentual 2 68" xfId="3013"/>
    <cellStyle name="Porcentual 2 68 2" xfId="8790"/>
    <cellStyle name="Porcentual 2 69" xfId="3014"/>
    <cellStyle name="Porcentual 2 69 2" xfId="8791"/>
    <cellStyle name="Porcentual 2 7" xfId="3015"/>
    <cellStyle name="Porcentual 2 7 10" xfId="3016"/>
    <cellStyle name="Porcentual 2 7 10 2" xfId="6759"/>
    <cellStyle name="Porcentual 2 7 11" xfId="3017"/>
    <cellStyle name="Porcentual 2 7 11 2" xfId="6760"/>
    <cellStyle name="Porcentual 2 7 12" xfId="3018"/>
    <cellStyle name="Porcentual 2 7 12 2" xfId="6761"/>
    <cellStyle name="Porcentual 2 7 13" xfId="3019"/>
    <cellStyle name="Porcentual 2 7 13 2" xfId="6762"/>
    <cellStyle name="Porcentual 2 7 14" xfId="3020"/>
    <cellStyle name="Porcentual 2 7 14 2" xfId="6763"/>
    <cellStyle name="Porcentual 2 7 15" xfId="3021"/>
    <cellStyle name="Porcentual 2 7 15 2" xfId="6764"/>
    <cellStyle name="Porcentual 2 7 16" xfId="3022"/>
    <cellStyle name="Porcentual 2 7 16 2" xfId="6765"/>
    <cellStyle name="Porcentual 2 7 17" xfId="3023"/>
    <cellStyle name="Porcentual 2 7 17 2" xfId="6766"/>
    <cellStyle name="Porcentual 2 7 18" xfId="3024"/>
    <cellStyle name="Porcentual 2 7 18 2" xfId="6767"/>
    <cellStyle name="Porcentual 2 7 19" xfId="3025"/>
    <cellStyle name="Porcentual 2 7 19 2" xfId="6768"/>
    <cellStyle name="Porcentual 2 7 2" xfId="3026"/>
    <cellStyle name="Porcentual 2 7 2 2" xfId="6769"/>
    <cellStyle name="Porcentual 2 7 20" xfId="3027"/>
    <cellStyle name="Porcentual 2 7 20 2" xfId="6770"/>
    <cellStyle name="Porcentual 2 7 21" xfId="3028"/>
    <cellStyle name="Porcentual 2 7 21 2" xfId="6771"/>
    <cellStyle name="Porcentual 2 7 22" xfId="3029"/>
    <cellStyle name="Porcentual 2 7 22 2" xfId="6772"/>
    <cellStyle name="Porcentual 2 7 23" xfId="3030"/>
    <cellStyle name="Porcentual 2 7 23 2" xfId="6773"/>
    <cellStyle name="Porcentual 2 7 24" xfId="3031"/>
    <cellStyle name="Porcentual 2 7 24 2" xfId="6774"/>
    <cellStyle name="Porcentual 2 7 25" xfId="3032"/>
    <cellStyle name="Porcentual 2 7 25 2" xfId="6775"/>
    <cellStyle name="Porcentual 2 7 26" xfId="3033"/>
    <cellStyle name="Porcentual 2 7 26 2" xfId="6776"/>
    <cellStyle name="Porcentual 2 7 27" xfId="3034"/>
    <cellStyle name="Porcentual 2 7 27 2" xfId="6777"/>
    <cellStyle name="Porcentual 2 7 28" xfId="3035"/>
    <cellStyle name="Porcentual 2 7 28 2" xfId="6778"/>
    <cellStyle name="Porcentual 2 7 29" xfId="6779"/>
    <cellStyle name="Porcentual 2 7 3" xfId="3036"/>
    <cellStyle name="Porcentual 2 7 3 2" xfId="6780"/>
    <cellStyle name="Porcentual 2 7 4" xfId="3037"/>
    <cellStyle name="Porcentual 2 7 4 2" xfId="6781"/>
    <cellStyle name="Porcentual 2 7 5" xfId="3038"/>
    <cellStyle name="Porcentual 2 7 5 2" xfId="6782"/>
    <cellStyle name="Porcentual 2 7 6" xfId="3039"/>
    <cellStyle name="Porcentual 2 7 6 2" xfId="6783"/>
    <cellStyle name="Porcentual 2 7 7" xfId="3040"/>
    <cellStyle name="Porcentual 2 7 7 2" xfId="6784"/>
    <cellStyle name="Porcentual 2 7 8" xfId="3041"/>
    <cellStyle name="Porcentual 2 7 8 2" xfId="6785"/>
    <cellStyle name="Porcentual 2 7 9" xfId="3042"/>
    <cellStyle name="Porcentual 2 7 9 2" xfId="6786"/>
    <cellStyle name="Porcentual 2 70" xfId="3043"/>
    <cellStyle name="Porcentual 2 70 2" xfId="8792"/>
    <cellStyle name="Porcentual 2 71" xfId="3044"/>
    <cellStyle name="Porcentual 2 71 2" xfId="8793"/>
    <cellStyle name="Porcentual 2 72" xfId="3045"/>
    <cellStyle name="Porcentual 2 72 2" xfId="8794"/>
    <cellStyle name="Porcentual 2 73" xfId="3046"/>
    <cellStyle name="Porcentual 2 73 2" xfId="8795"/>
    <cellStyle name="Porcentual 2 74" xfId="3047"/>
    <cellStyle name="Porcentual 2 74 2" xfId="8796"/>
    <cellStyle name="Porcentual 2 75" xfId="3048"/>
    <cellStyle name="Porcentual 2 75 2" xfId="8797"/>
    <cellStyle name="Porcentual 2 76" xfId="3049"/>
    <cellStyle name="Porcentual 2 76 2" xfId="8798"/>
    <cellStyle name="Porcentual 2 77" xfId="3050"/>
    <cellStyle name="Porcentual 2 77 2" xfId="8799"/>
    <cellStyle name="Porcentual 2 78" xfId="3051"/>
    <cellStyle name="Porcentual 2 78 2" xfId="8800"/>
    <cellStyle name="Porcentual 2 79" xfId="3052"/>
    <cellStyle name="Porcentual 2 79 2" xfId="8801"/>
    <cellStyle name="Porcentual 2 8" xfId="3053"/>
    <cellStyle name="Porcentual 2 8 10" xfId="3054"/>
    <cellStyle name="Porcentual 2 8 10 2" xfId="6787"/>
    <cellStyle name="Porcentual 2 8 11" xfId="3055"/>
    <cellStyle name="Porcentual 2 8 11 2" xfId="6788"/>
    <cellStyle name="Porcentual 2 8 12" xfId="3056"/>
    <cellStyle name="Porcentual 2 8 12 2" xfId="6789"/>
    <cellStyle name="Porcentual 2 8 13" xfId="3057"/>
    <cellStyle name="Porcentual 2 8 13 2" xfId="6790"/>
    <cellStyle name="Porcentual 2 8 14" xfId="3058"/>
    <cellStyle name="Porcentual 2 8 14 2" xfId="6791"/>
    <cellStyle name="Porcentual 2 8 15" xfId="3059"/>
    <cellStyle name="Porcentual 2 8 15 2" xfId="6792"/>
    <cellStyle name="Porcentual 2 8 16" xfId="3060"/>
    <cellStyle name="Porcentual 2 8 16 2" xfId="6793"/>
    <cellStyle name="Porcentual 2 8 17" xfId="3061"/>
    <cellStyle name="Porcentual 2 8 17 2" xfId="6794"/>
    <cellStyle name="Porcentual 2 8 18" xfId="3062"/>
    <cellStyle name="Porcentual 2 8 18 2" xfId="6795"/>
    <cellStyle name="Porcentual 2 8 19" xfId="3063"/>
    <cellStyle name="Porcentual 2 8 19 2" xfId="6796"/>
    <cellStyle name="Porcentual 2 8 2" xfId="3064"/>
    <cellStyle name="Porcentual 2 8 2 2" xfId="6797"/>
    <cellStyle name="Porcentual 2 8 20" xfId="3065"/>
    <cellStyle name="Porcentual 2 8 20 2" xfId="6798"/>
    <cellStyle name="Porcentual 2 8 21" xfId="3066"/>
    <cellStyle name="Porcentual 2 8 21 2" xfId="6799"/>
    <cellStyle name="Porcentual 2 8 22" xfId="3067"/>
    <cellStyle name="Porcentual 2 8 22 2" xfId="6800"/>
    <cellStyle name="Porcentual 2 8 23" xfId="3068"/>
    <cellStyle name="Porcentual 2 8 23 2" xfId="6801"/>
    <cellStyle name="Porcentual 2 8 24" xfId="3069"/>
    <cellStyle name="Porcentual 2 8 24 2" xfId="6802"/>
    <cellStyle name="Porcentual 2 8 25" xfId="3070"/>
    <cellStyle name="Porcentual 2 8 25 2" xfId="6803"/>
    <cellStyle name="Porcentual 2 8 26" xfId="3071"/>
    <cellStyle name="Porcentual 2 8 26 2" xfId="6804"/>
    <cellStyle name="Porcentual 2 8 27" xfId="3072"/>
    <cellStyle name="Porcentual 2 8 27 2" xfId="6805"/>
    <cellStyle name="Porcentual 2 8 28" xfId="3073"/>
    <cellStyle name="Porcentual 2 8 28 2" xfId="6806"/>
    <cellStyle name="Porcentual 2 8 29" xfId="6807"/>
    <cellStyle name="Porcentual 2 8 3" xfId="3074"/>
    <cellStyle name="Porcentual 2 8 3 2" xfId="6808"/>
    <cellStyle name="Porcentual 2 8 4" xfId="3075"/>
    <cellStyle name="Porcentual 2 8 4 2" xfId="6809"/>
    <cellStyle name="Porcentual 2 8 5" xfId="3076"/>
    <cellStyle name="Porcentual 2 8 5 2" xfId="6810"/>
    <cellStyle name="Porcentual 2 8 6" xfId="3077"/>
    <cellStyle name="Porcentual 2 8 6 2" xfId="6811"/>
    <cellStyle name="Porcentual 2 8 7" xfId="3078"/>
    <cellStyle name="Porcentual 2 8 7 2" xfId="6812"/>
    <cellStyle name="Porcentual 2 8 8" xfId="3079"/>
    <cellStyle name="Porcentual 2 8 8 2" xfId="6813"/>
    <cellStyle name="Porcentual 2 8 9" xfId="3080"/>
    <cellStyle name="Porcentual 2 8 9 2" xfId="6814"/>
    <cellStyle name="Porcentual 2 80" xfId="3081"/>
    <cellStyle name="Porcentual 2 80 2" xfId="8802"/>
    <cellStyle name="Porcentual 2 81" xfId="3082"/>
    <cellStyle name="Porcentual 2 81 2" xfId="8803"/>
    <cellStyle name="Porcentual 2 82" xfId="3083"/>
    <cellStyle name="Porcentual 2 82 2" xfId="8804"/>
    <cellStyle name="Porcentual 2 83" xfId="3084"/>
    <cellStyle name="Porcentual 2 83 2" xfId="8805"/>
    <cellStyle name="Porcentual 2 84" xfId="3085"/>
    <cellStyle name="Porcentual 2 84 2" xfId="8806"/>
    <cellStyle name="Porcentual 2 85" xfId="3086"/>
    <cellStyle name="Porcentual 2 85 2" xfId="8807"/>
    <cellStyle name="Porcentual 2 86" xfId="3087"/>
    <cellStyle name="Porcentual 2 86 2" xfId="8808"/>
    <cellStyle name="Porcentual 2 87" xfId="3088"/>
    <cellStyle name="Porcentual 2 87 2" xfId="8809"/>
    <cellStyle name="Porcentual 2 88" xfId="3089"/>
    <cellStyle name="Porcentual 2 88 2" xfId="8810"/>
    <cellStyle name="Porcentual 2 89" xfId="3090"/>
    <cellStyle name="Porcentual 2 89 2" xfId="8811"/>
    <cellStyle name="Porcentual 2 9" xfId="3091"/>
    <cellStyle name="Porcentual 2 9 10" xfId="3092"/>
    <cellStyle name="Porcentual 2 9 10 2" xfId="6815"/>
    <cellStyle name="Porcentual 2 9 11" xfId="3093"/>
    <cellStyle name="Porcentual 2 9 11 2" xfId="6816"/>
    <cellStyle name="Porcentual 2 9 12" xfId="3094"/>
    <cellStyle name="Porcentual 2 9 12 2" xfId="6817"/>
    <cellStyle name="Porcentual 2 9 13" xfId="3095"/>
    <cellStyle name="Porcentual 2 9 13 2" xfId="6818"/>
    <cellStyle name="Porcentual 2 9 14" xfId="3096"/>
    <cellStyle name="Porcentual 2 9 14 2" xfId="6819"/>
    <cellStyle name="Porcentual 2 9 15" xfId="3097"/>
    <cellStyle name="Porcentual 2 9 15 2" xfId="6820"/>
    <cellStyle name="Porcentual 2 9 16" xfId="3098"/>
    <cellStyle name="Porcentual 2 9 16 2" xfId="6821"/>
    <cellStyle name="Porcentual 2 9 17" xfId="3099"/>
    <cellStyle name="Porcentual 2 9 17 2" xfId="6822"/>
    <cellStyle name="Porcentual 2 9 18" xfId="3100"/>
    <cellStyle name="Porcentual 2 9 18 2" xfId="6823"/>
    <cellStyle name="Porcentual 2 9 19" xfId="3101"/>
    <cellStyle name="Porcentual 2 9 19 2" xfId="6824"/>
    <cellStyle name="Porcentual 2 9 2" xfId="3102"/>
    <cellStyle name="Porcentual 2 9 2 2" xfId="6825"/>
    <cellStyle name="Porcentual 2 9 20" xfId="3103"/>
    <cellStyle name="Porcentual 2 9 20 2" xfId="6826"/>
    <cellStyle name="Porcentual 2 9 21" xfId="3104"/>
    <cellStyle name="Porcentual 2 9 21 2" xfId="6827"/>
    <cellStyle name="Porcentual 2 9 22" xfId="3105"/>
    <cellStyle name="Porcentual 2 9 22 2" xfId="6828"/>
    <cellStyle name="Porcentual 2 9 23" xfId="3106"/>
    <cellStyle name="Porcentual 2 9 23 2" xfId="6829"/>
    <cellStyle name="Porcentual 2 9 24" xfId="3107"/>
    <cellStyle name="Porcentual 2 9 24 2" xfId="6830"/>
    <cellStyle name="Porcentual 2 9 25" xfId="3108"/>
    <cellStyle name="Porcentual 2 9 25 2" xfId="6831"/>
    <cellStyle name="Porcentual 2 9 26" xfId="3109"/>
    <cellStyle name="Porcentual 2 9 26 2" xfId="6832"/>
    <cellStyle name="Porcentual 2 9 27" xfId="3110"/>
    <cellStyle name="Porcentual 2 9 27 2" xfId="6833"/>
    <cellStyle name="Porcentual 2 9 28" xfId="3111"/>
    <cellStyle name="Porcentual 2 9 28 2" xfId="6834"/>
    <cellStyle name="Porcentual 2 9 29" xfId="6835"/>
    <cellStyle name="Porcentual 2 9 3" xfId="3112"/>
    <cellStyle name="Porcentual 2 9 3 2" xfId="6836"/>
    <cellStyle name="Porcentual 2 9 4" xfId="3113"/>
    <cellStyle name="Porcentual 2 9 4 2" xfId="6837"/>
    <cellStyle name="Porcentual 2 9 5" xfId="3114"/>
    <cellStyle name="Porcentual 2 9 5 2" xfId="6838"/>
    <cellStyle name="Porcentual 2 9 6" xfId="3115"/>
    <cellStyle name="Porcentual 2 9 6 2" xfId="6839"/>
    <cellStyle name="Porcentual 2 9 7" xfId="3116"/>
    <cellStyle name="Porcentual 2 9 7 2" xfId="6840"/>
    <cellStyle name="Porcentual 2 9 8" xfId="3117"/>
    <cellStyle name="Porcentual 2 9 8 2" xfId="6841"/>
    <cellStyle name="Porcentual 2 9 9" xfId="3118"/>
    <cellStyle name="Porcentual 2 9 9 2" xfId="6842"/>
    <cellStyle name="Porcentual 2 90" xfId="3119"/>
    <cellStyle name="Porcentual 2 90 2" xfId="8812"/>
    <cellStyle name="Porcentual 2 91" xfId="3120"/>
    <cellStyle name="Porcentual 2 91 2" xfId="8813"/>
    <cellStyle name="Porcentual 2 92" xfId="3121"/>
    <cellStyle name="Porcentual 2 92 2" xfId="8814"/>
    <cellStyle name="Porcentual 2 93" xfId="3122"/>
    <cellStyle name="Porcentual 2 93 2" xfId="8815"/>
    <cellStyle name="Porcentual 2 94" xfId="3123"/>
    <cellStyle name="Porcentual 2 94 2" xfId="8816"/>
    <cellStyle name="Porcentual 2 95" xfId="3124"/>
    <cellStyle name="Porcentual 2 95 2" xfId="8817"/>
    <cellStyle name="Porcentual 2 96" xfId="3125"/>
    <cellStyle name="Porcentual 2 96 2" xfId="8818"/>
    <cellStyle name="Porcentual 2 97" xfId="3126"/>
    <cellStyle name="Porcentual 2 97 2" xfId="8819"/>
    <cellStyle name="Porcentual 2 98" xfId="3127"/>
    <cellStyle name="Porcentual 2 98 2" xfId="8820"/>
    <cellStyle name="Porcentual 2 99" xfId="3128"/>
    <cellStyle name="Porcentual 2 99 2" xfId="8821"/>
    <cellStyle name="Porcentual 20" xfId="3129"/>
    <cellStyle name="Porcentual 20 10" xfId="3130"/>
    <cellStyle name="Porcentual 20 10 2" xfId="6843"/>
    <cellStyle name="Porcentual 20 10 3" xfId="8823"/>
    <cellStyle name="Porcentual 20 11" xfId="3131"/>
    <cellStyle name="Porcentual 20 11 2" xfId="6844"/>
    <cellStyle name="Porcentual 20 11 3" xfId="8824"/>
    <cellStyle name="Porcentual 20 12" xfId="3132"/>
    <cellStyle name="Porcentual 20 12 2" xfId="6845"/>
    <cellStyle name="Porcentual 20 12 3" xfId="8825"/>
    <cellStyle name="Porcentual 20 13" xfId="3133"/>
    <cellStyle name="Porcentual 20 13 2" xfId="6846"/>
    <cellStyle name="Porcentual 20 13 3" xfId="8826"/>
    <cellStyle name="Porcentual 20 14" xfId="3134"/>
    <cellStyle name="Porcentual 20 14 2" xfId="6847"/>
    <cellStyle name="Porcentual 20 14 3" xfId="8827"/>
    <cellStyle name="Porcentual 20 15" xfId="3135"/>
    <cellStyle name="Porcentual 20 15 2" xfId="6848"/>
    <cellStyle name="Porcentual 20 15 3" xfId="8828"/>
    <cellStyle name="Porcentual 20 16" xfId="3136"/>
    <cellStyle name="Porcentual 20 16 2" xfId="6849"/>
    <cellStyle name="Porcentual 20 16 3" xfId="8829"/>
    <cellStyle name="Porcentual 20 17" xfId="3137"/>
    <cellStyle name="Porcentual 20 17 2" xfId="6850"/>
    <cellStyle name="Porcentual 20 17 3" xfId="8830"/>
    <cellStyle name="Porcentual 20 18" xfId="3138"/>
    <cellStyle name="Porcentual 20 18 2" xfId="6851"/>
    <cellStyle name="Porcentual 20 18 3" xfId="8831"/>
    <cellStyle name="Porcentual 20 19" xfId="3139"/>
    <cellStyle name="Porcentual 20 19 2" xfId="6852"/>
    <cellStyle name="Porcentual 20 19 3" xfId="8832"/>
    <cellStyle name="Porcentual 20 2" xfId="3140"/>
    <cellStyle name="Porcentual 20 2 2" xfId="6853"/>
    <cellStyle name="Porcentual 20 2 3" xfId="8833"/>
    <cellStyle name="Porcentual 20 20" xfId="3141"/>
    <cellStyle name="Porcentual 20 20 2" xfId="6854"/>
    <cellStyle name="Porcentual 20 20 3" xfId="8834"/>
    <cellStyle name="Porcentual 20 21" xfId="3142"/>
    <cellStyle name="Porcentual 20 21 2" xfId="6855"/>
    <cellStyle name="Porcentual 20 21 3" xfId="8835"/>
    <cellStyle name="Porcentual 20 22" xfId="3143"/>
    <cellStyle name="Porcentual 20 22 2" xfId="6856"/>
    <cellStyle name="Porcentual 20 22 3" xfId="8836"/>
    <cellStyle name="Porcentual 20 23" xfId="3144"/>
    <cellStyle name="Porcentual 20 23 2" xfId="6857"/>
    <cellStyle name="Porcentual 20 23 3" xfId="8837"/>
    <cellStyle name="Porcentual 20 24" xfId="3145"/>
    <cellStyle name="Porcentual 20 24 2" xfId="6858"/>
    <cellStyle name="Porcentual 20 24 3" xfId="8838"/>
    <cellStyle name="Porcentual 20 25" xfId="3146"/>
    <cellStyle name="Porcentual 20 25 2" xfId="6859"/>
    <cellStyle name="Porcentual 20 25 3" xfId="8839"/>
    <cellStyle name="Porcentual 20 26" xfId="3147"/>
    <cellStyle name="Porcentual 20 26 2" xfId="6860"/>
    <cellStyle name="Porcentual 20 26 3" xfId="8840"/>
    <cellStyle name="Porcentual 20 27" xfId="3148"/>
    <cellStyle name="Porcentual 20 27 2" xfId="6861"/>
    <cellStyle name="Porcentual 20 27 3" xfId="8841"/>
    <cellStyle name="Porcentual 20 28" xfId="3149"/>
    <cellStyle name="Porcentual 20 28 2" xfId="6862"/>
    <cellStyle name="Porcentual 20 28 3" xfId="8842"/>
    <cellStyle name="Porcentual 20 29" xfId="6863"/>
    <cellStyle name="Porcentual 20 3" xfId="3150"/>
    <cellStyle name="Porcentual 20 3 2" xfId="6864"/>
    <cellStyle name="Porcentual 20 3 3" xfId="8843"/>
    <cellStyle name="Porcentual 20 30" xfId="8822"/>
    <cellStyle name="Porcentual 20 4" xfId="3151"/>
    <cellStyle name="Porcentual 20 4 2" xfId="6865"/>
    <cellStyle name="Porcentual 20 4 3" xfId="8844"/>
    <cellStyle name="Porcentual 20 5" xfId="3152"/>
    <cellStyle name="Porcentual 20 5 2" xfId="6866"/>
    <cellStyle name="Porcentual 20 5 3" xfId="8845"/>
    <cellStyle name="Porcentual 20 6" xfId="3153"/>
    <cellStyle name="Porcentual 20 6 2" xfId="6867"/>
    <cellStyle name="Porcentual 20 6 3" xfId="8846"/>
    <cellStyle name="Porcentual 20 7" xfId="3154"/>
    <cellStyle name="Porcentual 20 7 2" xfId="6868"/>
    <cellStyle name="Porcentual 20 7 3" xfId="8847"/>
    <cellStyle name="Porcentual 20 8" xfId="3155"/>
    <cellStyle name="Porcentual 20 8 2" xfId="6869"/>
    <cellStyle name="Porcentual 20 8 3" xfId="8848"/>
    <cellStyle name="Porcentual 20 9" xfId="3156"/>
    <cellStyle name="Porcentual 20 9 2" xfId="6870"/>
    <cellStyle name="Porcentual 20 9 3" xfId="8849"/>
    <cellStyle name="Porcentual 201" xfId="3157"/>
    <cellStyle name="Porcentual 201 10" xfId="3158"/>
    <cellStyle name="Porcentual 201 10 2" xfId="6871"/>
    <cellStyle name="Porcentual 201 10 3" xfId="8851"/>
    <cellStyle name="Porcentual 201 11" xfId="3159"/>
    <cellStyle name="Porcentual 201 11 2" xfId="6872"/>
    <cellStyle name="Porcentual 201 11 3" xfId="8852"/>
    <cellStyle name="Porcentual 201 12" xfId="3160"/>
    <cellStyle name="Porcentual 201 12 2" xfId="6873"/>
    <cellStyle name="Porcentual 201 12 3" xfId="8853"/>
    <cellStyle name="Porcentual 201 13" xfId="3161"/>
    <cellStyle name="Porcentual 201 13 2" xfId="6874"/>
    <cellStyle name="Porcentual 201 13 3" xfId="8854"/>
    <cellStyle name="Porcentual 201 14" xfId="3162"/>
    <cellStyle name="Porcentual 201 14 2" xfId="6875"/>
    <cellStyle name="Porcentual 201 14 3" xfId="8855"/>
    <cellStyle name="Porcentual 201 15" xfId="3163"/>
    <cellStyle name="Porcentual 201 15 2" xfId="6876"/>
    <cellStyle name="Porcentual 201 15 3" xfId="8856"/>
    <cellStyle name="Porcentual 201 16" xfId="3164"/>
    <cellStyle name="Porcentual 201 16 2" xfId="6877"/>
    <cellStyle name="Porcentual 201 16 3" xfId="8857"/>
    <cellStyle name="Porcentual 201 17" xfId="3165"/>
    <cellStyle name="Porcentual 201 17 2" xfId="6878"/>
    <cellStyle name="Porcentual 201 17 3" xfId="8858"/>
    <cellStyle name="Porcentual 201 18" xfId="3166"/>
    <cellStyle name="Porcentual 201 18 2" xfId="6879"/>
    <cellStyle name="Porcentual 201 18 3" xfId="8859"/>
    <cellStyle name="Porcentual 201 19" xfId="3167"/>
    <cellStyle name="Porcentual 201 19 2" xfId="6880"/>
    <cellStyle name="Porcentual 201 19 3" xfId="8860"/>
    <cellStyle name="Porcentual 201 2" xfId="3168"/>
    <cellStyle name="Porcentual 201 2 2" xfId="6881"/>
    <cellStyle name="Porcentual 201 2 3" xfId="8861"/>
    <cellStyle name="Porcentual 201 20" xfId="3169"/>
    <cellStyle name="Porcentual 201 20 2" xfId="6882"/>
    <cellStyle name="Porcentual 201 20 3" xfId="8862"/>
    <cellStyle name="Porcentual 201 21" xfId="3170"/>
    <cellStyle name="Porcentual 201 21 2" xfId="6883"/>
    <cellStyle name="Porcentual 201 21 3" xfId="8863"/>
    <cellStyle name="Porcentual 201 22" xfId="3171"/>
    <cellStyle name="Porcentual 201 22 2" xfId="6884"/>
    <cellStyle name="Porcentual 201 22 3" xfId="8864"/>
    <cellStyle name="Porcentual 201 23" xfId="3172"/>
    <cellStyle name="Porcentual 201 23 2" xfId="6885"/>
    <cellStyle name="Porcentual 201 23 3" xfId="8865"/>
    <cellStyle name="Porcentual 201 24" xfId="3173"/>
    <cellStyle name="Porcentual 201 24 2" xfId="6886"/>
    <cellStyle name="Porcentual 201 24 3" xfId="8866"/>
    <cellStyle name="Porcentual 201 25" xfId="3174"/>
    <cellStyle name="Porcentual 201 25 2" xfId="6887"/>
    <cellStyle name="Porcentual 201 25 3" xfId="8867"/>
    <cellStyle name="Porcentual 201 26" xfId="3175"/>
    <cellStyle name="Porcentual 201 26 2" xfId="6888"/>
    <cellStyle name="Porcentual 201 26 3" xfId="8868"/>
    <cellStyle name="Porcentual 201 27" xfId="3176"/>
    <cellStyle name="Porcentual 201 27 2" xfId="6889"/>
    <cellStyle name="Porcentual 201 27 3" xfId="8869"/>
    <cellStyle name="Porcentual 201 28" xfId="3177"/>
    <cellStyle name="Porcentual 201 28 2" xfId="6890"/>
    <cellStyle name="Porcentual 201 28 3" xfId="8870"/>
    <cellStyle name="Porcentual 201 29" xfId="8850"/>
    <cellStyle name="Porcentual 201 3" xfId="3178"/>
    <cellStyle name="Porcentual 201 3 2" xfId="6891"/>
    <cellStyle name="Porcentual 201 3 3" xfId="8871"/>
    <cellStyle name="Porcentual 201 4" xfId="3179"/>
    <cellStyle name="Porcentual 201 4 2" xfId="6892"/>
    <cellStyle name="Porcentual 201 4 3" xfId="8872"/>
    <cellStyle name="Porcentual 201 5" xfId="3180"/>
    <cellStyle name="Porcentual 201 5 2" xfId="6893"/>
    <cellStyle name="Porcentual 201 5 3" xfId="8873"/>
    <cellStyle name="Porcentual 201 6" xfId="3181"/>
    <cellStyle name="Porcentual 201 6 2" xfId="6894"/>
    <cellStyle name="Porcentual 201 6 3" xfId="8874"/>
    <cellStyle name="Porcentual 201 7" xfId="3182"/>
    <cellStyle name="Porcentual 201 7 2" xfId="6895"/>
    <cellStyle name="Porcentual 201 7 3" xfId="8875"/>
    <cellStyle name="Porcentual 201 8" xfId="3183"/>
    <cellStyle name="Porcentual 201 8 2" xfId="6896"/>
    <cellStyle name="Porcentual 201 8 3" xfId="8876"/>
    <cellStyle name="Porcentual 201 9" xfId="3184"/>
    <cellStyle name="Porcentual 201 9 2" xfId="6897"/>
    <cellStyle name="Porcentual 201 9 3" xfId="8877"/>
    <cellStyle name="Porcentual 203 10" xfId="3185"/>
    <cellStyle name="Porcentual 203 10 2" xfId="6898"/>
    <cellStyle name="Porcentual 203 10 3" xfId="8878"/>
    <cellStyle name="Porcentual 203 11" xfId="3186"/>
    <cellStyle name="Porcentual 203 11 2" xfId="6899"/>
    <cellStyle name="Porcentual 203 11 3" xfId="8879"/>
    <cellStyle name="Porcentual 203 12" xfId="3187"/>
    <cellStyle name="Porcentual 203 12 2" xfId="6900"/>
    <cellStyle name="Porcentual 203 12 3" xfId="8880"/>
    <cellStyle name="Porcentual 203 13" xfId="3188"/>
    <cellStyle name="Porcentual 203 13 2" xfId="6901"/>
    <cellStyle name="Porcentual 203 13 3" xfId="8881"/>
    <cellStyle name="Porcentual 203 14" xfId="3189"/>
    <cellStyle name="Porcentual 203 14 2" xfId="6902"/>
    <cellStyle name="Porcentual 203 14 3" xfId="8882"/>
    <cellStyle name="Porcentual 203 15" xfId="3190"/>
    <cellStyle name="Porcentual 203 15 2" xfId="6903"/>
    <cellStyle name="Porcentual 203 15 3" xfId="8883"/>
    <cellStyle name="Porcentual 203 16" xfId="3191"/>
    <cellStyle name="Porcentual 203 16 2" xfId="6904"/>
    <cellStyle name="Porcentual 203 16 3" xfId="8884"/>
    <cellStyle name="Porcentual 203 17" xfId="3192"/>
    <cellStyle name="Porcentual 203 17 2" xfId="6905"/>
    <cellStyle name="Porcentual 203 17 3" xfId="8885"/>
    <cellStyle name="Porcentual 203 18" xfId="3193"/>
    <cellStyle name="Porcentual 203 18 2" xfId="6906"/>
    <cellStyle name="Porcentual 203 18 3" xfId="8886"/>
    <cellStyle name="Porcentual 203 19" xfId="3194"/>
    <cellStyle name="Porcentual 203 19 2" xfId="6907"/>
    <cellStyle name="Porcentual 203 19 3" xfId="8887"/>
    <cellStyle name="Porcentual 203 2" xfId="3195"/>
    <cellStyle name="Porcentual 203 2 2" xfId="6908"/>
    <cellStyle name="Porcentual 203 2 3" xfId="8888"/>
    <cellStyle name="Porcentual 203 20" xfId="3196"/>
    <cellStyle name="Porcentual 203 20 2" xfId="6909"/>
    <cellStyle name="Porcentual 203 20 3" xfId="8889"/>
    <cellStyle name="Porcentual 203 21" xfId="3197"/>
    <cellStyle name="Porcentual 203 21 2" xfId="6910"/>
    <cellStyle name="Porcentual 203 21 3" xfId="8890"/>
    <cellStyle name="Porcentual 203 22" xfId="3198"/>
    <cellStyle name="Porcentual 203 22 2" xfId="6911"/>
    <cellStyle name="Porcentual 203 22 3" xfId="8891"/>
    <cellStyle name="Porcentual 203 23" xfId="3199"/>
    <cellStyle name="Porcentual 203 23 2" xfId="6912"/>
    <cellStyle name="Porcentual 203 23 3" xfId="8892"/>
    <cellStyle name="Porcentual 203 24" xfId="3200"/>
    <cellStyle name="Porcentual 203 24 2" xfId="6913"/>
    <cellStyle name="Porcentual 203 24 3" xfId="8893"/>
    <cellStyle name="Porcentual 203 25" xfId="3201"/>
    <cellStyle name="Porcentual 203 25 2" xfId="6914"/>
    <cellStyle name="Porcentual 203 25 3" xfId="8894"/>
    <cellStyle name="Porcentual 203 26" xfId="3202"/>
    <cellStyle name="Porcentual 203 26 2" xfId="6915"/>
    <cellStyle name="Porcentual 203 26 3" xfId="8895"/>
    <cellStyle name="Porcentual 203 27" xfId="3203"/>
    <cellStyle name="Porcentual 203 27 2" xfId="6916"/>
    <cellStyle name="Porcentual 203 27 3" xfId="8896"/>
    <cellStyle name="Porcentual 203 28" xfId="3204"/>
    <cellStyle name="Porcentual 203 28 2" xfId="6917"/>
    <cellStyle name="Porcentual 203 28 3" xfId="8897"/>
    <cellStyle name="Porcentual 203 3" xfId="3205"/>
    <cellStyle name="Porcentual 203 3 2" xfId="6918"/>
    <cellStyle name="Porcentual 203 3 3" xfId="8898"/>
    <cellStyle name="Porcentual 203 4" xfId="3206"/>
    <cellStyle name="Porcentual 203 4 2" xfId="6919"/>
    <cellStyle name="Porcentual 203 4 3" xfId="8899"/>
    <cellStyle name="Porcentual 203 5" xfId="3207"/>
    <cellStyle name="Porcentual 203 5 2" xfId="6920"/>
    <cellStyle name="Porcentual 203 5 3" xfId="8900"/>
    <cellStyle name="Porcentual 203 6" xfId="3208"/>
    <cellStyle name="Porcentual 203 6 2" xfId="6921"/>
    <cellStyle name="Porcentual 203 6 3" xfId="8901"/>
    <cellStyle name="Porcentual 203 7" xfId="3209"/>
    <cellStyle name="Porcentual 203 7 2" xfId="6922"/>
    <cellStyle name="Porcentual 203 7 3" xfId="8902"/>
    <cellStyle name="Porcentual 203 8" xfId="3210"/>
    <cellStyle name="Porcentual 203 8 2" xfId="6923"/>
    <cellStyle name="Porcentual 203 8 3" xfId="8903"/>
    <cellStyle name="Porcentual 203 9" xfId="3211"/>
    <cellStyle name="Porcentual 203 9 2" xfId="6924"/>
    <cellStyle name="Porcentual 203 9 3" xfId="8904"/>
    <cellStyle name="Porcentual 204 10" xfId="3212"/>
    <cellStyle name="Porcentual 204 10 2" xfId="6925"/>
    <cellStyle name="Porcentual 204 10 3" xfId="8905"/>
    <cellStyle name="Porcentual 204 11" xfId="3213"/>
    <cellStyle name="Porcentual 204 11 2" xfId="6926"/>
    <cellStyle name="Porcentual 204 11 3" xfId="8906"/>
    <cellStyle name="Porcentual 204 12" xfId="3214"/>
    <cellStyle name="Porcentual 204 12 2" xfId="6927"/>
    <cellStyle name="Porcentual 204 12 3" xfId="8907"/>
    <cellStyle name="Porcentual 204 13" xfId="3215"/>
    <cellStyle name="Porcentual 204 13 2" xfId="6928"/>
    <cellStyle name="Porcentual 204 13 3" xfId="8908"/>
    <cellStyle name="Porcentual 204 14" xfId="3216"/>
    <cellStyle name="Porcentual 204 14 2" xfId="6929"/>
    <cellStyle name="Porcentual 204 14 3" xfId="8909"/>
    <cellStyle name="Porcentual 204 15" xfId="3217"/>
    <cellStyle name="Porcentual 204 15 2" xfId="6930"/>
    <cellStyle name="Porcentual 204 15 3" xfId="8910"/>
    <cellStyle name="Porcentual 204 16" xfId="3218"/>
    <cellStyle name="Porcentual 204 16 2" xfId="6931"/>
    <cellStyle name="Porcentual 204 16 3" xfId="8911"/>
    <cellStyle name="Porcentual 204 17" xfId="3219"/>
    <cellStyle name="Porcentual 204 17 2" xfId="6932"/>
    <cellStyle name="Porcentual 204 17 3" xfId="8912"/>
    <cellStyle name="Porcentual 204 18" xfId="3220"/>
    <cellStyle name="Porcentual 204 18 2" xfId="6933"/>
    <cellStyle name="Porcentual 204 18 3" xfId="8913"/>
    <cellStyle name="Porcentual 204 19" xfId="3221"/>
    <cellStyle name="Porcentual 204 19 2" xfId="6934"/>
    <cellStyle name="Porcentual 204 19 3" xfId="8914"/>
    <cellStyle name="Porcentual 204 2" xfId="3222"/>
    <cellStyle name="Porcentual 204 2 2" xfId="6935"/>
    <cellStyle name="Porcentual 204 2 3" xfId="8915"/>
    <cellStyle name="Porcentual 204 20" xfId="3223"/>
    <cellStyle name="Porcentual 204 20 2" xfId="6936"/>
    <cellStyle name="Porcentual 204 20 3" xfId="8916"/>
    <cellStyle name="Porcentual 204 21" xfId="3224"/>
    <cellStyle name="Porcentual 204 21 2" xfId="6937"/>
    <cellStyle name="Porcentual 204 21 3" xfId="8917"/>
    <cellStyle name="Porcentual 204 22" xfId="3225"/>
    <cellStyle name="Porcentual 204 22 2" xfId="6938"/>
    <cellStyle name="Porcentual 204 22 3" xfId="8918"/>
    <cellStyle name="Porcentual 204 23" xfId="3226"/>
    <cellStyle name="Porcentual 204 23 2" xfId="6939"/>
    <cellStyle name="Porcentual 204 23 3" xfId="8919"/>
    <cellStyle name="Porcentual 204 24" xfId="3227"/>
    <cellStyle name="Porcentual 204 24 2" xfId="6940"/>
    <cellStyle name="Porcentual 204 24 3" xfId="8920"/>
    <cellStyle name="Porcentual 204 25" xfId="3228"/>
    <cellStyle name="Porcentual 204 25 2" xfId="6941"/>
    <cellStyle name="Porcentual 204 25 3" xfId="8921"/>
    <cellStyle name="Porcentual 204 26" xfId="3229"/>
    <cellStyle name="Porcentual 204 26 2" xfId="6942"/>
    <cellStyle name="Porcentual 204 26 3" xfId="8922"/>
    <cellStyle name="Porcentual 204 27" xfId="3230"/>
    <cellStyle name="Porcentual 204 27 2" xfId="6943"/>
    <cellStyle name="Porcentual 204 27 3" xfId="8923"/>
    <cellStyle name="Porcentual 204 28" xfId="3231"/>
    <cellStyle name="Porcentual 204 28 2" xfId="6944"/>
    <cellStyle name="Porcentual 204 28 3" xfId="8924"/>
    <cellStyle name="Porcentual 204 3" xfId="3232"/>
    <cellStyle name="Porcentual 204 3 2" xfId="6945"/>
    <cellStyle name="Porcentual 204 3 3" xfId="8925"/>
    <cellStyle name="Porcentual 204 4" xfId="3233"/>
    <cellStyle name="Porcentual 204 4 2" xfId="6946"/>
    <cellStyle name="Porcentual 204 4 3" xfId="8926"/>
    <cellStyle name="Porcentual 204 5" xfId="3234"/>
    <cellStyle name="Porcentual 204 5 2" xfId="6947"/>
    <cellStyle name="Porcentual 204 5 3" xfId="8927"/>
    <cellStyle name="Porcentual 204 6" xfId="3235"/>
    <cellStyle name="Porcentual 204 6 2" xfId="6948"/>
    <cellStyle name="Porcentual 204 6 3" xfId="8928"/>
    <cellStyle name="Porcentual 204 7" xfId="3236"/>
    <cellStyle name="Porcentual 204 7 2" xfId="6949"/>
    <cellStyle name="Porcentual 204 7 3" xfId="8929"/>
    <cellStyle name="Porcentual 204 8" xfId="3237"/>
    <cellStyle name="Porcentual 204 8 2" xfId="6950"/>
    <cellStyle name="Porcentual 204 8 3" xfId="8930"/>
    <cellStyle name="Porcentual 204 9" xfId="3238"/>
    <cellStyle name="Porcentual 204 9 2" xfId="6951"/>
    <cellStyle name="Porcentual 204 9 3" xfId="8931"/>
    <cellStyle name="Porcentual 206 10" xfId="3239"/>
    <cellStyle name="Porcentual 206 10 2" xfId="6952"/>
    <cellStyle name="Porcentual 206 10 3" xfId="8932"/>
    <cellStyle name="Porcentual 206 11" xfId="3240"/>
    <cellStyle name="Porcentual 206 11 2" xfId="6953"/>
    <cellStyle name="Porcentual 206 11 3" xfId="8933"/>
    <cellStyle name="Porcentual 206 12" xfId="3241"/>
    <cellStyle name="Porcentual 206 12 2" xfId="6954"/>
    <cellStyle name="Porcentual 206 12 3" xfId="8934"/>
    <cellStyle name="Porcentual 206 13" xfId="3242"/>
    <cellStyle name="Porcentual 206 13 2" xfId="6955"/>
    <cellStyle name="Porcentual 206 13 3" xfId="8935"/>
    <cellStyle name="Porcentual 206 14" xfId="3243"/>
    <cellStyle name="Porcentual 206 14 2" xfId="6956"/>
    <cellStyle name="Porcentual 206 14 3" xfId="8936"/>
    <cellStyle name="Porcentual 206 15" xfId="3244"/>
    <cellStyle name="Porcentual 206 15 2" xfId="6957"/>
    <cellStyle name="Porcentual 206 15 3" xfId="8937"/>
    <cellStyle name="Porcentual 206 16" xfId="3245"/>
    <cellStyle name="Porcentual 206 16 2" xfId="6958"/>
    <cellStyle name="Porcentual 206 16 3" xfId="8938"/>
    <cellStyle name="Porcentual 206 17" xfId="3246"/>
    <cellStyle name="Porcentual 206 17 2" xfId="6959"/>
    <cellStyle name="Porcentual 206 17 3" xfId="8939"/>
    <cellStyle name="Porcentual 206 18" xfId="3247"/>
    <cellStyle name="Porcentual 206 18 2" xfId="6960"/>
    <cellStyle name="Porcentual 206 18 3" xfId="8940"/>
    <cellStyle name="Porcentual 206 19" xfId="3248"/>
    <cellStyle name="Porcentual 206 19 2" xfId="6961"/>
    <cellStyle name="Porcentual 206 19 3" xfId="8941"/>
    <cellStyle name="Porcentual 206 2" xfId="3249"/>
    <cellStyle name="Porcentual 206 2 2" xfId="6962"/>
    <cellStyle name="Porcentual 206 2 3" xfId="8942"/>
    <cellStyle name="Porcentual 206 20" xfId="3250"/>
    <cellStyle name="Porcentual 206 20 2" xfId="6963"/>
    <cellStyle name="Porcentual 206 20 3" xfId="8943"/>
    <cellStyle name="Porcentual 206 21" xfId="3251"/>
    <cellStyle name="Porcentual 206 21 2" xfId="6964"/>
    <cellStyle name="Porcentual 206 21 3" xfId="8944"/>
    <cellStyle name="Porcentual 206 22" xfId="3252"/>
    <cellStyle name="Porcentual 206 22 2" xfId="6965"/>
    <cellStyle name="Porcentual 206 22 3" xfId="8945"/>
    <cellStyle name="Porcentual 206 23" xfId="3253"/>
    <cellStyle name="Porcentual 206 23 2" xfId="6966"/>
    <cellStyle name="Porcentual 206 23 3" xfId="8946"/>
    <cellStyle name="Porcentual 206 24" xfId="3254"/>
    <cellStyle name="Porcentual 206 24 2" xfId="6967"/>
    <cellStyle name="Porcentual 206 24 3" xfId="8947"/>
    <cellStyle name="Porcentual 206 25" xfId="3255"/>
    <cellStyle name="Porcentual 206 25 2" xfId="6968"/>
    <cellStyle name="Porcentual 206 25 3" xfId="8948"/>
    <cellStyle name="Porcentual 206 26" xfId="3256"/>
    <cellStyle name="Porcentual 206 26 2" xfId="6969"/>
    <cellStyle name="Porcentual 206 26 3" xfId="8949"/>
    <cellStyle name="Porcentual 206 27" xfId="3257"/>
    <cellStyle name="Porcentual 206 27 2" xfId="6970"/>
    <cellStyle name="Porcentual 206 27 3" xfId="8950"/>
    <cellStyle name="Porcentual 206 28" xfId="3258"/>
    <cellStyle name="Porcentual 206 28 2" xfId="6971"/>
    <cellStyle name="Porcentual 206 28 3" xfId="8951"/>
    <cellStyle name="Porcentual 206 3" xfId="3259"/>
    <cellStyle name="Porcentual 206 3 2" xfId="6972"/>
    <cellStyle name="Porcentual 206 3 3" xfId="8952"/>
    <cellStyle name="Porcentual 206 4" xfId="3260"/>
    <cellStyle name="Porcentual 206 4 2" xfId="6973"/>
    <cellStyle name="Porcentual 206 4 3" xfId="8953"/>
    <cellStyle name="Porcentual 206 5" xfId="3261"/>
    <cellStyle name="Porcentual 206 5 2" xfId="6974"/>
    <cellStyle name="Porcentual 206 5 3" xfId="8954"/>
    <cellStyle name="Porcentual 206 6" xfId="3262"/>
    <cellStyle name="Porcentual 206 6 2" xfId="6975"/>
    <cellStyle name="Porcentual 206 6 3" xfId="8955"/>
    <cellStyle name="Porcentual 206 7" xfId="3263"/>
    <cellStyle name="Porcentual 206 7 2" xfId="6976"/>
    <cellStyle name="Porcentual 206 7 3" xfId="8956"/>
    <cellStyle name="Porcentual 206 8" xfId="3264"/>
    <cellStyle name="Porcentual 206 8 2" xfId="6977"/>
    <cellStyle name="Porcentual 206 8 3" xfId="8957"/>
    <cellStyle name="Porcentual 206 9" xfId="3265"/>
    <cellStyle name="Porcentual 206 9 2" xfId="6978"/>
    <cellStyle name="Porcentual 206 9 3" xfId="8958"/>
    <cellStyle name="Porcentual 207 10" xfId="3266"/>
    <cellStyle name="Porcentual 207 10 2" xfId="6979"/>
    <cellStyle name="Porcentual 207 10 3" xfId="8959"/>
    <cellStyle name="Porcentual 207 11" xfId="3267"/>
    <cellStyle name="Porcentual 207 11 2" xfId="6980"/>
    <cellStyle name="Porcentual 207 11 3" xfId="8960"/>
    <cellStyle name="Porcentual 207 12" xfId="3268"/>
    <cellStyle name="Porcentual 207 12 2" xfId="6981"/>
    <cellStyle name="Porcentual 207 12 3" xfId="8961"/>
    <cellStyle name="Porcentual 207 13" xfId="3269"/>
    <cellStyle name="Porcentual 207 13 2" xfId="6982"/>
    <cellStyle name="Porcentual 207 13 3" xfId="8962"/>
    <cellStyle name="Porcentual 207 14" xfId="3270"/>
    <cellStyle name="Porcentual 207 14 2" xfId="6983"/>
    <cellStyle name="Porcentual 207 14 3" xfId="8963"/>
    <cellStyle name="Porcentual 207 15" xfId="3271"/>
    <cellStyle name="Porcentual 207 15 2" xfId="6984"/>
    <cellStyle name="Porcentual 207 15 3" xfId="8964"/>
    <cellStyle name="Porcentual 207 16" xfId="3272"/>
    <cellStyle name="Porcentual 207 16 2" xfId="6985"/>
    <cellStyle name="Porcentual 207 16 3" xfId="8965"/>
    <cellStyle name="Porcentual 207 17" xfId="3273"/>
    <cellStyle name="Porcentual 207 17 2" xfId="6986"/>
    <cellStyle name="Porcentual 207 17 3" xfId="8966"/>
    <cellStyle name="Porcentual 207 18" xfId="3274"/>
    <cellStyle name="Porcentual 207 18 2" xfId="6987"/>
    <cellStyle name="Porcentual 207 18 3" xfId="8967"/>
    <cellStyle name="Porcentual 207 19" xfId="3275"/>
    <cellStyle name="Porcentual 207 19 2" xfId="6988"/>
    <cellStyle name="Porcentual 207 19 3" xfId="8968"/>
    <cellStyle name="Porcentual 207 2" xfId="3276"/>
    <cellStyle name="Porcentual 207 2 2" xfId="6989"/>
    <cellStyle name="Porcentual 207 2 3" xfId="8969"/>
    <cellStyle name="Porcentual 207 20" xfId="3277"/>
    <cellStyle name="Porcentual 207 20 2" xfId="6990"/>
    <cellStyle name="Porcentual 207 20 3" xfId="8970"/>
    <cellStyle name="Porcentual 207 21" xfId="3278"/>
    <cellStyle name="Porcentual 207 21 2" xfId="6991"/>
    <cellStyle name="Porcentual 207 21 3" xfId="8971"/>
    <cellStyle name="Porcentual 207 22" xfId="3279"/>
    <cellStyle name="Porcentual 207 22 2" xfId="6992"/>
    <cellStyle name="Porcentual 207 22 3" xfId="8972"/>
    <cellStyle name="Porcentual 207 23" xfId="3280"/>
    <cellStyle name="Porcentual 207 23 2" xfId="6993"/>
    <cellStyle name="Porcentual 207 23 3" xfId="8973"/>
    <cellStyle name="Porcentual 207 24" xfId="3281"/>
    <cellStyle name="Porcentual 207 24 2" xfId="6994"/>
    <cellStyle name="Porcentual 207 24 3" xfId="8974"/>
    <cellStyle name="Porcentual 207 25" xfId="3282"/>
    <cellStyle name="Porcentual 207 25 2" xfId="6995"/>
    <cellStyle name="Porcentual 207 25 3" xfId="8975"/>
    <cellStyle name="Porcentual 207 26" xfId="3283"/>
    <cellStyle name="Porcentual 207 26 2" xfId="6996"/>
    <cellStyle name="Porcentual 207 26 3" xfId="8976"/>
    <cellStyle name="Porcentual 207 27" xfId="3284"/>
    <cellStyle name="Porcentual 207 27 2" xfId="6997"/>
    <cellStyle name="Porcentual 207 27 3" xfId="8977"/>
    <cellStyle name="Porcentual 207 28" xfId="3285"/>
    <cellStyle name="Porcentual 207 28 2" xfId="6998"/>
    <cellStyle name="Porcentual 207 28 3" xfId="8978"/>
    <cellStyle name="Porcentual 207 3" xfId="3286"/>
    <cellStyle name="Porcentual 207 3 2" xfId="6999"/>
    <cellStyle name="Porcentual 207 3 3" xfId="8979"/>
    <cellStyle name="Porcentual 207 4" xfId="3287"/>
    <cellStyle name="Porcentual 207 4 2" xfId="7000"/>
    <cellStyle name="Porcentual 207 4 3" xfId="8980"/>
    <cellStyle name="Porcentual 207 5" xfId="3288"/>
    <cellStyle name="Porcentual 207 5 2" xfId="7001"/>
    <cellStyle name="Porcentual 207 5 3" xfId="8981"/>
    <cellStyle name="Porcentual 207 6" xfId="3289"/>
    <cellStyle name="Porcentual 207 6 2" xfId="7002"/>
    <cellStyle name="Porcentual 207 6 3" xfId="8982"/>
    <cellStyle name="Porcentual 207 7" xfId="3290"/>
    <cellStyle name="Porcentual 207 7 2" xfId="7003"/>
    <cellStyle name="Porcentual 207 7 3" xfId="8983"/>
    <cellStyle name="Porcentual 207 8" xfId="3291"/>
    <cellStyle name="Porcentual 207 8 2" xfId="7004"/>
    <cellStyle name="Porcentual 207 8 3" xfId="8984"/>
    <cellStyle name="Porcentual 207 9" xfId="3292"/>
    <cellStyle name="Porcentual 207 9 2" xfId="7005"/>
    <cellStyle name="Porcentual 207 9 3" xfId="8985"/>
    <cellStyle name="Porcentual 208 10" xfId="3293"/>
    <cellStyle name="Porcentual 208 10 2" xfId="7006"/>
    <cellStyle name="Porcentual 208 10 3" xfId="8986"/>
    <cellStyle name="Porcentual 208 11" xfId="3294"/>
    <cellStyle name="Porcentual 208 11 2" xfId="7007"/>
    <cellStyle name="Porcentual 208 11 3" xfId="8987"/>
    <cellStyle name="Porcentual 208 12" xfId="3295"/>
    <cellStyle name="Porcentual 208 12 2" xfId="7008"/>
    <cellStyle name="Porcentual 208 12 3" xfId="8988"/>
    <cellStyle name="Porcentual 208 13" xfId="3296"/>
    <cellStyle name="Porcentual 208 13 2" xfId="7009"/>
    <cellStyle name="Porcentual 208 13 3" xfId="8989"/>
    <cellStyle name="Porcentual 208 14" xfId="3297"/>
    <cellStyle name="Porcentual 208 14 2" xfId="7010"/>
    <cellStyle name="Porcentual 208 14 3" xfId="8990"/>
    <cellStyle name="Porcentual 208 15" xfId="3298"/>
    <cellStyle name="Porcentual 208 15 2" xfId="7011"/>
    <cellStyle name="Porcentual 208 15 3" xfId="8991"/>
    <cellStyle name="Porcentual 208 16" xfId="3299"/>
    <cellStyle name="Porcentual 208 16 2" xfId="7012"/>
    <cellStyle name="Porcentual 208 16 3" xfId="8992"/>
    <cellStyle name="Porcentual 208 17" xfId="3300"/>
    <cellStyle name="Porcentual 208 17 2" xfId="7013"/>
    <cellStyle name="Porcentual 208 17 3" xfId="8993"/>
    <cellStyle name="Porcentual 208 18" xfId="3301"/>
    <cellStyle name="Porcentual 208 18 2" xfId="7014"/>
    <cellStyle name="Porcentual 208 18 3" xfId="8994"/>
    <cellStyle name="Porcentual 208 19" xfId="3302"/>
    <cellStyle name="Porcentual 208 19 2" xfId="7015"/>
    <cellStyle name="Porcentual 208 19 3" xfId="8995"/>
    <cellStyle name="Porcentual 208 2" xfId="3303"/>
    <cellStyle name="Porcentual 208 2 2" xfId="7016"/>
    <cellStyle name="Porcentual 208 2 3" xfId="8996"/>
    <cellStyle name="Porcentual 208 20" xfId="3304"/>
    <cellStyle name="Porcentual 208 20 2" xfId="7017"/>
    <cellStyle name="Porcentual 208 20 3" xfId="8997"/>
    <cellStyle name="Porcentual 208 21" xfId="3305"/>
    <cellStyle name="Porcentual 208 21 2" xfId="7018"/>
    <cellStyle name="Porcentual 208 21 3" xfId="8998"/>
    <cellStyle name="Porcentual 208 22" xfId="3306"/>
    <cellStyle name="Porcentual 208 22 2" xfId="7019"/>
    <cellStyle name="Porcentual 208 22 3" xfId="8999"/>
    <cellStyle name="Porcentual 208 23" xfId="3307"/>
    <cellStyle name="Porcentual 208 23 2" xfId="7020"/>
    <cellStyle name="Porcentual 208 23 3" xfId="9000"/>
    <cellStyle name="Porcentual 208 24" xfId="3308"/>
    <cellStyle name="Porcentual 208 24 2" xfId="7021"/>
    <cellStyle name="Porcentual 208 24 3" xfId="9001"/>
    <cellStyle name="Porcentual 208 25" xfId="3309"/>
    <cellStyle name="Porcentual 208 25 2" xfId="7022"/>
    <cellStyle name="Porcentual 208 25 3" xfId="9002"/>
    <cellStyle name="Porcentual 208 26" xfId="3310"/>
    <cellStyle name="Porcentual 208 26 2" xfId="7023"/>
    <cellStyle name="Porcentual 208 26 3" xfId="9003"/>
    <cellStyle name="Porcentual 208 27" xfId="3311"/>
    <cellStyle name="Porcentual 208 27 2" xfId="7024"/>
    <cellStyle name="Porcentual 208 27 3" xfId="9004"/>
    <cellStyle name="Porcentual 208 28" xfId="3312"/>
    <cellStyle name="Porcentual 208 28 2" xfId="7025"/>
    <cellStyle name="Porcentual 208 28 3" xfId="9005"/>
    <cellStyle name="Porcentual 208 3" xfId="3313"/>
    <cellStyle name="Porcentual 208 3 2" xfId="7026"/>
    <cellStyle name="Porcentual 208 3 3" xfId="9006"/>
    <cellStyle name="Porcentual 208 4" xfId="3314"/>
    <cellStyle name="Porcentual 208 4 2" xfId="7027"/>
    <cellStyle name="Porcentual 208 4 3" xfId="9007"/>
    <cellStyle name="Porcentual 208 5" xfId="3315"/>
    <cellStyle name="Porcentual 208 5 2" xfId="7028"/>
    <cellStyle name="Porcentual 208 5 3" xfId="9008"/>
    <cellStyle name="Porcentual 208 6" xfId="3316"/>
    <cellStyle name="Porcentual 208 6 2" xfId="7029"/>
    <cellStyle name="Porcentual 208 6 3" xfId="9009"/>
    <cellStyle name="Porcentual 208 7" xfId="3317"/>
    <cellStyle name="Porcentual 208 7 2" xfId="7030"/>
    <cellStyle name="Porcentual 208 7 3" xfId="9010"/>
    <cellStyle name="Porcentual 208 8" xfId="3318"/>
    <cellStyle name="Porcentual 208 8 2" xfId="7031"/>
    <cellStyle name="Porcentual 208 8 3" xfId="9011"/>
    <cellStyle name="Porcentual 208 9" xfId="3319"/>
    <cellStyle name="Porcentual 208 9 2" xfId="7032"/>
    <cellStyle name="Porcentual 208 9 3" xfId="9012"/>
    <cellStyle name="Porcentual 21" xfId="3320"/>
    <cellStyle name="Porcentual 21 10" xfId="3321"/>
    <cellStyle name="Porcentual 21 10 2" xfId="7033"/>
    <cellStyle name="Porcentual 21 10 3" xfId="9014"/>
    <cellStyle name="Porcentual 21 11" xfId="3322"/>
    <cellStyle name="Porcentual 21 11 2" xfId="7034"/>
    <cellStyle name="Porcentual 21 11 3" xfId="9015"/>
    <cellStyle name="Porcentual 21 12" xfId="3323"/>
    <cellStyle name="Porcentual 21 12 2" xfId="7035"/>
    <cellStyle name="Porcentual 21 12 3" xfId="9016"/>
    <cellStyle name="Porcentual 21 13" xfId="3324"/>
    <cellStyle name="Porcentual 21 13 2" xfId="7036"/>
    <cellStyle name="Porcentual 21 13 3" xfId="9017"/>
    <cellStyle name="Porcentual 21 14" xfId="3325"/>
    <cellStyle name="Porcentual 21 14 2" xfId="7037"/>
    <cellStyle name="Porcentual 21 14 3" xfId="9018"/>
    <cellStyle name="Porcentual 21 15" xfId="3326"/>
    <cellStyle name="Porcentual 21 15 2" xfId="7038"/>
    <cellStyle name="Porcentual 21 15 3" xfId="9019"/>
    <cellStyle name="Porcentual 21 16" xfId="3327"/>
    <cellStyle name="Porcentual 21 16 2" xfId="7039"/>
    <cellStyle name="Porcentual 21 16 3" xfId="9020"/>
    <cellStyle name="Porcentual 21 17" xfId="3328"/>
    <cellStyle name="Porcentual 21 17 2" xfId="7040"/>
    <cellStyle name="Porcentual 21 17 3" xfId="9021"/>
    <cellStyle name="Porcentual 21 18" xfId="3329"/>
    <cellStyle name="Porcentual 21 18 2" xfId="7041"/>
    <cellStyle name="Porcentual 21 18 3" xfId="9022"/>
    <cellStyle name="Porcentual 21 19" xfId="3330"/>
    <cellStyle name="Porcentual 21 19 2" xfId="7042"/>
    <cellStyle name="Porcentual 21 19 3" xfId="9023"/>
    <cellStyle name="Porcentual 21 2" xfId="3331"/>
    <cellStyle name="Porcentual 21 2 2" xfId="7043"/>
    <cellStyle name="Porcentual 21 2 3" xfId="9024"/>
    <cellStyle name="Porcentual 21 20" xfId="3332"/>
    <cellStyle name="Porcentual 21 20 2" xfId="7044"/>
    <cellStyle name="Porcentual 21 20 3" xfId="9025"/>
    <cellStyle name="Porcentual 21 21" xfId="3333"/>
    <cellStyle name="Porcentual 21 21 2" xfId="7045"/>
    <cellStyle name="Porcentual 21 21 3" xfId="9026"/>
    <cellStyle name="Porcentual 21 22" xfId="3334"/>
    <cellStyle name="Porcentual 21 22 2" xfId="7046"/>
    <cellStyle name="Porcentual 21 22 3" xfId="9027"/>
    <cellStyle name="Porcentual 21 23" xfId="3335"/>
    <cellStyle name="Porcentual 21 23 2" xfId="7047"/>
    <cellStyle name="Porcentual 21 23 3" xfId="9028"/>
    <cellStyle name="Porcentual 21 24" xfId="3336"/>
    <cellStyle name="Porcentual 21 24 2" xfId="7048"/>
    <cellStyle name="Porcentual 21 24 3" xfId="9029"/>
    <cellStyle name="Porcentual 21 25" xfId="3337"/>
    <cellStyle name="Porcentual 21 25 2" xfId="7049"/>
    <cellStyle name="Porcentual 21 25 3" xfId="9030"/>
    <cellStyle name="Porcentual 21 26" xfId="3338"/>
    <cellStyle name="Porcentual 21 26 2" xfId="7050"/>
    <cellStyle name="Porcentual 21 26 3" xfId="9031"/>
    <cellStyle name="Porcentual 21 27" xfId="3339"/>
    <cellStyle name="Porcentual 21 27 2" xfId="7051"/>
    <cellStyle name="Porcentual 21 27 3" xfId="9032"/>
    <cellStyle name="Porcentual 21 28" xfId="3340"/>
    <cellStyle name="Porcentual 21 28 2" xfId="7052"/>
    <cellStyle name="Porcentual 21 28 3" xfId="9033"/>
    <cellStyle name="Porcentual 21 29" xfId="7053"/>
    <cellStyle name="Porcentual 21 3" xfId="3341"/>
    <cellStyle name="Porcentual 21 3 2" xfId="7054"/>
    <cellStyle name="Porcentual 21 3 3" xfId="9034"/>
    <cellStyle name="Porcentual 21 30" xfId="9013"/>
    <cellStyle name="Porcentual 21 4" xfId="3342"/>
    <cellStyle name="Porcentual 21 4 2" xfId="7055"/>
    <cellStyle name="Porcentual 21 4 3" xfId="9035"/>
    <cellStyle name="Porcentual 21 5" xfId="3343"/>
    <cellStyle name="Porcentual 21 5 2" xfId="7056"/>
    <cellStyle name="Porcentual 21 5 3" xfId="9036"/>
    <cellStyle name="Porcentual 21 6" xfId="3344"/>
    <cellStyle name="Porcentual 21 6 2" xfId="7057"/>
    <cellStyle name="Porcentual 21 6 3" xfId="9037"/>
    <cellStyle name="Porcentual 21 7" xfId="3345"/>
    <cellStyle name="Porcentual 21 7 2" xfId="7058"/>
    <cellStyle name="Porcentual 21 7 3" xfId="9038"/>
    <cellStyle name="Porcentual 21 8" xfId="3346"/>
    <cellStyle name="Porcentual 21 8 2" xfId="7059"/>
    <cellStyle name="Porcentual 21 8 3" xfId="9039"/>
    <cellStyle name="Porcentual 21 9" xfId="3347"/>
    <cellStyle name="Porcentual 21 9 2" xfId="7060"/>
    <cellStyle name="Porcentual 21 9 3" xfId="9040"/>
    <cellStyle name="Porcentual 211 10" xfId="3348"/>
    <cellStyle name="Porcentual 211 10 2" xfId="7061"/>
    <cellStyle name="Porcentual 211 10 3" xfId="9041"/>
    <cellStyle name="Porcentual 211 11" xfId="3349"/>
    <cellStyle name="Porcentual 211 11 2" xfId="7062"/>
    <cellStyle name="Porcentual 211 11 3" xfId="9042"/>
    <cellStyle name="Porcentual 211 12" xfId="3350"/>
    <cellStyle name="Porcentual 211 12 2" xfId="7063"/>
    <cellStyle name="Porcentual 211 12 3" xfId="9043"/>
    <cellStyle name="Porcentual 211 13" xfId="3351"/>
    <cellStyle name="Porcentual 211 13 2" xfId="7064"/>
    <cellStyle name="Porcentual 211 13 3" xfId="9044"/>
    <cellStyle name="Porcentual 211 14" xfId="3352"/>
    <cellStyle name="Porcentual 211 14 2" xfId="7065"/>
    <cellStyle name="Porcentual 211 14 3" xfId="9045"/>
    <cellStyle name="Porcentual 211 15" xfId="3353"/>
    <cellStyle name="Porcentual 211 15 2" xfId="7066"/>
    <cellStyle name="Porcentual 211 15 3" xfId="9046"/>
    <cellStyle name="Porcentual 211 16" xfId="3354"/>
    <cellStyle name="Porcentual 211 16 2" xfId="7067"/>
    <cellStyle name="Porcentual 211 16 3" xfId="9047"/>
    <cellStyle name="Porcentual 211 17" xfId="3355"/>
    <cellStyle name="Porcentual 211 17 2" xfId="7068"/>
    <cellStyle name="Porcentual 211 17 3" xfId="9048"/>
    <cellStyle name="Porcentual 211 18" xfId="3356"/>
    <cellStyle name="Porcentual 211 18 2" xfId="7069"/>
    <cellStyle name="Porcentual 211 18 3" xfId="9049"/>
    <cellStyle name="Porcentual 211 19" xfId="3357"/>
    <cellStyle name="Porcentual 211 19 2" xfId="7070"/>
    <cellStyle name="Porcentual 211 19 3" xfId="9050"/>
    <cellStyle name="Porcentual 211 2" xfId="3358"/>
    <cellStyle name="Porcentual 211 2 2" xfId="7071"/>
    <cellStyle name="Porcentual 211 2 3" xfId="9051"/>
    <cellStyle name="Porcentual 211 20" xfId="3359"/>
    <cellStyle name="Porcentual 211 20 2" xfId="7072"/>
    <cellStyle name="Porcentual 211 20 3" xfId="9052"/>
    <cellStyle name="Porcentual 211 21" xfId="3360"/>
    <cellStyle name="Porcentual 211 21 2" xfId="7073"/>
    <cellStyle name="Porcentual 211 21 3" xfId="9053"/>
    <cellStyle name="Porcentual 211 22" xfId="3361"/>
    <cellStyle name="Porcentual 211 22 2" xfId="7074"/>
    <cellStyle name="Porcentual 211 22 3" xfId="9054"/>
    <cellStyle name="Porcentual 211 23" xfId="3362"/>
    <cellStyle name="Porcentual 211 23 2" xfId="7075"/>
    <cellStyle name="Porcentual 211 23 3" xfId="9055"/>
    <cellStyle name="Porcentual 211 24" xfId="3363"/>
    <cellStyle name="Porcentual 211 24 2" xfId="7076"/>
    <cellStyle name="Porcentual 211 24 3" xfId="9056"/>
    <cellStyle name="Porcentual 211 25" xfId="3364"/>
    <cellStyle name="Porcentual 211 25 2" xfId="7077"/>
    <cellStyle name="Porcentual 211 25 3" xfId="9057"/>
    <cellStyle name="Porcentual 211 26" xfId="3365"/>
    <cellStyle name="Porcentual 211 26 2" xfId="7078"/>
    <cellStyle name="Porcentual 211 26 3" xfId="9058"/>
    <cellStyle name="Porcentual 211 27" xfId="3366"/>
    <cellStyle name="Porcentual 211 27 2" xfId="7079"/>
    <cellStyle name="Porcentual 211 27 3" xfId="9059"/>
    <cellStyle name="Porcentual 211 28" xfId="3367"/>
    <cellStyle name="Porcentual 211 28 2" xfId="7080"/>
    <cellStyle name="Porcentual 211 28 3" xfId="9060"/>
    <cellStyle name="Porcentual 211 3" xfId="3368"/>
    <cellStyle name="Porcentual 211 3 2" xfId="7081"/>
    <cellStyle name="Porcentual 211 3 3" xfId="9061"/>
    <cellStyle name="Porcentual 211 4" xfId="3369"/>
    <cellStyle name="Porcentual 211 4 2" xfId="7082"/>
    <cellStyle name="Porcentual 211 4 3" xfId="9062"/>
    <cellStyle name="Porcentual 211 5" xfId="3370"/>
    <cellStyle name="Porcentual 211 5 2" xfId="7083"/>
    <cellStyle name="Porcentual 211 5 3" xfId="9063"/>
    <cellStyle name="Porcentual 211 6" xfId="3371"/>
    <cellStyle name="Porcentual 211 6 2" xfId="7084"/>
    <cellStyle name="Porcentual 211 6 3" xfId="9064"/>
    <cellStyle name="Porcentual 211 7" xfId="3372"/>
    <cellStyle name="Porcentual 211 7 2" xfId="7085"/>
    <cellStyle name="Porcentual 211 7 3" xfId="9065"/>
    <cellStyle name="Porcentual 211 8" xfId="3373"/>
    <cellStyle name="Porcentual 211 8 2" xfId="7086"/>
    <cellStyle name="Porcentual 211 8 3" xfId="9066"/>
    <cellStyle name="Porcentual 211 9" xfId="3374"/>
    <cellStyle name="Porcentual 211 9 2" xfId="7087"/>
    <cellStyle name="Porcentual 211 9 3" xfId="9067"/>
    <cellStyle name="Porcentual 212 10" xfId="3375"/>
    <cellStyle name="Porcentual 212 10 2" xfId="7088"/>
    <cellStyle name="Porcentual 212 10 3" xfId="9068"/>
    <cellStyle name="Porcentual 212 11" xfId="3376"/>
    <cellStyle name="Porcentual 212 11 2" xfId="7089"/>
    <cellStyle name="Porcentual 212 11 3" xfId="9069"/>
    <cellStyle name="Porcentual 212 12" xfId="3377"/>
    <cellStyle name="Porcentual 212 12 2" xfId="7090"/>
    <cellStyle name="Porcentual 212 12 3" xfId="9070"/>
    <cellStyle name="Porcentual 212 13" xfId="3378"/>
    <cellStyle name="Porcentual 212 13 2" xfId="7091"/>
    <cellStyle name="Porcentual 212 13 3" xfId="9071"/>
    <cellStyle name="Porcentual 212 14" xfId="3379"/>
    <cellStyle name="Porcentual 212 14 2" xfId="7092"/>
    <cellStyle name="Porcentual 212 14 3" xfId="9072"/>
    <cellStyle name="Porcentual 212 15" xfId="3380"/>
    <cellStyle name="Porcentual 212 15 2" xfId="7093"/>
    <cellStyle name="Porcentual 212 15 3" xfId="9073"/>
    <cellStyle name="Porcentual 212 16" xfId="3381"/>
    <cellStyle name="Porcentual 212 16 2" xfId="7094"/>
    <cellStyle name="Porcentual 212 16 3" xfId="9074"/>
    <cellStyle name="Porcentual 212 17" xfId="3382"/>
    <cellStyle name="Porcentual 212 17 2" xfId="7095"/>
    <cellStyle name="Porcentual 212 17 3" xfId="9075"/>
    <cellStyle name="Porcentual 212 18" xfId="3383"/>
    <cellStyle name="Porcentual 212 18 2" xfId="7096"/>
    <cellStyle name="Porcentual 212 18 3" xfId="9076"/>
    <cellStyle name="Porcentual 212 19" xfId="3384"/>
    <cellStyle name="Porcentual 212 19 2" xfId="7097"/>
    <cellStyle name="Porcentual 212 19 3" xfId="9077"/>
    <cellStyle name="Porcentual 212 2" xfId="3385"/>
    <cellStyle name="Porcentual 212 2 2" xfId="7098"/>
    <cellStyle name="Porcentual 212 2 3" xfId="9078"/>
    <cellStyle name="Porcentual 212 20" xfId="3386"/>
    <cellStyle name="Porcentual 212 20 2" xfId="7099"/>
    <cellStyle name="Porcentual 212 20 3" xfId="9079"/>
    <cellStyle name="Porcentual 212 21" xfId="3387"/>
    <cellStyle name="Porcentual 212 21 2" xfId="7100"/>
    <cellStyle name="Porcentual 212 21 3" xfId="9080"/>
    <cellStyle name="Porcentual 212 22" xfId="3388"/>
    <cellStyle name="Porcentual 212 22 2" xfId="7101"/>
    <cellStyle name="Porcentual 212 22 3" xfId="9081"/>
    <cellStyle name="Porcentual 212 23" xfId="3389"/>
    <cellStyle name="Porcentual 212 23 2" xfId="7102"/>
    <cellStyle name="Porcentual 212 23 3" xfId="9082"/>
    <cellStyle name="Porcentual 212 24" xfId="3390"/>
    <cellStyle name="Porcentual 212 24 2" xfId="7103"/>
    <cellStyle name="Porcentual 212 24 3" xfId="9083"/>
    <cellStyle name="Porcentual 212 25" xfId="3391"/>
    <cellStyle name="Porcentual 212 25 2" xfId="7104"/>
    <cellStyle name="Porcentual 212 25 3" xfId="9084"/>
    <cellStyle name="Porcentual 212 26" xfId="3392"/>
    <cellStyle name="Porcentual 212 26 2" xfId="7105"/>
    <cellStyle name="Porcentual 212 26 3" xfId="9085"/>
    <cellStyle name="Porcentual 212 27" xfId="3393"/>
    <cellStyle name="Porcentual 212 27 2" xfId="7106"/>
    <cellStyle name="Porcentual 212 27 3" xfId="9086"/>
    <cellStyle name="Porcentual 212 28" xfId="3394"/>
    <cellStyle name="Porcentual 212 28 2" xfId="7107"/>
    <cellStyle name="Porcentual 212 28 3" xfId="9087"/>
    <cellStyle name="Porcentual 212 3" xfId="3395"/>
    <cellStyle name="Porcentual 212 3 2" xfId="7108"/>
    <cellStyle name="Porcentual 212 3 3" xfId="9088"/>
    <cellStyle name="Porcentual 212 4" xfId="3396"/>
    <cellStyle name="Porcentual 212 4 2" xfId="7109"/>
    <cellStyle name="Porcentual 212 4 3" xfId="9089"/>
    <cellStyle name="Porcentual 212 5" xfId="3397"/>
    <cellStyle name="Porcentual 212 5 2" xfId="7110"/>
    <cellStyle name="Porcentual 212 5 3" xfId="9090"/>
    <cellStyle name="Porcentual 212 6" xfId="3398"/>
    <cellStyle name="Porcentual 212 6 2" xfId="7111"/>
    <cellStyle name="Porcentual 212 6 3" xfId="9091"/>
    <cellStyle name="Porcentual 212 7" xfId="3399"/>
    <cellStyle name="Porcentual 212 7 2" xfId="7112"/>
    <cellStyle name="Porcentual 212 7 3" xfId="9092"/>
    <cellStyle name="Porcentual 212 8" xfId="3400"/>
    <cellStyle name="Porcentual 212 8 2" xfId="7113"/>
    <cellStyle name="Porcentual 212 8 3" xfId="9093"/>
    <cellStyle name="Porcentual 212 9" xfId="3401"/>
    <cellStyle name="Porcentual 212 9 2" xfId="7114"/>
    <cellStyle name="Porcentual 212 9 3" xfId="9094"/>
    <cellStyle name="Porcentual 213 10" xfId="3402"/>
    <cellStyle name="Porcentual 213 10 2" xfId="7115"/>
    <cellStyle name="Porcentual 213 10 3" xfId="9095"/>
    <cellStyle name="Porcentual 213 11" xfId="3403"/>
    <cellStyle name="Porcentual 213 11 2" xfId="7116"/>
    <cellStyle name="Porcentual 213 11 3" xfId="9096"/>
    <cellStyle name="Porcentual 213 12" xfId="3404"/>
    <cellStyle name="Porcentual 213 12 2" xfId="7117"/>
    <cellStyle name="Porcentual 213 12 3" xfId="9097"/>
    <cellStyle name="Porcentual 213 13" xfId="3405"/>
    <cellStyle name="Porcentual 213 13 2" xfId="7118"/>
    <cellStyle name="Porcentual 213 13 3" xfId="9098"/>
    <cellStyle name="Porcentual 213 14" xfId="3406"/>
    <cellStyle name="Porcentual 213 14 2" xfId="7119"/>
    <cellStyle name="Porcentual 213 14 3" xfId="9099"/>
    <cellStyle name="Porcentual 213 15" xfId="3407"/>
    <cellStyle name="Porcentual 213 15 2" xfId="7120"/>
    <cellStyle name="Porcentual 213 15 3" xfId="9100"/>
    <cellStyle name="Porcentual 213 16" xfId="3408"/>
    <cellStyle name="Porcentual 213 16 2" xfId="7121"/>
    <cellStyle name="Porcentual 213 16 3" xfId="9101"/>
    <cellStyle name="Porcentual 213 17" xfId="3409"/>
    <cellStyle name="Porcentual 213 17 2" xfId="7122"/>
    <cellStyle name="Porcentual 213 17 3" xfId="9102"/>
    <cellStyle name="Porcentual 213 18" xfId="3410"/>
    <cellStyle name="Porcentual 213 18 2" xfId="7123"/>
    <cellStyle name="Porcentual 213 18 3" xfId="9103"/>
    <cellStyle name="Porcentual 213 19" xfId="3411"/>
    <cellStyle name="Porcentual 213 19 2" xfId="7124"/>
    <cellStyle name="Porcentual 213 19 3" xfId="9104"/>
    <cellStyle name="Porcentual 213 2" xfId="3412"/>
    <cellStyle name="Porcentual 213 2 2" xfId="7125"/>
    <cellStyle name="Porcentual 213 2 3" xfId="9105"/>
    <cellStyle name="Porcentual 213 20" xfId="3413"/>
    <cellStyle name="Porcentual 213 20 2" xfId="7126"/>
    <cellStyle name="Porcentual 213 20 3" xfId="9106"/>
    <cellStyle name="Porcentual 213 21" xfId="3414"/>
    <cellStyle name="Porcentual 213 21 2" xfId="7127"/>
    <cellStyle name="Porcentual 213 21 3" xfId="9107"/>
    <cellStyle name="Porcentual 213 22" xfId="3415"/>
    <cellStyle name="Porcentual 213 22 2" xfId="7128"/>
    <cellStyle name="Porcentual 213 22 3" xfId="9108"/>
    <cellStyle name="Porcentual 213 23" xfId="3416"/>
    <cellStyle name="Porcentual 213 23 2" xfId="7129"/>
    <cellStyle name="Porcentual 213 23 3" xfId="9109"/>
    <cellStyle name="Porcentual 213 24" xfId="3417"/>
    <cellStyle name="Porcentual 213 24 2" xfId="7130"/>
    <cellStyle name="Porcentual 213 24 3" xfId="9110"/>
    <cellStyle name="Porcentual 213 25" xfId="3418"/>
    <cellStyle name="Porcentual 213 25 2" xfId="7131"/>
    <cellStyle name="Porcentual 213 25 3" xfId="9111"/>
    <cellStyle name="Porcentual 213 26" xfId="3419"/>
    <cellStyle name="Porcentual 213 26 2" xfId="7132"/>
    <cellStyle name="Porcentual 213 26 3" xfId="9112"/>
    <cellStyle name="Porcentual 213 27" xfId="3420"/>
    <cellStyle name="Porcentual 213 27 2" xfId="7133"/>
    <cellStyle name="Porcentual 213 27 3" xfId="9113"/>
    <cellStyle name="Porcentual 213 28" xfId="3421"/>
    <cellStyle name="Porcentual 213 28 2" xfId="7134"/>
    <cellStyle name="Porcentual 213 28 3" xfId="9114"/>
    <cellStyle name="Porcentual 213 3" xfId="3422"/>
    <cellStyle name="Porcentual 213 3 2" xfId="7135"/>
    <cellStyle name="Porcentual 213 3 3" xfId="9115"/>
    <cellStyle name="Porcentual 213 4" xfId="3423"/>
    <cellStyle name="Porcentual 213 4 2" xfId="7136"/>
    <cellStyle name="Porcentual 213 4 3" xfId="9116"/>
    <cellStyle name="Porcentual 213 5" xfId="3424"/>
    <cellStyle name="Porcentual 213 5 2" xfId="7137"/>
    <cellStyle name="Porcentual 213 5 3" xfId="9117"/>
    <cellStyle name="Porcentual 213 6" xfId="3425"/>
    <cellStyle name="Porcentual 213 6 2" xfId="7138"/>
    <cellStyle name="Porcentual 213 6 3" xfId="9118"/>
    <cellStyle name="Porcentual 213 7" xfId="3426"/>
    <cellStyle name="Porcentual 213 7 2" xfId="7139"/>
    <cellStyle name="Porcentual 213 7 3" xfId="9119"/>
    <cellStyle name="Porcentual 213 8" xfId="3427"/>
    <cellStyle name="Porcentual 213 8 2" xfId="7140"/>
    <cellStyle name="Porcentual 213 8 3" xfId="9120"/>
    <cellStyle name="Porcentual 213 9" xfId="3428"/>
    <cellStyle name="Porcentual 213 9 2" xfId="7141"/>
    <cellStyle name="Porcentual 213 9 3" xfId="9121"/>
    <cellStyle name="Porcentual 214 10" xfId="3429"/>
    <cellStyle name="Porcentual 214 10 2" xfId="7142"/>
    <cellStyle name="Porcentual 214 10 3" xfId="9122"/>
    <cellStyle name="Porcentual 214 11" xfId="3430"/>
    <cellStyle name="Porcentual 214 11 2" xfId="7143"/>
    <cellStyle name="Porcentual 214 11 3" xfId="9123"/>
    <cellStyle name="Porcentual 214 12" xfId="3431"/>
    <cellStyle name="Porcentual 214 12 2" xfId="7144"/>
    <cellStyle name="Porcentual 214 12 3" xfId="9124"/>
    <cellStyle name="Porcentual 214 13" xfId="3432"/>
    <cellStyle name="Porcentual 214 13 2" xfId="7145"/>
    <cellStyle name="Porcentual 214 13 3" xfId="9125"/>
    <cellStyle name="Porcentual 214 14" xfId="3433"/>
    <cellStyle name="Porcentual 214 14 2" xfId="7146"/>
    <cellStyle name="Porcentual 214 14 3" xfId="9126"/>
    <cellStyle name="Porcentual 214 15" xfId="3434"/>
    <cellStyle name="Porcentual 214 15 2" xfId="7147"/>
    <cellStyle name="Porcentual 214 15 3" xfId="9127"/>
    <cellStyle name="Porcentual 214 16" xfId="3435"/>
    <cellStyle name="Porcentual 214 16 2" xfId="7148"/>
    <cellStyle name="Porcentual 214 16 3" xfId="9128"/>
    <cellStyle name="Porcentual 214 17" xfId="3436"/>
    <cellStyle name="Porcentual 214 17 2" xfId="7149"/>
    <cellStyle name="Porcentual 214 17 3" xfId="9129"/>
    <cellStyle name="Porcentual 214 18" xfId="3437"/>
    <cellStyle name="Porcentual 214 18 2" xfId="7150"/>
    <cellStyle name="Porcentual 214 18 3" xfId="9130"/>
    <cellStyle name="Porcentual 214 19" xfId="3438"/>
    <cellStyle name="Porcentual 214 19 2" xfId="7151"/>
    <cellStyle name="Porcentual 214 19 3" xfId="9131"/>
    <cellStyle name="Porcentual 214 2" xfId="3439"/>
    <cellStyle name="Porcentual 214 2 2" xfId="7152"/>
    <cellStyle name="Porcentual 214 2 3" xfId="9132"/>
    <cellStyle name="Porcentual 214 20" xfId="3440"/>
    <cellStyle name="Porcentual 214 20 2" xfId="7153"/>
    <cellStyle name="Porcentual 214 20 3" xfId="9133"/>
    <cellStyle name="Porcentual 214 21" xfId="3441"/>
    <cellStyle name="Porcentual 214 21 2" xfId="7154"/>
    <cellStyle name="Porcentual 214 21 3" xfId="9134"/>
    <cellStyle name="Porcentual 214 22" xfId="3442"/>
    <cellStyle name="Porcentual 214 22 2" xfId="7155"/>
    <cellStyle name="Porcentual 214 22 3" xfId="9135"/>
    <cellStyle name="Porcentual 214 23" xfId="3443"/>
    <cellStyle name="Porcentual 214 23 2" xfId="7156"/>
    <cellStyle name="Porcentual 214 23 3" xfId="9136"/>
    <cellStyle name="Porcentual 214 24" xfId="3444"/>
    <cellStyle name="Porcentual 214 24 2" xfId="7157"/>
    <cellStyle name="Porcentual 214 24 3" xfId="9137"/>
    <cellStyle name="Porcentual 214 25" xfId="3445"/>
    <cellStyle name="Porcentual 214 25 2" xfId="7158"/>
    <cellStyle name="Porcentual 214 25 3" xfId="9138"/>
    <cellStyle name="Porcentual 214 26" xfId="3446"/>
    <cellStyle name="Porcentual 214 26 2" xfId="7159"/>
    <cellStyle name="Porcentual 214 26 3" xfId="9139"/>
    <cellStyle name="Porcentual 214 27" xfId="3447"/>
    <cellStyle name="Porcentual 214 27 2" xfId="7160"/>
    <cellStyle name="Porcentual 214 27 3" xfId="9140"/>
    <cellStyle name="Porcentual 214 28" xfId="3448"/>
    <cellStyle name="Porcentual 214 28 2" xfId="7161"/>
    <cellStyle name="Porcentual 214 28 3" xfId="9141"/>
    <cellStyle name="Porcentual 214 3" xfId="3449"/>
    <cellStyle name="Porcentual 214 3 2" xfId="7162"/>
    <cellStyle name="Porcentual 214 3 3" xfId="9142"/>
    <cellStyle name="Porcentual 214 4" xfId="3450"/>
    <cellStyle name="Porcentual 214 4 2" xfId="7163"/>
    <cellStyle name="Porcentual 214 4 3" xfId="9143"/>
    <cellStyle name="Porcentual 214 5" xfId="3451"/>
    <cellStyle name="Porcentual 214 5 2" xfId="7164"/>
    <cellStyle name="Porcentual 214 5 3" xfId="9144"/>
    <cellStyle name="Porcentual 214 6" xfId="3452"/>
    <cellStyle name="Porcentual 214 6 2" xfId="7165"/>
    <cellStyle name="Porcentual 214 6 3" xfId="9145"/>
    <cellStyle name="Porcentual 214 7" xfId="3453"/>
    <cellStyle name="Porcentual 214 7 2" xfId="7166"/>
    <cellStyle name="Porcentual 214 7 3" xfId="9146"/>
    <cellStyle name="Porcentual 214 8" xfId="3454"/>
    <cellStyle name="Porcentual 214 8 2" xfId="7167"/>
    <cellStyle name="Porcentual 214 8 3" xfId="9147"/>
    <cellStyle name="Porcentual 214 9" xfId="3455"/>
    <cellStyle name="Porcentual 214 9 2" xfId="7168"/>
    <cellStyle name="Porcentual 214 9 3" xfId="9148"/>
    <cellStyle name="Porcentual 215 10" xfId="3456"/>
    <cellStyle name="Porcentual 215 10 2" xfId="7169"/>
    <cellStyle name="Porcentual 215 10 3" xfId="9149"/>
    <cellStyle name="Porcentual 215 11" xfId="3457"/>
    <cellStyle name="Porcentual 215 11 2" xfId="7170"/>
    <cellStyle name="Porcentual 215 11 3" xfId="9150"/>
    <cellStyle name="Porcentual 215 12" xfId="3458"/>
    <cellStyle name="Porcentual 215 12 2" xfId="7171"/>
    <cellStyle name="Porcentual 215 12 3" xfId="9151"/>
    <cellStyle name="Porcentual 215 13" xfId="3459"/>
    <cellStyle name="Porcentual 215 13 2" xfId="7172"/>
    <cellStyle name="Porcentual 215 13 3" xfId="9152"/>
    <cellStyle name="Porcentual 215 14" xfId="3460"/>
    <cellStyle name="Porcentual 215 14 2" xfId="7173"/>
    <cellStyle name="Porcentual 215 14 3" xfId="9153"/>
    <cellStyle name="Porcentual 215 15" xfId="3461"/>
    <cellStyle name="Porcentual 215 15 2" xfId="7174"/>
    <cellStyle name="Porcentual 215 15 3" xfId="9154"/>
    <cellStyle name="Porcentual 215 16" xfId="3462"/>
    <cellStyle name="Porcentual 215 16 2" xfId="7175"/>
    <cellStyle name="Porcentual 215 16 3" xfId="9155"/>
    <cellStyle name="Porcentual 215 17" xfId="3463"/>
    <cellStyle name="Porcentual 215 17 2" xfId="7176"/>
    <cellStyle name="Porcentual 215 17 3" xfId="9156"/>
    <cellStyle name="Porcentual 215 18" xfId="3464"/>
    <cellStyle name="Porcentual 215 18 2" xfId="7177"/>
    <cellStyle name="Porcentual 215 18 3" xfId="9157"/>
    <cellStyle name="Porcentual 215 19" xfId="3465"/>
    <cellStyle name="Porcentual 215 19 2" xfId="7178"/>
    <cellStyle name="Porcentual 215 19 3" xfId="9158"/>
    <cellStyle name="Porcentual 215 2" xfId="3466"/>
    <cellStyle name="Porcentual 215 2 2" xfId="7179"/>
    <cellStyle name="Porcentual 215 2 3" xfId="9159"/>
    <cellStyle name="Porcentual 215 20" xfId="3467"/>
    <cellStyle name="Porcentual 215 20 2" xfId="7180"/>
    <cellStyle name="Porcentual 215 20 3" xfId="9160"/>
    <cellStyle name="Porcentual 215 21" xfId="3468"/>
    <cellStyle name="Porcentual 215 21 2" xfId="7181"/>
    <cellStyle name="Porcentual 215 21 3" xfId="9161"/>
    <cellStyle name="Porcentual 215 22" xfId="3469"/>
    <cellStyle name="Porcentual 215 22 2" xfId="7182"/>
    <cellStyle name="Porcentual 215 22 3" xfId="9162"/>
    <cellStyle name="Porcentual 215 23" xfId="3470"/>
    <cellStyle name="Porcentual 215 23 2" xfId="7183"/>
    <cellStyle name="Porcentual 215 23 3" xfId="9163"/>
    <cellStyle name="Porcentual 215 24" xfId="3471"/>
    <cellStyle name="Porcentual 215 24 2" xfId="7184"/>
    <cellStyle name="Porcentual 215 24 3" xfId="9164"/>
    <cellStyle name="Porcentual 215 25" xfId="3472"/>
    <cellStyle name="Porcentual 215 25 2" xfId="7185"/>
    <cellStyle name="Porcentual 215 25 3" xfId="9165"/>
    <cellStyle name="Porcentual 215 26" xfId="3473"/>
    <cellStyle name="Porcentual 215 26 2" xfId="7186"/>
    <cellStyle name="Porcentual 215 26 3" xfId="9166"/>
    <cellStyle name="Porcentual 215 27" xfId="3474"/>
    <cellStyle name="Porcentual 215 27 2" xfId="7187"/>
    <cellStyle name="Porcentual 215 27 3" xfId="9167"/>
    <cellStyle name="Porcentual 215 28" xfId="3475"/>
    <cellStyle name="Porcentual 215 28 2" xfId="7188"/>
    <cellStyle name="Porcentual 215 28 3" xfId="9168"/>
    <cellStyle name="Porcentual 215 3" xfId="3476"/>
    <cellStyle name="Porcentual 215 3 2" xfId="7189"/>
    <cellStyle name="Porcentual 215 3 3" xfId="9169"/>
    <cellStyle name="Porcentual 215 4" xfId="3477"/>
    <cellStyle name="Porcentual 215 4 2" xfId="7190"/>
    <cellStyle name="Porcentual 215 4 3" xfId="9170"/>
    <cellStyle name="Porcentual 215 5" xfId="3478"/>
    <cellStyle name="Porcentual 215 5 2" xfId="7191"/>
    <cellStyle name="Porcentual 215 5 3" xfId="9171"/>
    <cellStyle name="Porcentual 215 6" xfId="3479"/>
    <cellStyle name="Porcentual 215 6 2" xfId="7192"/>
    <cellStyle name="Porcentual 215 6 3" xfId="9172"/>
    <cellStyle name="Porcentual 215 7" xfId="3480"/>
    <cellStyle name="Porcentual 215 7 2" xfId="7193"/>
    <cellStyle name="Porcentual 215 7 3" xfId="9173"/>
    <cellStyle name="Porcentual 215 8" xfId="3481"/>
    <cellStyle name="Porcentual 215 8 2" xfId="7194"/>
    <cellStyle name="Porcentual 215 8 3" xfId="9174"/>
    <cellStyle name="Porcentual 215 9" xfId="3482"/>
    <cellStyle name="Porcentual 215 9 2" xfId="7195"/>
    <cellStyle name="Porcentual 215 9 3" xfId="9175"/>
    <cellStyle name="Porcentual 216 10" xfId="3483"/>
    <cellStyle name="Porcentual 216 10 2" xfId="7196"/>
    <cellStyle name="Porcentual 216 10 3" xfId="9176"/>
    <cellStyle name="Porcentual 216 11" xfId="3484"/>
    <cellStyle name="Porcentual 216 11 2" xfId="7197"/>
    <cellStyle name="Porcentual 216 11 3" xfId="9177"/>
    <cellStyle name="Porcentual 216 12" xfId="3485"/>
    <cellStyle name="Porcentual 216 12 2" xfId="7198"/>
    <cellStyle name="Porcentual 216 12 3" xfId="9178"/>
    <cellStyle name="Porcentual 216 13" xfId="3486"/>
    <cellStyle name="Porcentual 216 13 2" xfId="7199"/>
    <cellStyle name="Porcentual 216 13 3" xfId="9179"/>
    <cellStyle name="Porcentual 216 14" xfId="3487"/>
    <cellStyle name="Porcentual 216 14 2" xfId="7200"/>
    <cellStyle name="Porcentual 216 14 3" xfId="9180"/>
    <cellStyle name="Porcentual 216 15" xfId="3488"/>
    <cellStyle name="Porcentual 216 15 2" xfId="7201"/>
    <cellStyle name="Porcentual 216 15 3" xfId="9181"/>
    <cellStyle name="Porcentual 216 16" xfId="3489"/>
    <cellStyle name="Porcentual 216 16 2" xfId="7202"/>
    <cellStyle name="Porcentual 216 16 3" xfId="9182"/>
    <cellStyle name="Porcentual 216 17" xfId="3490"/>
    <cellStyle name="Porcentual 216 17 2" xfId="7203"/>
    <cellStyle name="Porcentual 216 17 3" xfId="9183"/>
    <cellStyle name="Porcentual 216 18" xfId="3491"/>
    <cellStyle name="Porcentual 216 18 2" xfId="7204"/>
    <cellStyle name="Porcentual 216 18 3" xfId="9184"/>
    <cellStyle name="Porcentual 216 19" xfId="3492"/>
    <cellStyle name="Porcentual 216 19 2" xfId="7205"/>
    <cellStyle name="Porcentual 216 19 3" xfId="9185"/>
    <cellStyle name="Porcentual 216 2" xfId="3493"/>
    <cellStyle name="Porcentual 216 2 2" xfId="7206"/>
    <cellStyle name="Porcentual 216 2 3" xfId="9186"/>
    <cellStyle name="Porcentual 216 20" xfId="3494"/>
    <cellStyle name="Porcentual 216 20 2" xfId="7207"/>
    <cellStyle name="Porcentual 216 20 3" xfId="9187"/>
    <cellStyle name="Porcentual 216 21" xfId="3495"/>
    <cellStyle name="Porcentual 216 21 2" xfId="7208"/>
    <cellStyle name="Porcentual 216 21 3" xfId="9188"/>
    <cellStyle name="Porcentual 216 22" xfId="3496"/>
    <cellStyle name="Porcentual 216 22 2" xfId="7209"/>
    <cellStyle name="Porcentual 216 22 3" xfId="9189"/>
    <cellStyle name="Porcentual 216 23" xfId="3497"/>
    <cellStyle name="Porcentual 216 23 2" xfId="7210"/>
    <cellStyle name="Porcentual 216 23 3" xfId="9190"/>
    <cellStyle name="Porcentual 216 24" xfId="3498"/>
    <cellStyle name="Porcentual 216 24 2" xfId="7211"/>
    <cellStyle name="Porcentual 216 24 3" xfId="9191"/>
    <cellStyle name="Porcentual 216 25" xfId="3499"/>
    <cellStyle name="Porcentual 216 25 2" xfId="7212"/>
    <cellStyle name="Porcentual 216 25 3" xfId="9192"/>
    <cellStyle name="Porcentual 216 26" xfId="3500"/>
    <cellStyle name="Porcentual 216 26 2" xfId="7213"/>
    <cellStyle name="Porcentual 216 26 3" xfId="9193"/>
    <cellStyle name="Porcentual 216 27" xfId="3501"/>
    <cellStyle name="Porcentual 216 27 2" xfId="7214"/>
    <cellStyle name="Porcentual 216 27 3" xfId="9194"/>
    <cellStyle name="Porcentual 216 28" xfId="3502"/>
    <cellStyle name="Porcentual 216 28 2" xfId="7215"/>
    <cellStyle name="Porcentual 216 28 3" xfId="9195"/>
    <cellStyle name="Porcentual 216 3" xfId="3503"/>
    <cellStyle name="Porcentual 216 3 2" xfId="7216"/>
    <cellStyle name="Porcentual 216 3 3" xfId="9196"/>
    <cellStyle name="Porcentual 216 4" xfId="3504"/>
    <cellStyle name="Porcentual 216 4 2" xfId="7217"/>
    <cellStyle name="Porcentual 216 4 3" xfId="9197"/>
    <cellStyle name="Porcentual 216 5" xfId="3505"/>
    <cellStyle name="Porcentual 216 5 2" xfId="7218"/>
    <cellStyle name="Porcentual 216 5 3" xfId="9198"/>
    <cellStyle name="Porcentual 216 6" xfId="3506"/>
    <cellStyle name="Porcentual 216 6 2" xfId="7219"/>
    <cellStyle name="Porcentual 216 6 3" xfId="9199"/>
    <cellStyle name="Porcentual 216 7" xfId="3507"/>
    <cellStyle name="Porcentual 216 7 2" xfId="7220"/>
    <cellStyle name="Porcentual 216 7 3" xfId="9200"/>
    <cellStyle name="Porcentual 216 8" xfId="3508"/>
    <cellStyle name="Porcentual 216 8 2" xfId="7221"/>
    <cellStyle name="Porcentual 216 8 3" xfId="9201"/>
    <cellStyle name="Porcentual 216 9" xfId="3509"/>
    <cellStyle name="Porcentual 216 9 2" xfId="7222"/>
    <cellStyle name="Porcentual 216 9 3" xfId="9202"/>
    <cellStyle name="Porcentual 217 10" xfId="3510"/>
    <cellStyle name="Porcentual 217 10 2" xfId="7223"/>
    <cellStyle name="Porcentual 217 10 3" xfId="9203"/>
    <cellStyle name="Porcentual 217 11" xfId="3511"/>
    <cellStyle name="Porcentual 217 11 2" xfId="7224"/>
    <cellStyle name="Porcentual 217 11 3" xfId="9204"/>
    <cellStyle name="Porcentual 217 12" xfId="3512"/>
    <cellStyle name="Porcentual 217 12 2" xfId="7225"/>
    <cellStyle name="Porcentual 217 12 3" xfId="9205"/>
    <cellStyle name="Porcentual 217 13" xfId="3513"/>
    <cellStyle name="Porcentual 217 13 2" xfId="7226"/>
    <cellStyle name="Porcentual 217 13 3" xfId="9206"/>
    <cellStyle name="Porcentual 217 14" xfId="3514"/>
    <cellStyle name="Porcentual 217 14 2" xfId="7227"/>
    <cellStyle name="Porcentual 217 14 3" xfId="9207"/>
    <cellStyle name="Porcentual 217 15" xfId="3515"/>
    <cellStyle name="Porcentual 217 15 2" xfId="7228"/>
    <cellStyle name="Porcentual 217 15 3" xfId="9208"/>
    <cellStyle name="Porcentual 217 16" xfId="3516"/>
    <cellStyle name="Porcentual 217 16 2" xfId="7229"/>
    <cellStyle name="Porcentual 217 16 3" xfId="9209"/>
    <cellStyle name="Porcentual 217 17" xfId="3517"/>
    <cellStyle name="Porcentual 217 17 2" xfId="7230"/>
    <cellStyle name="Porcentual 217 17 3" xfId="9210"/>
    <cellStyle name="Porcentual 217 18" xfId="3518"/>
    <cellStyle name="Porcentual 217 18 2" xfId="7231"/>
    <cellStyle name="Porcentual 217 18 3" xfId="9211"/>
    <cellStyle name="Porcentual 217 19" xfId="3519"/>
    <cellStyle name="Porcentual 217 19 2" xfId="7232"/>
    <cellStyle name="Porcentual 217 19 3" xfId="9212"/>
    <cellStyle name="Porcentual 217 2" xfId="3520"/>
    <cellStyle name="Porcentual 217 2 2" xfId="7233"/>
    <cellStyle name="Porcentual 217 2 3" xfId="9213"/>
    <cellStyle name="Porcentual 217 20" xfId="3521"/>
    <cellStyle name="Porcentual 217 20 2" xfId="7234"/>
    <cellStyle name="Porcentual 217 20 3" xfId="9214"/>
    <cellStyle name="Porcentual 217 21" xfId="3522"/>
    <cellStyle name="Porcentual 217 21 2" xfId="7235"/>
    <cellStyle name="Porcentual 217 21 3" xfId="9215"/>
    <cellStyle name="Porcentual 217 22" xfId="3523"/>
    <cellStyle name="Porcentual 217 22 2" xfId="7236"/>
    <cellStyle name="Porcentual 217 22 3" xfId="9216"/>
    <cellStyle name="Porcentual 217 23" xfId="3524"/>
    <cellStyle name="Porcentual 217 23 2" xfId="7237"/>
    <cellStyle name="Porcentual 217 23 3" xfId="9217"/>
    <cellStyle name="Porcentual 217 24" xfId="3525"/>
    <cellStyle name="Porcentual 217 24 2" xfId="7238"/>
    <cellStyle name="Porcentual 217 24 3" xfId="9218"/>
    <cellStyle name="Porcentual 217 25" xfId="3526"/>
    <cellStyle name="Porcentual 217 25 2" xfId="7239"/>
    <cellStyle name="Porcentual 217 25 3" xfId="9219"/>
    <cellStyle name="Porcentual 217 26" xfId="3527"/>
    <cellStyle name="Porcentual 217 26 2" xfId="7240"/>
    <cellStyle name="Porcentual 217 26 3" xfId="9220"/>
    <cellStyle name="Porcentual 217 27" xfId="3528"/>
    <cellStyle name="Porcentual 217 27 2" xfId="7241"/>
    <cellStyle name="Porcentual 217 27 3" xfId="9221"/>
    <cellStyle name="Porcentual 217 28" xfId="3529"/>
    <cellStyle name="Porcentual 217 28 2" xfId="7242"/>
    <cellStyle name="Porcentual 217 28 3" xfId="9222"/>
    <cellStyle name="Porcentual 217 3" xfId="3530"/>
    <cellStyle name="Porcentual 217 3 2" xfId="7243"/>
    <cellStyle name="Porcentual 217 3 3" xfId="9223"/>
    <cellStyle name="Porcentual 217 4" xfId="3531"/>
    <cellStyle name="Porcentual 217 4 2" xfId="7244"/>
    <cellStyle name="Porcentual 217 4 3" xfId="9224"/>
    <cellStyle name="Porcentual 217 5" xfId="3532"/>
    <cellStyle name="Porcentual 217 5 2" xfId="7245"/>
    <cellStyle name="Porcentual 217 5 3" xfId="9225"/>
    <cellStyle name="Porcentual 217 6" xfId="3533"/>
    <cellStyle name="Porcentual 217 6 2" xfId="7246"/>
    <cellStyle name="Porcentual 217 6 3" xfId="9226"/>
    <cellStyle name="Porcentual 217 7" xfId="3534"/>
    <cellStyle name="Porcentual 217 7 2" xfId="7247"/>
    <cellStyle name="Porcentual 217 7 3" xfId="9227"/>
    <cellStyle name="Porcentual 217 8" xfId="3535"/>
    <cellStyle name="Porcentual 217 8 2" xfId="7248"/>
    <cellStyle name="Porcentual 217 8 3" xfId="9228"/>
    <cellStyle name="Porcentual 217 9" xfId="3536"/>
    <cellStyle name="Porcentual 217 9 2" xfId="7249"/>
    <cellStyle name="Porcentual 217 9 3" xfId="9229"/>
    <cellStyle name="Porcentual 219 10" xfId="3537"/>
    <cellStyle name="Porcentual 219 10 2" xfId="7250"/>
    <cellStyle name="Porcentual 219 10 3" xfId="9230"/>
    <cellStyle name="Porcentual 219 11" xfId="3538"/>
    <cellStyle name="Porcentual 219 11 2" xfId="7251"/>
    <cellStyle name="Porcentual 219 11 3" xfId="9231"/>
    <cellStyle name="Porcentual 219 12" xfId="3539"/>
    <cellStyle name="Porcentual 219 12 2" xfId="7252"/>
    <cellStyle name="Porcentual 219 12 3" xfId="9232"/>
    <cellStyle name="Porcentual 219 13" xfId="3540"/>
    <cellStyle name="Porcentual 219 13 2" xfId="7253"/>
    <cellStyle name="Porcentual 219 13 3" xfId="9233"/>
    <cellStyle name="Porcentual 219 14" xfId="3541"/>
    <cellStyle name="Porcentual 219 14 2" xfId="7254"/>
    <cellStyle name="Porcentual 219 14 3" xfId="9234"/>
    <cellStyle name="Porcentual 219 15" xfId="3542"/>
    <cellStyle name="Porcentual 219 15 2" xfId="7255"/>
    <cellStyle name="Porcentual 219 15 3" xfId="9235"/>
    <cellStyle name="Porcentual 219 16" xfId="3543"/>
    <cellStyle name="Porcentual 219 16 2" xfId="7256"/>
    <cellStyle name="Porcentual 219 16 3" xfId="9236"/>
    <cellStyle name="Porcentual 219 17" xfId="3544"/>
    <cellStyle name="Porcentual 219 17 2" xfId="7257"/>
    <cellStyle name="Porcentual 219 17 3" xfId="9237"/>
    <cellStyle name="Porcentual 219 18" xfId="3545"/>
    <cellStyle name="Porcentual 219 18 2" xfId="7258"/>
    <cellStyle name="Porcentual 219 18 3" xfId="9238"/>
    <cellStyle name="Porcentual 219 19" xfId="3546"/>
    <cellStyle name="Porcentual 219 19 2" xfId="7259"/>
    <cellStyle name="Porcentual 219 19 3" xfId="9239"/>
    <cellStyle name="Porcentual 219 2" xfId="3547"/>
    <cellStyle name="Porcentual 219 2 2" xfId="7260"/>
    <cellStyle name="Porcentual 219 2 3" xfId="9240"/>
    <cellStyle name="Porcentual 219 20" xfId="3548"/>
    <cellStyle name="Porcentual 219 20 2" xfId="7261"/>
    <cellStyle name="Porcentual 219 20 3" xfId="9241"/>
    <cellStyle name="Porcentual 219 21" xfId="3549"/>
    <cellStyle name="Porcentual 219 21 2" xfId="7262"/>
    <cellStyle name="Porcentual 219 21 3" xfId="9242"/>
    <cellStyle name="Porcentual 219 22" xfId="3550"/>
    <cellStyle name="Porcentual 219 22 2" xfId="7263"/>
    <cellStyle name="Porcentual 219 22 3" xfId="9243"/>
    <cellStyle name="Porcentual 219 23" xfId="3551"/>
    <cellStyle name="Porcentual 219 23 2" xfId="7264"/>
    <cellStyle name="Porcentual 219 23 3" xfId="9244"/>
    <cellStyle name="Porcentual 219 24" xfId="3552"/>
    <cellStyle name="Porcentual 219 24 2" xfId="7265"/>
    <cellStyle name="Porcentual 219 24 3" xfId="9245"/>
    <cellStyle name="Porcentual 219 25" xfId="3553"/>
    <cellStyle name="Porcentual 219 25 2" xfId="7266"/>
    <cellStyle name="Porcentual 219 25 3" xfId="9246"/>
    <cellStyle name="Porcentual 219 26" xfId="3554"/>
    <cellStyle name="Porcentual 219 26 2" xfId="7267"/>
    <cellStyle name="Porcentual 219 26 3" xfId="9247"/>
    <cellStyle name="Porcentual 219 27" xfId="3555"/>
    <cellStyle name="Porcentual 219 27 2" xfId="7268"/>
    <cellStyle name="Porcentual 219 27 3" xfId="9248"/>
    <cellStyle name="Porcentual 219 28" xfId="3556"/>
    <cellStyle name="Porcentual 219 28 2" xfId="7269"/>
    <cellStyle name="Porcentual 219 28 3" xfId="9249"/>
    <cellStyle name="Porcentual 219 3" xfId="3557"/>
    <cellStyle name="Porcentual 219 3 2" xfId="7270"/>
    <cellStyle name="Porcentual 219 3 3" xfId="9250"/>
    <cellStyle name="Porcentual 219 4" xfId="3558"/>
    <cellStyle name="Porcentual 219 4 2" xfId="7271"/>
    <cellStyle name="Porcentual 219 4 3" xfId="9251"/>
    <cellStyle name="Porcentual 219 5" xfId="3559"/>
    <cellStyle name="Porcentual 219 5 2" xfId="7272"/>
    <cellStyle name="Porcentual 219 5 3" xfId="9252"/>
    <cellStyle name="Porcentual 219 6" xfId="3560"/>
    <cellStyle name="Porcentual 219 6 2" xfId="7273"/>
    <cellStyle name="Porcentual 219 6 3" xfId="9253"/>
    <cellStyle name="Porcentual 219 7" xfId="3561"/>
    <cellStyle name="Porcentual 219 7 2" xfId="7274"/>
    <cellStyle name="Porcentual 219 7 3" xfId="9254"/>
    <cellStyle name="Porcentual 219 8" xfId="3562"/>
    <cellStyle name="Porcentual 219 8 2" xfId="7275"/>
    <cellStyle name="Porcentual 219 8 3" xfId="9255"/>
    <cellStyle name="Porcentual 219 9" xfId="3563"/>
    <cellStyle name="Porcentual 219 9 2" xfId="7276"/>
    <cellStyle name="Porcentual 219 9 3" xfId="9256"/>
    <cellStyle name="Porcentual 22" xfId="3564"/>
    <cellStyle name="Porcentual 22 10" xfId="3565"/>
    <cellStyle name="Porcentual 22 10 2" xfId="7277"/>
    <cellStyle name="Porcentual 22 10 3" xfId="9258"/>
    <cellStyle name="Porcentual 22 11" xfId="3566"/>
    <cellStyle name="Porcentual 22 11 2" xfId="7278"/>
    <cellStyle name="Porcentual 22 11 3" xfId="9259"/>
    <cellStyle name="Porcentual 22 12" xfId="3567"/>
    <cellStyle name="Porcentual 22 12 2" xfId="7279"/>
    <cellStyle name="Porcentual 22 12 3" xfId="9260"/>
    <cellStyle name="Porcentual 22 13" xfId="3568"/>
    <cellStyle name="Porcentual 22 13 2" xfId="7280"/>
    <cellStyle name="Porcentual 22 13 3" xfId="9261"/>
    <cellStyle name="Porcentual 22 14" xfId="3569"/>
    <cellStyle name="Porcentual 22 14 2" xfId="7281"/>
    <cellStyle name="Porcentual 22 14 3" xfId="9262"/>
    <cellStyle name="Porcentual 22 15" xfId="3570"/>
    <cellStyle name="Porcentual 22 15 2" xfId="7282"/>
    <cellStyle name="Porcentual 22 15 3" xfId="9263"/>
    <cellStyle name="Porcentual 22 16" xfId="3571"/>
    <cellStyle name="Porcentual 22 16 2" xfId="7283"/>
    <cellStyle name="Porcentual 22 16 3" xfId="9264"/>
    <cellStyle name="Porcentual 22 17" xfId="3572"/>
    <cellStyle name="Porcentual 22 17 2" xfId="7284"/>
    <cellStyle name="Porcentual 22 17 3" xfId="9265"/>
    <cellStyle name="Porcentual 22 18" xfId="3573"/>
    <cellStyle name="Porcentual 22 18 2" xfId="7285"/>
    <cellStyle name="Porcentual 22 18 3" xfId="9266"/>
    <cellStyle name="Porcentual 22 19" xfId="3574"/>
    <cellStyle name="Porcentual 22 19 2" xfId="7286"/>
    <cellStyle name="Porcentual 22 19 3" xfId="9267"/>
    <cellStyle name="Porcentual 22 2" xfId="3575"/>
    <cellStyle name="Porcentual 22 2 2" xfId="7287"/>
    <cellStyle name="Porcentual 22 2 3" xfId="9268"/>
    <cellStyle name="Porcentual 22 20" xfId="3576"/>
    <cellStyle name="Porcentual 22 20 2" xfId="7288"/>
    <cellStyle name="Porcentual 22 20 3" xfId="9269"/>
    <cellStyle name="Porcentual 22 21" xfId="3577"/>
    <cellStyle name="Porcentual 22 21 2" xfId="7289"/>
    <cellStyle name="Porcentual 22 21 3" xfId="9270"/>
    <cellStyle name="Porcentual 22 22" xfId="3578"/>
    <cellStyle name="Porcentual 22 22 2" xfId="7290"/>
    <cellStyle name="Porcentual 22 22 3" xfId="9271"/>
    <cellStyle name="Porcentual 22 23" xfId="3579"/>
    <cellStyle name="Porcentual 22 23 2" xfId="7291"/>
    <cellStyle name="Porcentual 22 23 3" xfId="9272"/>
    <cellStyle name="Porcentual 22 24" xfId="3580"/>
    <cellStyle name="Porcentual 22 24 2" xfId="7292"/>
    <cellStyle name="Porcentual 22 24 3" xfId="9273"/>
    <cellStyle name="Porcentual 22 25" xfId="3581"/>
    <cellStyle name="Porcentual 22 25 2" xfId="7293"/>
    <cellStyle name="Porcentual 22 25 3" xfId="9274"/>
    <cellStyle name="Porcentual 22 26" xfId="3582"/>
    <cellStyle name="Porcentual 22 26 2" xfId="7294"/>
    <cellStyle name="Porcentual 22 26 3" xfId="9275"/>
    <cellStyle name="Porcentual 22 27" xfId="3583"/>
    <cellStyle name="Porcentual 22 27 2" xfId="7295"/>
    <cellStyle name="Porcentual 22 27 3" xfId="9276"/>
    <cellStyle name="Porcentual 22 28" xfId="3584"/>
    <cellStyle name="Porcentual 22 28 2" xfId="7296"/>
    <cellStyle name="Porcentual 22 28 3" xfId="9277"/>
    <cellStyle name="Porcentual 22 29" xfId="7297"/>
    <cellStyle name="Porcentual 22 3" xfId="3585"/>
    <cellStyle name="Porcentual 22 3 2" xfId="7298"/>
    <cellStyle name="Porcentual 22 3 3" xfId="9278"/>
    <cellStyle name="Porcentual 22 30" xfId="9257"/>
    <cellStyle name="Porcentual 22 4" xfId="3586"/>
    <cellStyle name="Porcentual 22 4 2" xfId="7299"/>
    <cellStyle name="Porcentual 22 4 3" xfId="9279"/>
    <cellStyle name="Porcentual 22 5" xfId="3587"/>
    <cellStyle name="Porcentual 22 5 2" xfId="7300"/>
    <cellStyle name="Porcentual 22 5 3" xfId="9280"/>
    <cellStyle name="Porcentual 22 6" xfId="3588"/>
    <cellStyle name="Porcentual 22 6 2" xfId="7301"/>
    <cellStyle name="Porcentual 22 6 3" xfId="9281"/>
    <cellStyle name="Porcentual 22 7" xfId="3589"/>
    <cellStyle name="Porcentual 22 7 2" xfId="7302"/>
    <cellStyle name="Porcentual 22 7 3" xfId="9282"/>
    <cellStyle name="Porcentual 22 8" xfId="3590"/>
    <cellStyle name="Porcentual 22 8 2" xfId="7303"/>
    <cellStyle name="Porcentual 22 8 3" xfId="9283"/>
    <cellStyle name="Porcentual 22 9" xfId="3591"/>
    <cellStyle name="Porcentual 22 9 2" xfId="7304"/>
    <cellStyle name="Porcentual 22 9 3" xfId="9284"/>
    <cellStyle name="Porcentual 220 10" xfId="3592"/>
    <cellStyle name="Porcentual 220 10 2" xfId="7305"/>
    <cellStyle name="Porcentual 220 10 3" xfId="9285"/>
    <cellStyle name="Porcentual 220 11" xfId="3593"/>
    <cellStyle name="Porcentual 220 11 2" xfId="7306"/>
    <cellStyle name="Porcentual 220 11 3" xfId="9286"/>
    <cellStyle name="Porcentual 220 12" xfId="3594"/>
    <cellStyle name="Porcentual 220 12 2" xfId="7307"/>
    <cellStyle name="Porcentual 220 12 3" xfId="9287"/>
    <cellStyle name="Porcentual 220 13" xfId="3595"/>
    <cellStyle name="Porcentual 220 13 2" xfId="7308"/>
    <cellStyle name="Porcentual 220 13 3" xfId="9288"/>
    <cellStyle name="Porcentual 220 14" xfId="3596"/>
    <cellStyle name="Porcentual 220 14 2" xfId="7309"/>
    <cellStyle name="Porcentual 220 14 3" xfId="9289"/>
    <cellStyle name="Porcentual 220 15" xfId="3597"/>
    <cellStyle name="Porcentual 220 15 2" xfId="7310"/>
    <cellStyle name="Porcentual 220 15 3" xfId="9290"/>
    <cellStyle name="Porcentual 220 16" xfId="3598"/>
    <cellStyle name="Porcentual 220 16 2" xfId="7311"/>
    <cellStyle name="Porcentual 220 16 3" xfId="9291"/>
    <cellStyle name="Porcentual 220 17" xfId="3599"/>
    <cellStyle name="Porcentual 220 17 2" xfId="7312"/>
    <cellStyle name="Porcentual 220 17 3" xfId="9292"/>
    <cellStyle name="Porcentual 220 18" xfId="3600"/>
    <cellStyle name="Porcentual 220 18 2" xfId="7313"/>
    <cellStyle name="Porcentual 220 18 3" xfId="9293"/>
    <cellStyle name="Porcentual 220 19" xfId="3601"/>
    <cellStyle name="Porcentual 220 19 2" xfId="7314"/>
    <cellStyle name="Porcentual 220 19 3" xfId="9294"/>
    <cellStyle name="Porcentual 220 2" xfId="3602"/>
    <cellStyle name="Porcentual 220 2 2" xfId="7315"/>
    <cellStyle name="Porcentual 220 2 3" xfId="9295"/>
    <cellStyle name="Porcentual 220 20" xfId="3603"/>
    <cellStyle name="Porcentual 220 20 2" xfId="7316"/>
    <cellStyle name="Porcentual 220 20 3" xfId="9296"/>
    <cellStyle name="Porcentual 220 21" xfId="3604"/>
    <cellStyle name="Porcentual 220 21 2" xfId="7317"/>
    <cellStyle name="Porcentual 220 21 3" xfId="9297"/>
    <cellStyle name="Porcentual 220 22" xfId="3605"/>
    <cellStyle name="Porcentual 220 22 2" xfId="7318"/>
    <cellStyle name="Porcentual 220 22 3" xfId="9298"/>
    <cellStyle name="Porcentual 220 23" xfId="3606"/>
    <cellStyle name="Porcentual 220 23 2" xfId="7319"/>
    <cellStyle name="Porcentual 220 23 3" xfId="9299"/>
    <cellStyle name="Porcentual 220 24" xfId="3607"/>
    <cellStyle name="Porcentual 220 24 2" xfId="7320"/>
    <cellStyle name="Porcentual 220 24 3" xfId="9300"/>
    <cellStyle name="Porcentual 220 25" xfId="3608"/>
    <cellStyle name="Porcentual 220 25 2" xfId="7321"/>
    <cellStyle name="Porcentual 220 25 3" xfId="9301"/>
    <cellStyle name="Porcentual 220 26" xfId="3609"/>
    <cellStyle name="Porcentual 220 26 2" xfId="7322"/>
    <cellStyle name="Porcentual 220 26 3" xfId="9302"/>
    <cellStyle name="Porcentual 220 27" xfId="3610"/>
    <cellStyle name="Porcentual 220 27 2" xfId="7323"/>
    <cellStyle name="Porcentual 220 27 3" xfId="9303"/>
    <cellStyle name="Porcentual 220 28" xfId="3611"/>
    <cellStyle name="Porcentual 220 28 2" xfId="7324"/>
    <cellStyle name="Porcentual 220 28 3" xfId="9304"/>
    <cellStyle name="Porcentual 220 3" xfId="3612"/>
    <cellStyle name="Porcentual 220 3 2" xfId="7325"/>
    <cellStyle name="Porcentual 220 3 3" xfId="9305"/>
    <cellStyle name="Porcentual 220 4" xfId="3613"/>
    <cellStyle name="Porcentual 220 4 2" xfId="7326"/>
    <cellStyle name="Porcentual 220 4 3" xfId="9306"/>
    <cellStyle name="Porcentual 220 5" xfId="3614"/>
    <cellStyle name="Porcentual 220 5 2" xfId="7327"/>
    <cellStyle name="Porcentual 220 5 3" xfId="9307"/>
    <cellStyle name="Porcentual 220 6" xfId="3615"/>
    <cellStyle name="Porcentual 220 6 2" xfId="7328"/>
    <cellStyle name="Porcentual 220 6 3" xfId="9308"/>
    <cellStyle name="Porcentual 220 7" xfId="3616"/>
    <cellStyle name="Porcentual 220 7 2" xfId="7329"/>
    <cellStyle name="Porcentual 220 7 3" xfId="9309"/>
    <cellStyle name="Porcentual 220 8" xfId="3617"/>
    <cellStyle name="Porcentual 220 8 2" xfId="7330"/>
    <cellStyle name="Porcentual 220 8 3" xfId="9310"/>
    <cellStyle name="Porcentual 220 9" xfId="3618"/>
    <cellStyle name="Porcentual 220 9 2" xfId="7331"/>
    <cellStyle name="Porcentual 220 9 3" xfId="9311"/>
    <cellStyle name="Porcentual 221 10" xfId="3619"/>
    <cellStyle name="Porcentual 221 10 2" xfId="7332"/>
    <cellStyle name="Porcentual 221 10 3" xfId="9312"/>
    <cellStyle name="Porcentual 221 11" xfId="3620"/>
    <cellStyle name="Porcentual 221 11 2" xfId="7333"/>
    <cellStyle name="Porcentual 221 11 3" xfId="9313"/>
    <cellStyle name="Porcentual 221 12" xfId="3621"/>
    <cellStyle name="Porcentual 221 12 2" xfId="7334"/>
    <cellStyle name="Porcentual 221 12 3" xfId="9314"/>
    <cellStyle name="Porcentual 221 13" xfId="3622"/>
    <cellStyle name="Porcentual 221 13 2" xfId="7335"/>
    <cellStyle name="Porcentual 221 13 3" xfId="9315"/>
    <cellStyle name="Porcentual 221 14" xfId="3623"/>
    <cellStyle name="Porcentual 221 14 2" xfId="7336"/>
    <cellStyle name="Porcentual 221 14 3" xfId="9316"/>
    <cellStyle name="Porcentual 221 15" xfId="3624"/>
    <cellStyle name="Porcentual 221 15 2" xfId="7337"/>
    <cellStyle name="Porcentual 221 15 3" xfId="9317"/>
    <cellStyle name="Porcentual 221 16" xfId="3625"/>
    <cellStyle name="Porcentual 221 16 2" xfId="7338"/>
    <cellStyle name="Porcentual 221 16 3" xfId="9318"/>
    <cellStyle name="Porcentual 221 17" xfId="3626"/>
    <cellStyle name="Porcentual 221 17 2" xfId="7339"/>
    <cellStyle name="Porcentual 221 17 3" xfId="9319"/>
    <cellStyle name="Porcentual 221 18" xfId="3627"/>
    <cellStyle name="Porcentual 221 18 2" xfId="7340"/>
    <cellStyle name="Porcentual 221 18 3" xfId="9320"/>
    <cellStyle name="Porcentual 221 19" xfId="3628"/>
    <cellStyle name="Porcentual 221 19 2" xfId="7341"/>
    <cellStyle name="Porcentual 221 19 3" xfId="9321"/>
    <cellStyle name="Porcentual 221 2" xfId="3629"/>
    <cellStyle name="Porcentual 221 2 2" xfId="7342"/>
    <cellStyle name="Porcentual 221 2 3" xfId="9322"/>
    <cellStyle name="Porcentual 221 20" xfId="3630"/>
    <cellStyle name="Porcentual 221 20 2" xfId="7343"/>
    <cellStyle name="Porcentual 221 20 3" xfId="9323"/>
    <cellStyle name="Porcentual 221 21" xfId="3631"/>
    <cellStyle name="Porcentual 221 21 2" xfId="7344"/>
    <cellStyle name="Porcentual 221 21 3" xfId="9324"/>
    <cellStyle name="Porcentual 221 22" xfId="3632"/>
    <cellStyle name="Porcentual 221 22 2" xfId="7345"/>
    <cellStyle name="Porcentual 221 22 3" xfId="9325"/>
    <cellStyle name="Porcentual 221 23" xfId="3633"/>
    <cellStyle name="Porcentual 221 23 2" xfId="7346"/>
    <cellStyle name="Porcentual 221 23 3" xfId="9326"/>
    <cellStyle name="Porcentual 221 24" xfId="3634"/>
    <cellStyle name="Porcentual 221 24 2" xfId="7347"/>
    <cellStyle name="Porcentual 221 24 3" xfId="9327"/>
    <cellStyle name="Porcentual 221 25" xfId="3635"/>
    <cellStyle name="Porcentual 221 25 2" xfId="7348"/>
    <cellStyle name="Porcentual 221 25 3" xfId="9328"/>
    <cellStyle name="Porcentual 221 26" xfId="3636"/>
    <cellStyle name="Porcentual 221 26 2" xfId="7349"/>
    <cellStyle name="Porcentual 221 26 3" xfId="9329"/>
    <cellStyle name="Porcentual 221 27" xfId="3637"/>
    <cellStyle name="Porcentual 221 27 2" xfId="7350"/>
    <cellStyle name="Porcentual 221 27 3" xfId="9330"/>
    <cellStyle name="Porcentual 221 28" xfId="3638"/>
    <cellStyle name="Porcentual 221 28 2" xfId="7351"/>
    <cellStyle name="Porcentual 221 28 3" xfId="9331"/>
    <cellStyle name="Porcentual 221 3" xfId="3639"/>
    <cellStyle name="Porcentual 221 3 2" xfId="7352"/>
    <cellStyle name="Porcentual 221 3 3" xfId="9332"/>
    <cellStyle name="Porcentual 221 4" xfId="3640"/>
    <cellStyle name="Porcentual 221 4 2" xfId="7353"/>
    <cellStyle name="Porcentual 221 4 3" xfId="9333"/>
    <cellStyle name="Porcentual 221 5" xfId="3641"/>
    <cellStyle name="Porcentual 221 5 2" xfId="7354"/>
    <cellStyle name="Porcentual 221 5 3" xfId="9334"/>
    <cellStyle name="Porcentual 221 6" xfId="3642"/>
    <cellStyle name="Porcentual 221 6 2" xfId="7355"/>
    <cellStyle name="Porcentual 221 6 3" xfId="9335"/>
    <cellStyle name="Porcentual 221 7" xfId="3643"/>
    <cellStyle name="Porcentual 221 7 2" xfId="7356"/>
    <cellStyle name="Porcentual 221 7 3" xfId="9336"/>
    <cellStyle name="Porcentual 221 8" xfId="3644"/>
    <cellStyle name="Porcentual 221 8 2" xfId="7357"/>
    <cellStyle name="Porcentual 221 8 3" xfId="9337"/>
    <cellStyle name="Porcentual 221 9" xfId="3645"/>
    <cellStyle name="Porcentual 221 9 2" xfId="7358"/>
    <cellStyle name="Porcentual 221 9 3" xfId="9338"/>
    <cellStyle name="Porcentual 222 10" xfId="3646"/>
    <cellStyle name="Porcentual 222 10 2" xfId="7359"/>
    <cellStyle name="Porcentual 222 10 3" xfId="9339"/>
    <cellStyle name="Porcentual 222 11" xfId="3647"/>
    <cellStyle name="Porcentual 222 11 2" xfId="7360"/>
    <cellStyle name="Porcentual 222 11 3" xfId="9340"/>
    <cellStyle name="Porcentual 222 12" xfId="3648"/>
    <cellStyle name="Porcentual 222 12 2" xfId="7361"/>
    <cellStyle name="Porcentual 222 12 3" xfId="9341"/>
    <cellStyle name="Porcentual 222 13" xfId="3649"/>
    <cellStyle name="Porcentual 222 13 2" xfId="7362"/>
    <cellStyle name="Porcentual 222 13 3" xfId="9342"/>
    <cellStyle name="Porcentual 222 14" xfId="3650"/>
    <cellStyle name="Porcentual 222 14 2" xfId="7363"/>
    <cellStyle name="Porcentual 222 14 3" xfId="9343"/>
    <cellStyle name="Porcentual 222 15" xfId="3651"/>
    <cellStyle name="Porcentual 222 15 2" xfId="7364"/>
    <cellStyle name="Porcentual 222 15 3" xfId="9344"/>
    <cellStyle name="Porcentual 222 16" xfId="3652"/>
    <cellStyle name="Porcentual 222 16 2" xfId="7365"/>
    <cellStyle name="Porcentual 222 16 3" xfId="9345"/>
    <cellStyle name="Porcentual 222 17" xfId="3653"/>
    <cellStyle name="Porcentual 222 17 2" xfId="7366"/>
    <cellStyle name="Porcentual 222 17 3" xfId="9346"/>
    <cellStyle name="Porcentual 222 18" xfId="3654"/>
    <cellStyle name="Porcentual 222 18 2" xfId="7367"/>
    <cellStyle name="Porcentual 222 18 3" xfId="9347"/>
    <cellStyle name="Porcentual 222 19" xfId="3655"/>
    <cellStyle name="Porcentual 222 19 2" xfId="7368"/>
    <cellStyle name="Porcentual 222 19 3" xfId="9348"/>
    <cellStyle name="Porcentual 222 2" xfId="3656"/>
    <cellStyle name="Porcentual 222 2 2" xfId="7369"/>
    <cellStyle name="Porcentual 222 2 3" xfId="9349"/>
    <cellStyle name="Porcentual 222 20" xfId="3657"/>
    <cellStyle name="Porcentual 222 20 2" xfId="7370"/>
    <cellStyle name="Porcentual 222 20 3" xfId="9350"/>
    <cellStyle name="Porcentual 222 21" xfId="3658"/>
    <cellStyle name="Porcentual 222 21 2" xfId="7371"/>
    <cellStyle name="Porcentual 222 21 3" xfId="9351"/>
    <cellStyle name="Porcentual 222 22" xfId="3659"/>
    <cellStyle name="Porcentual 222 22 2" xfId="7372"/>
    <cellStyle name="Porcentual 222 22 3" xfId="9352"/>
    <cellStyle name="Porcentual 222 23" xfId="3660"/>
    <cellStyle name="Porcentual 222 23 2" xfId="7373"/>
    <cellStyle name="Porcentual 222 23 3" xfId="9353"/>
    <cellStyle name="Porcentual 222 24" xfId="3661"/>
    <cellStyle name="Porcentual 222 24 2" xfId="7374"/>
    <cellStyle name="Porcentual 222 24 3" xfId="9354"/>
    <cellStyle name="Porcentual 222 25" xfId="3662"/>
    <cellStyle name="Porcentual 222 25 2" xfId="7375"/>
    <cellStyle name="Porcentual 222 25 3" xfId="9355"/>
    <cellStyle name="Porcentual 222 26" xfId="3663"/>
    <cellStyle name="Porcentual 222 26 2" xfId="7376"/>
    <cellStyle name="Porcentual 222 26 3" xfId="9356"/>
    <cellStyle name="Porcentual 222 27" xfId="3664"/>
    <cellStyle name="Porcentual 222 27 2" xfId="7377"/>
    <cellStyle name="Porcentual 222 27 3" xfId="9357"/>
    <cellStyle name="Porcentual 222 28" xfId="3665"/>
    <cellStyle name="Porcentual 222 28 2" xfId="7378"/>
    <cellStyle name="Porcentual 222 28 3" xfId="9358"/>
    <cellStyle name="Porcentual 222 3" xfId="3666"/>
    <cellStyle name="Porcentual 222 3 2" xfId="7379"/>
    <cellStyle name="Porcentual 222 3 3" xfId="9359"/>
    <cellStyle name="Porcentual 222 4" xfId="3667"/>
    <cellStyle name="Porcentual 222 4 2" xfId="7380"/>
    <cellStyle name="Porcentual 222 4 3" xfId="9360"/>
    <cellStyle name="Porcentual 222 5" xfId="3668"/>
    <cellStyle name="Porcentual 222 5 2" xfId="7381"/>
    <cellStyle name="Porcentual 222 5 3" xfId="9361"/>
    <cellStyle name="Porcentual 222 6" xfId="3669"/>
    <cellStyle name="Porcentual 222 6 2" xfId="7382"/>
    <cellStyle name="Porcentual 222 6 3" xfId="9362"/>
    <cellStyle name="Porcentual 222 7" xfId="3670"/>
    <cellStyle name="Porcentual 222 7 2" xfId="7383"/>
    <cellStyle name="Porcentual 222 7 3" xfId="9363"/>
    <cellStyle name="Porcentual 222 8" xfId="3671"/>
    <cellStyle name="Porcentual 222 8 2" xfId="7384"/>
    <cellStyle name="Porcentual 222 8 3" xfId="9364"/>
    <cellStyle name="Porcentual 222 9" xfId="3672"/>
    <cellStyle name="Porcentual 222 9 2" xfId="7385"/>
    <cellStyle name="Porcentual 222 9 3" xfId="9365"/>
    <cellStyle name="Porcentual 23" xfId="3673"/>
    <cellStyle name="Porcentual 23 10" xfId="3674"/>
    <cellStyle name="Porcentual 23 10 2" xfId="7386"/>
    <cellStyle name="Porcentual 23 10 3" xfId="9367"/>
    <cellStyle name="Porcentual 23 11" xfId="3675"/>
    <cellStyle name="Porcentual 23 11 2" xfId="7387"/>
    <cellStyle name="Porcentual 23 11 3" xfId="9368"/>
    <cellStyle name="Porcentual 23 12" xfId="3676"/>
    <cellStyle name="Porcentual 23 12 2" xfId="7388"/>
    <cellStyle name="Porcentual 23 12 3" xfId="9369"/>
    <cellStyle name="Porcentual 23 13" xfId="3677"/>
    <cellStyle name="Porcentual 23 13 2" xfId="7389"/>
    <cellStyle name="Porcentual 23 13 3" xfId="9370"/>
    <cellStyle name="Porcentual 23 14" xfId="3678"/>
    <cellStyle name="Porcentual 23 14 2" xfId="7390"/>
    <cellStyle name="Porcentual 23 14 3" xfId="9371"/>
    <cellStyle name="Porcentual 23 15" xfId="3679"/>
    <cellStyle name="Porcentual 23 15 2" xfId="7391"/>
    <cellStyle name="Porcentual 23 15 3" xfId="9372"/>
    <cellStyle name="Porcentual 23 16" xfId="3680"/>
    <cellStyle name="Porcentual 23 16 2" xfId="7392"/>
    <cellStyle name="Porcentual 23 16 3" xfId="9373"/>
    <cellStyle name="Porcentual 23 17" xfId="3681"/>
    <cellStyle name="Porcentual 23 17 2" xfId="7393"/>
    <cellStyle name="Porcentual 23 17 3" xfId="9374"/>
    <cellStyle name="Porcentual 23 18" xfId="3682"/>
    <cellStyle name="Porcentual 23 18 2" xfId="7394"/>
    <cellStyle name="Porcentual 23 18 3" xfId="9375"/>
    <cellStyle name="Porcentual 23 19" xfId="3683"/>
    <cellStyle name="Porcentual 23 19 2" xfId="7395"/>
    <cellStyle name="Porcentual 23 19 3" xfId="9376"/>
    <cellStyle name="Porcentual 23 2" xfId="3684"/>
    <cellStyle name="Porcentual 23 2 2" xfId="7396"/>
    <cellStyle name="Porcentual 23 2 3" xfId="9377"/>
    <cellStyle name="Porcentual 23 20" xfId="3685"/>
    <cellStyle name="Porcentual 23 20 2" xfId="7397"/>
    <cellStyle name="Porcentual 23 20 3" xfId="9378"/>
    <cellStyle name="Porcentual 23 21" xfId="3686"/>
    <cellStyle name="Porcentual 23 21 2" xfId="7398"/>
    <cellStyle name="Porcentual 23 21 3" xfId="9379"/>
    <cellStyle name="Porcentual 23 22" xfId="3687"/>
    <cellStyle name="Porcentual 23 22 2" xfId="7399"/>
    <cellStyle name="Porcentual 23 22 3" xfId="9380"/>
    <cellStyle name="Porcentual 23 23" xfId="3688"/>
    <cellStyle name="Porcentual 23 23 2" xfId="7400"/>
    <cellStyle name="Porcentual 23 23 3" xfId="9381"/>
    <cellStyle name="Porcentual 23 24" xfId="3689"/>
    <cellStyle name="Porcentual 23 24 2" xfId="7401"/>
    <cellStyle name="Porcentual 23 24 3" xfId="9382"/>
    <cellStyle name="Porcentual 23 25" xfId="3690"/>
    <cellStyle name="Porcentual 23 25 2" xfId="7402"/>
    <cellStyle name="Porcentual 23 25 3" xfId="9383"/>
    <cellStyle name="Porcentual 23 26" xfId="3691"/>
    <cellStyle name="Porcentual 23 26 2" xfId="7403"/>
    <cellStyle name="Porcentual 23 26 3" xfId="9384"/>
    <cellStyle name="Porcentual 23 27" xfId="3692"/>
    <cellStyle name="Porcentual 23 27 2" xfId="7404"/>
    <cellStyle name="Porcentual 23 27 3" xfId="9385"/>
    <cellStyle name="Porcentual 23 28" xfId="3693"/>
    <cellStyle name="Porcentual 23 28 2" xfId="7405"/>
    <cellStyle name="Porcentual 23 28 3" xfId="9386"/>
    <cellStyle name="Porcentual 23 29" xfId="7406"/>
    <cellStyle name="Porcentual 23 3" xfId="3694"/>
    <cellStyle name="Porcentual 23 3 2" xfId="7407"/>
    <cellStyle name="Porcentual 23 3 3" xfId="9387"/>
    <cellStyle name="Porcentual 23 30" xfId="9366"/>
    <cellStyle name="Porcentual 23 4" xfId="3695"/>
    <cellStyle name="Porcentual 23 4 2" xfId="7408"/>
    <cellStyle name="Porcentual 23 4 3" xfId="9388"/>
    <cellStyle name="Porcentual 23 5" xfId="3696"/>
    <cellStyle name="Porcentual 23 5 2" xfId="7409"/>
    <cellStyle name="Porcentual 23 5 3" xfId="9389"/>
    <cellStyle name="Porcentual 23 6" xfId="3697"/>
    <cellStyle name="Porcentual 23 6 2" xfId="7410"/>
    <cellStyle name="Porcentual 23 6 3" xfId="9390"/>
    <cellStyle name="Porcentual 23 7" xfId="3698"/>
    <cellStyle name="Porcentual 23 7 2" xfId="7411"/>
    <cellStyle name="Porcentual 23 7 3" xfId="9391"/>
    <cellStyle name="Porcentual 23 8" xfId="3699"/>
    <cellStyle name="Porcentual 23 8 2" xfId="7412"/>
    <cellStyle name="Porcentual 23 8 3" xfId="9392"/>
    <cellStyle name="Porcentual 23 9" xfId="3700"/>
    <cellStyle name="Porcentual 23 9 2" xfId="7413"/>
    <cellStyle name="Porcentual 23 9 3" xfId="9393"/>
    <cellStyle name="Porcentual 24" xfId="3701"/>
    <cellStyle name="Porcentual 24 10" xfId="3702"/>
    <cellStyle name="Porcentual 24 10 2" xfId="7414"/>
    <cellStyle name="Porcentual 24 10 3" xfId="9395"/>
    <cellStyle name="Porcentual 24 11" xfId="3703"/>
    <cellStyle name="Porcentual 24 11 2" xfId="7415"/>
    <cellStyle name="Porcentual 24 11 3" xfId="9396"/>
    <cellStyle name="Porcentual 24 12" xfId="3704"/>
    <cellStyle name="Porcentual 24 12 2" xfId="7416"/>
    <cellStyle name="Porcentual 24 12 3" xfId="9397"/>
    <cellStyle name="Porcentual 24 13" xfId="3705"/>
    <cellStyle name="Porcentual 24 13 2" xfId="7417"/>
    <cellStyle name="Porcentual 24 13 3" xfId="9398"/>
    <cellStyle name="Porcentual 24 14" xfId="3706"/>
    <cellStyle name="Porcentual 24 14 2" xfId="7418"/>
    <cellStyle name="Porcentual 24 14 3" xfId="9399"/>
    <cellStyle name="Porcentual 24 15" xfId="3707"/>
    <cellStyle name="Porcentual 24 15 2" xfId="7419"/>
    <cellStyle name="Porcentual 24 15 3" xfId="9400"/>
    <cellStyle name="Porcentual 24 16" xfId="3708"/>
    <cellStyle name="Porcentual 24 16 2" xfId="7420"/>
    <cellStyle name="Porcentual 24 16 3" xfId="9401"/>
    <cellStyle name="Porcentual 24 17" xfId="3709"/>
    <cellStyle name="Porcentual 24 17 2" xfId="7421"/>
    <cellStyle name="Porcentual 24 17 3" xfId="9402"/>
    <cellStyle name="Porcentual 24 18" xfId="3710"/>
    <cellStyle name="Porcentual 24 18 2" xfId="7422"/>
    <cellStyle name="Porcentual 24 18 3" xfId="9403"/>
    <cellStyle name="Porcentual 24 19" xfId="3711"/>
    <cellStyle name="Porcentual 24 19 2" xfId="7423"/>
    <cellStyle name="Porcentual 24 19 3" xfId="9404"/>
    <cellStyle name="Porcentual 24 2" xfId="3712"/>
    <cellStyle name="Porcentual 24 2 2" xfId="7424"/>
    <cellStyle name="Porcentual 24 2 3" xfId="9405"/>
    <cellStyle name="Porcentual 24 20" xfId="3713"/>
    <cellStyle name="Porcentual 24 20 2" xfId="7425"/>
    <cellStyle name="Porcentual 24 20 3" xfId="9406"/>
    <cellStyle name="Porcentual 24 21" xfId="3714"/>
    <cellStyle name="Porcentual 24 21 2" xfId="7426"/>
    <cellStyle name="Porcentual 24 21 3" xfId="9407"/>
    <cellStyle name="Porcentual 24 22" xfId="3715"/>
    <cellStyle name="Porcentual 24 22 2" xfId="7427"/>
    <cellStyle name="Porcentual 24 22 3" xfId="9408"/>
    <cellStyle name="Porcentual 24 23" xfId="3716"/>
    <cellStyle name="Porcentual 24 23 2" xfId="7428"/>
    <cellStyle name="Porcentual 24 23 3" xfId="9409"/>
    <cellStyle name="Porcentual 24 24" xfId="3717"/>
    <cellStyle name="Porcentual 24 24 2" xfId="7429"/>
    <cellStyle name="Porcentual 24 24 3" xfId="9410"/>
    <cellStyle name="Porcentual 24 25" xfId="3718"/>
    <cellStyle name="Porcentual 24 25 2" xfId="7430"/>
    <cellStyle name="Porcentual 24 25 3" xfId="9411"/>
    <cellStyle name="Porcentual 24 26" xfId="3719"/>
    <cellStyle name="Porcentual 24 26 2" xfId="7431"/>
    <cellStyle name="Porcentual 24 26 3" xfId="9412"/>
    <cellStyle name="Porcentual 24 27" xfId="3720"/>
    <cellStyle name="Porcentual 24 27 2" xfId="7432"/>
    <cellStyle name="Porcentual 24 27 3" xfId="9413"/>
    <cellStyle name="Porcentual 24 28" xfId="3721"/>
    <cellStyle name="Porcentual 24 28 2" xfId="7433"/>
    <cellStyle name="Porcentual 24 28 3" xfId="9414"/>
    <cellStyle name="Porcentual 24 29" xfId="7434"/>
    <cellStyle name="Porcentual 24 3" xfId="3722"/>
    <cellStyle name="Porcentual 24 3 2" xfId="7435"/>
    <cellStyle name="Porcentual 24 3 3" xfId="9415"/>
    <cellStyle name="Porcentual 24 30" xfId="9394"/>
    <cellStyle name="Porcentual 24 4" xfId="3723"/>
    <cellStyle name="Porcentual 24 4 2" xfId="7436"/>
    <cellStyle name="Porcentual 24 4 3" xfId="9416"/>
    <cellStyle name="Porcentual 24 5" xfId="3724"/>
    <cellStyle name="Porcentual 24 5 2" xfId="7437"/>
    <cellStyle name="Porcentual 24 5 3" xfId="9417"/>
    <cellStyle name="Porcentual 24 6" xfId="3725"/>
    <cellStyle name="Porcentual 24 6 2" xfId="7438"/>
    <cellStyle name="Porcentual 24 6 3" xfId="9418"/>
    <cellStyle name="Porcentual 24 7" xfId="3726"/>
    <cellStyle name="Porcentual 24 7 2" xfId="7439"/>
    <cellStyle name="Porcentual 24 7 3" xfId="9419"/>
    <cellStyle name="Porcentual 24 8" xfId="3727"/>
    <cellStyle name="Porcentual 24 8 2" xfId="7440"/>
    <cellStyle name="Porcentual 24 8 3" xfId="9420"/>
    <cellStyle name="Porcentual 24 9" xfId="3728"/>
    <cellStyle name="Porcentual 24 9 2" xfId="7441"/>
    <cellStyle name="Porcentual 24 9 3" xfId="9421"/>
    <cellStyle name="Porcentual 25" xfId="3729"/>
    <cellStyle name="Porcentual 25 10" xfId="3730"/>
    <cellStyle name="Porcentual 25 10 2" xfId="7442"/>
    <cellStyle name="Porcentual 25 10 3" xfId="9423"/>
    <cellStyle name="Porcentual 25 11" xfId="3731"/>
    <cellStyle name="Porcentual 25 11 2" xfId="7443"/>
    <cellStyle name="Porcentual 25 11 3" xfId="9424"/>
    <cellStyle name="Porcentual 25 12" xfId="3732"/>
    <cellStyle name="Porcentual 25 12 2" xfId="7444"/>
    <cellStyle name="Porcentual 25 12 3" xfId="9425"/>
    <cellStyle name="Porcentual 25 13" xfId="3733"/>
    <cellStyle name="Porcentual 25 13 2" xfId="7445"/>
    <cellStyle name="Porcentual 25 13 3" xfId="9426"/>
    <cellStyle name="Porcentual 25 14" xfId="3734"/>
    <cellStyle name="Porcentual 25 14 2" xfId="7446"/>
    <cellStyle name="Porcentual 25 14 3" xfId="9427"/>
    <cellStyle name="Porcentual 25 15" xfId="3735"/>
    <cellStyle name="Porcentual 25 15 2" xfId="7447"/>
    <cellStyle name="Porcentual 25 15 3" xfId="9428"/>
    <cellStyle name="Porcentual 25 16" xfId="3736"/>
    <cellStyle name="Porcentual 25 16 2" xfId="7448"/>
    <cellStyle name="Porcentual 25 16 3" xfId="9429"/>
    <cellStyle name="Porcentual 25 17" xfId="3737"/>
    <cellStyle name="Porcentual 25 17 2" xfId="7449"/>
    <cellStyle name="Porcentual 25 17 3" xfId="9430"/>
    <cellStyle name="Porcentual 25 18" xfId="3738"/>
    <cellStyle name="Porcentual 25 18 2" xfId="7450"/>
    <cellStyle name="Porcentual 25 18 3" xfId="9431"/>
    <cellStyle name="Porcentual 25 19" xfId="3739"/>
    <cellStyle name="Porcentual 25 19 2" xfId="7451"/>
    <cellStyle name="Porcentual 25 19 3" xfId="9432"/>
    <cellStyle name="Porcentual 25 2" xfId="3740"/>
    <cellStyle name="Porcentual 25 2 2" xfId="7452"/>
    <cellStyle name="Porcentual 25 2 3" xfId="9433"/>
    <cellStyle name="Porcentual 25 20" xfId="3741"/>
    <cellStyle name="Porcentual 25 20 2" xfId="7453"/>
    <cellStyle name="Porcentual 25 20 3" xfId="9434"/>
    <cellStyle name="Porcentual 25 21" xfId="3742"/>
    <cellStyle name="Porcentual 25 21 2" xfId="7454"/>
    <cellStyle name="Porcentual 25 21 3" xfId="9435"/>
    <cellStyle name="Porcentual 25 22" xfId="3743"/>
    <cellStyle name="Porcentual 25 22 2" xfId="7455"/>
    <cellStyle name="Porcentual 25 22 3" xfId="9436"/>
    <cellStyle name="Porcentual 25 23" xfId="3744"/>
    <cellStyle name="Porcentual 25 23 2" xfId="7456"/>
    <cellStyle name="Porcentual 25 23 3" xfId="9437"/>
    <cellStyle name="Porcentual 25 24" xfId="3745"/>
    <cellStyle name="Porcentual 25 24 2" xfId="7457"/>
    <cellStyle name="Porcentual 25 24 3" xfId="9438"/>
    <cellStyle name="Porcentual 25 25" xfId="3746"/>
    <cellStyle name="Porcentual 25 25 2" xfId="7458"/>
    <cellStyle name="Porcentual 25 25 3" xfId="9439"/>
    <cellStyle name="Porcentual 25 26" xfId="3747"/>
    <cellStyle name="Porcentual 25 26 2" xfId="7459"/>
    <cellStyle name="Porcentual 25 26 3" xfId="9440"/>
    <cellStyle name="Porcentual 25 27" xfId="3748"/>
    <cellStyle name="Porcentual 25 27 2" xfId="7460"/>
    <cellStyle name="Porcentual 25 27 3" xfId="9441"/>
    <cellStyle name="Porcentual 25 28" xfId="3749"/>
    <cellStyle name="Porcentual 25 28 2" xfId="7461"/>
    <cellStyle name="Porcentual 25 28 3" xfId="9442"/>
    <cellStyle name="Porcentual 25 29" xfId="7462"/>
    <cellStyle name="Porcentual 25 3" xfId="3750"/>
    <cellStyle name="Porcentual 25 3 2" xfId="7463"/>
    <cellStyle name="Porcentual 25 3 3" xfId="9443"/>
    <cellStyle name="Porcentual 25 30" xfId="9422"/>
    <cellStyle name="Porcentual 25 4" xfId="3751"/>
    <cellStyle name="Porcentual 25 4 2" xfId="7464"/>
    <cellStyle name="Porcentual 25 4 3" xfId="9444"/>
    <cellStyle name="Porcentual 25 5" xfId="3752"/>
    <cellStyle name="Porcentual 25 5 2" xfId="7465"/>
    <cellStyle name="Porcentual 25 5 3" xfId="9445"/>
    <cellStyle name="Porcentual 25 6" xfId="3753"/>
    <cellStyle name="Porcentual 25 6 2" xfId="7466"/>
    <cellStyle name="Porcentual 25 6 3" xfId="9446"/>
    <cellStyle name="Porcentual 25 7" xfId="3754"/>
    <cellStyle name="Porcentual 25 7 2" xfId="7467"/>
    <cellStyle name="Porcentual 25 7 3" xfId="9447"/>
    <cellStyle name="Porcentual 25 8" xfId="3755"/>
    <cellStyle name="Porcentual 25 8 2" xfId="7468"/>
    <cellStyle name="Porcentual 25 8 3" xfId="9448"/>
    <cellStyle name="Porcentual 25 9" xfId="3756"/>
    <cellStyle name="Porcentual 25 9 2" xfId="7469"/>
    <cellStyle name="Porcentual 25 9 3" xfId="9449"/>
    <cellStyle name="Porcentual 250" xfId="4"/>
    <cellStyle name="Porcentual 250 2" xfId="7470"/>
    <cellStyle name="Porcentual 26" xfId="3757"/>
    <cellStyle name="Porcentual 26 10" xfId="3758"/>
    <cellStyle name="Porcentual 26 10 2" xfId="7471"/>
    <cellStyle name="Porcentual 26 10 3" xfId="9451"/>
    <cellStyle name="Porcentual 26 11" xfId="3759"/>
    <cellStyle name="Porcentual 26 11 2" xfId="7472"/>
    <cellStyle name="Porcentual 26 11 3" xfId="9452"/>
    <cellStyle name="Porcentual 26 12" xfId="3760"/>
    <cellStyle name="Porcentual 26 12 2" xfId="7473"/>
    <cellStyle name="Porcentual 26 12 3" xfId="9453"/>
    <cellStyle name="Porcentual 26 13" xfId="3761"/>
    <cellStyle name="Porcentual 26 13 2" xfId="7474"/>
    <cellStyle name="Porcentual 26 13 3" xfId="9454"/>
    <cellStyle name="Porcentual 26 14" xfId="3762"/>
    <cellStyle name="Porcentual 26 14 2" xfId="7475"/>
    <cellStyle name="Porcentual 26 14 3" xfId="9455"/>
    <cellStyle name="Porcentual 26 15" xfId="3763"/>
    <cellStyle name="Porcentual 26 15 2" xfId="7476"/>
    <cellStyle name="Porcentual 26 15 3" xfId="9456"/>
    <cellStyle name="Porcentual 26 16" xfId="3764"/>
    <cellStyle name="Porcentual 26 16 2" xfId="7477"/>
    <cellStyle name="Porcentual 26 16 3" xfId="9457"/>
    <cellStyle name="Porcentual 26 17" xfId="3765"/>
    <cellStyle name="Porcentual 26 17 2" xfId="7478"/>
    <cellStyle name="Porcentual 26 17 3" xfId="9458"/>
    <cellStyle name="Porcentual 26 18" xfId="3766"/>
    <cellStyle name="Porcentual 26 18 2" xfId="7479"/>
    <cellStyle name="Porcentual 26 18 3" xfId="9459"/>
    <cellStyle name="Porcentual 26 19" xfId="3767"/>
    <cellStyle name="Porcentual 26 19 2" xfId="7480"/>
    <cellStyle name="Porcentual 26 19 3" xfId="9460"/>
    <cellStyle name="Porcentual 26 2" xfId="3768"/>
    <cellStyle name="Porcentual 26 2 2" xfId="7481"/>
    <cellStyle name="Porcentual 26 2 3" xfId="9461"/>
    <cellStyle name="Porcentual 26 20" xfId="3769"/>
    <cellStyle name="Porcentual 26 20 2" xfId="7482"/>
    <cellStyle name="Porcentual 26 20 3" xfId="9462"/>
    <cellStyle name="Porcentual 26 21" xfId="3770"/>
    <cellStyle name="Porcentual 26 21 2" xfId="7483"/>
    <cellStyle name="Porcentual 26 21 3" xfId="9463"/>
    <cellStyle name="Porcentual 26 22" xfId="3771"/>
    <cellStyle name="Porcentual 26 22 2" xfId="7484"/>
    <cellStyle name="Porcentual 26 22 3" xfId="9464"/>
    <cellStyle name="Porcentual 26 23" xfId="3772"/>
    <cellStyle name="Porcentual 26 23 2" xfId="7485"/>
    <cellStyle name="Porcentual 26 23 3" xfId="9465"/>
    <cellStyle name="Porcentual 26 24" xfId="3773"/>
    <cellStyle name="Porcentual 26 24 2" xfId="7486"/>
    <cellStyle name="Porcentual 26 24 3" xfId="9466"/>
    <cellStyle name="Porcentual 26 25" xfId="3774"/>
    <cellStyle name="Porcentual 26 25 2" xfId="7487"/>
    <cellStyle name="Porcentual 26 25 3" xfId="9467"/>
    <cellStyle name="Porcentual 26 26" xfId="3775"/>
    <cellStyle name="Porcentual 26 26 2" xfId="7488"/>
    <cellStyle name="Porcentual 26 26 3" xfId="9468"/>
    <cellStyle name="Porcentual 26 27" xfId="3776"/>
    <cellStyle name="Porcentual 26 27 2" xfId="7489"/>
    <cellStyle name="Porcentual 26 27 3" xfId="9469"/>
    <cellStyle name="Porcentual 26 28" xfId="3777"/>
    <cellStyle name="Porcentual 26 28 2" xfId="7490"/>
    <cellStyle name="Porcentual 26 28 3" xfId="9470"/>
    <cellStyle name="Porcentual 26 29" xfId="7491"/>
    <cellStyle name="Porcentual 26 3" xfId="3778"/>
    <cellStyle name="Porcentual 26 3 2" xfId="7492"/>
    <cellStyle name="Porcentual 26 3 3" xfId="9471"/>
    <cellStyle name="Porcentual 26 30" xfId="9450"/>
    <cellStyle name="Porcentual 26 4" xfId="3779"/>
    <cellStyle name="Porcentual 26 4 2" xfId="7493"/>
    <cellStyle name="Porcentual 26 4 3" xfId="9472"/>
    <cellStyle name="Porcentual 26 5" xfId="3780"/>
    <cellStyle name="Porcentual 26 5 2" xfId="7494"/>
    <cellStyle name="Porcentual 26 5 3" xfId="9473"/>
    <cellStyle name="Porcentual 26 6" xfId="3781"/>
    <cellStyle name="Porcentual 26 6 2" xfId="7495"/>
    <cellStyle name="Porcentual 26 6 3" xfId="9474"/>
    <cellStyle name="Porcentual 26 7" xfId="3782"/>
    <cellStyle name="Porcentual 26 7 2" xfId="7496"/>
    <cellStyle name="Porcentual 26 7 3" xfId="9475"/>
    <cellStyle name="Porcentual 26 8" xfId="3783"/>
    <cellStyle name="Porcentual 26 8 2" xfId="7497"/>
    <cellStyle name="Porcentual 26 8 3" xfId="9476"/>
    <cellStyle name="Porcentual 26 9" xfId="3784"/>
    <cellStyle name="Porcentual 26 9 2" xfId="7498"/>
    <cellStyle name="Porcentual 26 9 3" xfId="9477"/>
    <cellStyle name="Porcentual 27" xfId="3785"/>
    <cellStyle name="Porcentual 27 2" xfId="7499"/>
    <cellStyle name="Porcentual 27 2 2" xfId="9750"/>
    <cellStyle name="Porcentual 27 2 2 2" xfId="10612"/>
    <cellStyle name="Porcentual 27 2 3" xfId="10611"/>
    <cellStyle name="Porcentual 27 3" xfId="7500"/>
    <cellStyle name="Porcentual 27 3 2" xfId="9751"/>
    <cellStyle name="Porcentual 27 3 2 2" xfId="10614"/>
    <cellStyle name="Porcentual 27 3 3" xfId="10613"/>
    <cellStyle name="Porcentual 27 4" xfId="9478"/>
    <cellStyle name="Porcentual 28" xfId="3786"/>
    <cellStyle name="Porcentual 28 2" xfId="7501"/>
    <cellStyle name="Porcentual 28 2 2" xfId="9752"/>
    <cellStyle name="Porcentual 28 2 2 2" xfId="10616"/>
    <cellStyle name="Porcentual 28 2 3" xfId="10615"/>
    <cellStyle name="Porcentual 28 3" xfId="7502"/>
    <cellStyle name="Porcentual 28 3 2" xfId="9753"/>
    <cellStyle name="Porcentual 28 3 2 2" xfId="10618"/>
    <cellStyle name="Porcentual 28 3 3" xfId="10617"/>
    <cellStyle name="Porcentual 28 4" xfId="9479"/>
    <cellStyle name="Porcentual 29" xfId="3787"/>
    <cellStyle name="Porcentual 29 2" xfId="7503"/>
    <cellStyle name="Porcentual 29 2 2" xfId="9754"/>
    <cellStyle name="Porcentual 29 2 2 2" xfId="10620"/>
    <cellStyle name="Porcentual 29 2 3" xfId="10619"/>
    <cellStyle name="Porcentual 29 3" xfId="7504"/>
    <cellStyle name="Porcentual 29 3 2" xfId="9755"/>
    <cellStyle name="Porcentual 29 3 2 2" xfId="10622"/>
    <cellStyle name="Porcentual 29 3 3" xfId="10621"/>
    <cellStyle name="Porcentual 29 4" xfId="9480"/>
    <cellStyle name="Porcentual 3" xfId="3788"/>
    <cellStyle name="Porcentual 3 10" xfId="4317"/>
    <cellStyle name="Porcentual 3 2" xfId="3789"/>
    <cellStyle name="Porcentual 3 2 2" xfId="3790"/>
    <cellStyle name="Porcentual 3 2 2 2" xfId="9481"/>
    <cellStyle name="Porcentual 3 2 3" xfId="3791"/>
    <cellStyle name="Porcentual 3 2 3 2" xfId="9482"/>
    <cellStyle name="Porcentual 3 2 4" xfId="3792"/>
    <cellStyle name="Porcentual 3 2 4 2" xfId="9483"/>
    <cellStyle name="Porcentual 3 2 5" xfId="3793"/>
    <cellStyle name="Porcentual 3 2 5 2" xfId="9484"/>
    <cellStyle name="Porcentual 3 2 6" xfId="3794"/>
    <cellStyle name="Porcentual 3 2 6 2" xfId="9485"/>
    <cellStyle name="Porcentual 3 2 7" xfId="3795"/>
    <cellStyle name="Porcentual 3 2 7 2" xfId="9486"/>
    <cellStyle name="Porcentual 3 2 8" xfId="3796"/>
    <cellStyle name="Porcentual 3 2 8 2" xfId="9487"/>
    <cellStyle name="Porcentual 3 3" xfId="3797"/>
    <cellStyle name="Porcentual 3 3 2" xfId="9488"/>
    <cellStyle name="Porcentual 3 4" xfId="3798"/>
    <cellStyle name="Porcentual 3 5" xfId="3799"/>
    <cellStyle name="Porcentual 3 6" xfId="3800"/>
    <cellStyle name="Porcentual 3 7" xfId="3801"/>
    <cellStyle name="Porcentual 3 8" xfId="3802"/>
    <cellStyle name="Porcentual 3 9" xfId="3803"/>
    <cellStyle name="Porcentual 30" xfId="3804"/>
    <cellStyle name="Porcentual 30 2" xfId="7505"/>
    <cellStyle name="Porcentual 30 2 2" xfId="9756"/>
    <cellStyle name="Porcentual 30 2 2 2" xfId="10624"/>
    <cellStyle name="Porcentual 30 2 3" xfId="10623"/>
    <cellStyle name="Porcentual 30 3" xfId="7506"/>
    <cellStyle name="Porcentual 30 3 2" xfId="9757"/>
    <cellStyle name="Porcentual 30 3 2 2" xfId="10626"/>
    <cellStyle name="Porcentual 30 3 3" xfId="10625"/>
    <cellStyle name="Porcentual 30 4" xfId="9489"/>
    <cellStyle name="Porcentual 31" xfId="3805"/>
    <cellStyle name="Porcentual 31 2" xfId="7507"/>
    <cellStyle name="Porcentual 31 2 2" xfId="9758"/>
    <cellStyle name="Porcentual 31 2 2 2" xfId="10628"/>
    <cellStyle name="Porcentual 31 2 3" xfId="10627"/>
    <cellStyle name="Porcentual 31 3" xfId="9490"/>
    <cellStyle name="Porcentual 32" xfId="3806"/>
    <cellStyle name="Porcentual 32 2" xfId="7508"/>
    <cellStyle name="Porcentual 32 2 2" xfId="9759"/>
    <cellStyle name="Porcentual 32 2 2 2" xfId="10630"/>
    <cellStyle name="Porcentual 32 2 3" xfId="10629"/>
    <cellStyle name="Porcentual 32 3" xfId="9491"/>
    <cellStyle name="Porcentual 33" xfId="3807"/>
    <cellStyle name="Porcentual 33 2" xfId="7509"/>
    <cellStyle name="Porcentual 33 2 2" xfId="9760"/>
    <cellStyle name="Porcentual 33 2 2 2" xfId="10632"/>
    <cellStyle name="Porcentual 33 2 3" xfId="10631"/>
    <cellStyle name="Porcentual 33 3" xfId="9492"/>
    <cellStyle name="Porcentual 34" xfId="3808"/>
    <cellStyle name="Porcentual 34 2" xfId="7510"/>
    <cellStyle name="Porcentual 34 2 2" xfId="9761"/>
    <cellStyle name="Porcentual 34 2 2 2" xfId="10634"/>
    <cellStyle name="Porcentual 34 2 3" xfId="10633"/>
    <cellStyle name="Porcentual 34 3" xfId="9493"/>
    <cellStyle name="Porcentual 35" xfId="3809"/>
    <cellStyle name="Porcentual 35 2" xfId="7511"/>
    <cellStyle name="Porcentual 35 2 2" xfId="9762"/>
    <cellStyle name="Porcentual 35 2 2 2" xfId="10636"/>
    <cellStyle name="Porcentual 35 2 3" xfId="10635"/>
    <cellStyle name="Porcentual 35 3" xfId="9494"/>
    <cellStyle name="Porcentual 36" xfId="3810"/>
    <cellStyle name="Porcentual 36 2" xfId="7512"/>
    <cellStyle name="Porcentual 36 2 2" xfId="9763"/>
    <cellStyle name="Porcentual 36 2 2 2" xfId="10638"/>
    <cellStyle name="Porcentual 36 2 3" xfId="10637"/>
    <cellStyle name="Porcentual 36 3" xfId="9495"/>
    <cellStyle name="Porcentual 37" xfId="3811"/>
    <cellStyle name="Porcentual 37 2" xfId="7513"/>
    <cellStyle name="Porcentual 37 2 2" xfId="9764"/>
    <cellStyle name="Porcentual 37 2 2 2" xfId="10640"/>
    <cellStyle name="Porcentual 37 2 3" xfId="10639"/>
    <cellStyle name="Porcentual 37 3" xfId="9496"/>
    <cellStyle name="Porcentual 38" xfId="3812"/>
    <cellStyle name="Porcentual 38 2" xfId="7514"/>
    <cellStyle name="Porcentual 38 2 2" xfId="9765"/>
    <cellStyle name="Porcentual 38 2 2 2" xfId="10642"/>
    <cellStyle name="Porcentual 38 2 3" xfId="10641"/>
    <cellStyle name="Porcentual 38 3" xfId="9497"/>
    <cellStyle name="Porcentual 39" xfId="3813"/>
    <cellStyle name="Porcentual 39 2" xfId="7515"/>
    <cellStyle name="Porcentual 39 2 2" xfId="9766"/>
    <cellStyle name="Porcentual 39 2 2 2" xfId="10644"/>
    <cellStyle name="Porcentual 39 2 3" xfId="10643"/>
    <cellStyle name="Porcentual 39 3" xfId="9498"/>
    <cellStyle name="Porcentual 4" xfId="3814"/>
    <cellStyle name="Porcentual 4 2" xfId="3815"/>
    <cellStyle name="Porcentual 4 2 2" xfId="7516"/>
    <cellStyle name="Porcentual 4 3" xfId="7517"/>
    <cellStyle name="Porcentual 40" xfId="3816"/>
    <cellStyle name="Porcentual 40 2" xfId="7518"/>
    <cellStyle name="Porcentual 40 2 2" xfId="9767"/>
    <cellStyle name="Porcentual 40 2 2 2" xfId="10646"/>
    <cellStyle name="Porcentual 40 2 3" xfId="10645"/>
    <cellStyle name="Porcentual 40 3" xfId="9499"/>
    <cellStyle name="Porcentual 41" xfId="3817"/>
    <cellStyle name="Porcentual 41 2" xfId="7519"/>
    <cellStyle name="Porcentual 41 2 2" xfId="9768"/>
    <cellStyle name="Porcentual 41 2 2 2" xfId="10648"/>
    <cellStyle name="Porcentual 41 2 3" xfId="10647"/>
    <cellStyle name="Porcentual 41 3" xfId="9500"/>
    <cellStyle name="Porcentual 42" xfId="3818"/>
    <cellStyle name="Porcentual 42 2" xfId="7520"/>
    <cellStyle name="Porcentual 42 2 2" xfId="9769"/>
    <cellStyle name="Porcentual 42 2 2 2" xfId="10650"/>
    <cellStyle name="Porcentual 42 2 3" xfId="10649"/>
    <cellStyle name="Porcentual 42 3" xfId="9501"/>
    <cellStyle name="Porcentual 45" xfId="3819"/>
    <cellStyle name="Porcentual 45 2" xfId="7521"/>
    <cellStyle name="Porcentual 45 2 2" xfId="9770"/>
    <cellStyle name="Porcentual 45 2 2 2" xfId="10652"/>
    <cellStyle name="Porcentual 45 2 3" xfId="10651"/>
    <cellStyle name="Porcentual 45 3" xfId="9502"/>
    <cellStyle name="Porcentual 46" xfId="3820"/>
    <cellStyle name="Porcentual 46 2" xfId="7522"/>
    <cellStyle name="Porcentual 46 2 2" xfId="9771"/>
    <cellStyle name="Porcentual 46 2 2 2" xfId="10654"/>
    <cellStyle name="Porcentual 46 2 3" xfId="10653"/>
    <cellStyle name="Porcentual 46 3" xfId="9503"/>
    <cellStyle name="Porcentual 47" xfId="3821"/>
    <cellStyle name="Porcentual 47 2" xfId="7523"/>
    <cellStyle name="Porcentual 47 2 2" xfId="9772"/>
    <cellStyle name="Porcentual 47 2 2 2" xfId="10656"/>
    <cellStyle name="Porcentual 47 2 3" xfId="10655"/>
    <cellStyle name="Porcentual 47 3" xfId="9504"/>
    <cellStyle name="Porcentual 48" xfId="3822"/>
    <cellStyle name="Porcentual 48 2" xfId="7524"/>
    <cellStyle name="Porcentual 48 2 2" xfId="9773"/>
    <cellStyle name="Porcentual 48 2 2 2" xfId="10658"/>
    <cellStyle name="Porcentual 48 2 3" xfId="10657"/>
    <cellStyle name="Porcentual 48 3" xfId="9505"/>
    <cellStyle name="Porcentual 49" xfId="3823"/>
    <cellStyle name="Porcentual 49 2" xfId="7525"/>
    <cellStyle name="Porcentual 49 2 2" xfId="9774"/>
    <cellStyle name="Porcentual 49 2 2 2" xfId="10660"/>
    <cellStyle name="Porcentual 49 2 3" xfId="10659"/>
    <cellStyle name="Porcentual 49 3" xfId="9506"/>
    <cellStyle name="Porcentual 5" xfId="3824"/>
    <cellStyle name="Porcentual 50" xfId="3825"/>
    <cellStyle name="Porcentual 50 2" xfId="7526"/>
    <cellStyle name="Porcentual 50 2 2" xfId="9775"/>
    <cellStyle name="Porcentual 50 2 2 2" xfId="10662"/>
    <cellStyle name="Porcentual 50 2 3" xfId="10661"/>
    <cellStyle name="Porcentual 50 3" xfId="9507"/>
    <cellStyle name="Porcentual 52" xfId="3826"/>
    <cellStyle name="Porcentual 52 2" xfId="7527"/>
    <cellStyle name="Porcentual 52 2 2" xfId="9776"/>
    <cellStyle name="Porcentual 52 2 2 2" xfId="10664"/>
    <cellStyle name="Porcentual 52 2 3" xfId="10663"/>
    <cellStyle name="Porcentual 52 3" xfId="9508"/>
    <cellStyle name="Porcentual 53" xfId="3827"/>
    <cellStyle name="Porcentual 53 2" xfId="7528"/>
    <cellStyle name="Porcentual 53 2 2" xfId="9777"/>
    <cellStyle name="Porcentual 53 2 2 2" xfId="10666"/>
    <cellStyle name="Porcentual 53 2 3" xfId="10665"/>
    <cellStyle name="Porcentual 53 3" xfId="9509"/>
    <cellStyle name="Porcentual 55" xfId="3828"/>
    <cellStyle name="Porcentual 55 2" xfId="7529"/>
    <cellStyle name="Porcentual 55 2 2" xfId="9778"/>
    <cellStyle name="Porcentual 55 2 2 2" xfId="10668"/>
    <cellStyle name="Porcentual 55 2 3" xfId="10667"/>
    <cellStyle name="Porcentual 55 3" xfId="9510"/>
    <cellStyle name="Porcentual 56" xfId="3829"/>
    <cellStyle name="Porcentual 56 2" xfId="7530"/>
    <cellStyle name="Porcentual 56 2 2" xfId="9779"/>
    <cellStyle name="Porcentual 56 2 2 2" xfId="10670"/>
    <cellStyle name="Porcentual 56 2 3" xfId="10669"/>
    <cellStyle name="Porcentual 56 3" xfId="9511"/>
    <cellStyle name="Porcentual 6" xfId="3830"/>
    <cellStyle name="Porcentual 6 2" xfId="9512"/>
    <cellStyle name="Porcentual 7" xfId="3831"/>
    <cellStyle name="Porcentual 7 2" xfId="7531"/>
    <cellStyle name="Porcentual 8" xfId="3832"/>
    <cellStyle name="Porcentual 8 2" xfId="7532"/>
    <cellStyle name="Porcentual 8 2 2" xfId="7533"/>
    <cellStyle name="Porcentual 8 2 2 2" xfId="9781"/>
    <cellStyle name="Porcentual 8 2 2 2 2" xfId="10673"/>
    <cellStyle name="Porcentual 8 2 2 3" xfId="10672"/>
    <cellStyle name="Porcentual 8 2 3" xfId="9780"/>
    <cellStyle name="Porcentual 8 2 3 2" xfId="10674"/>
    <cellStyle name="Porcentual 8 2 4" xfId="10671"/>
    <cellStyle name="Porcentual 8 3" xfId="9513"/>
    <cellStyle name="Porcentual 9" xfId="3833"/>
    <cellStyle name="Porcentual 9 2" xfId="7534"/>
    <cellStyle name="Porcentual 9 2 2" xfId="9782"/>
    <cellStyle name="Porcentual 9 2 2 2" xfId="10676"/>
    <cellStyle name="Porcentual 9 2 3" xfId="10675"/>
    <cellStyle name="Porcentual 9 3" xfId="9514"/>
    <cellStyle name="Punto" xfId="3834"/>
    <cellStyle name="Punto0" xfId="3835"/>
    <cellStyle name="Total 2" xfId="3836"/>
    <cellStyle name="Total 2 2" xfId="4034"/>
    <cellStyle name="Total 3" xfId="4100"/>
    <cellStyle name="Total 4" xfId="4026"/>
    <cellStyle name="Total 5" xfId="4147"/>
    <cellStyle name="Total 6" xfId="9515"/>
    <cellStyle name="Total 7" xfId="40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10" Type="http://schemas.openxmlformats.org/officeDocument/2006/relationships/externalLink" Target="externalLinks/externalLink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0</xdr:rowOff>
    </xdr:from>
    <xdr:to>
      <xdr:col>10</xdr:col>
      <xdr:colOff>100002</xdr:colOff>
      <xdr:row>50</xdr:row>
      <xdr:rowOff>3298</xdr:rowOff>
    </xdr:to>
    <xdr:sp macro="" textlink="">
      <xdr:nvSpPr>
        <xdr:cNvPr id="2" name="Rectángulo 1">
          <a:extLst>
            <a:ext uri="{FF2B5EF4-FFF2-40B4-BE49-F238E27FC236}">
              <a16:creationId xmlns:a16="http://schemas.microsoft.com/office/drawing/2014/main" xmlns="" id="{9FB91ED1-4AD4-435D-BFAA-C09390507AE5}"/>
            </a:ext>
          </a:extLst>
        </xdr:cNvPr>
        <xdr:cNvSpPr/>
      </xdr:nvSpPr>
      <xdr:spPr>
        <a:xfrm>
          <a:off x="57150" y="0"/>
          <a:ext cx="7562850" cy="9525000"/>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AR"/>
        </a:p>
      </xdr:txBody>
    </xdr:sp>
    <xdr:clientData/>
  </xdr:twoCellAnchor>
  <xdr:twoCellAnchor>
    <xdr:from>
      <xdr:col>0</xdr:col>
      <xdr:colOff>692727</xdr:colOff>
      <xdr:row>2</xdr:row>
      <xdr:rowOff>173181</xdr:rowOff>
    </xdr:from>
    <xdr:to>
      <xdr:col>8</xdr:col>
      <xdr:colOff>507553</xdr:colOff>
      <xdr:row>15</xdr:row>
      <xdr:rowOff>155863</xdr:rowOff>
    </xdr:to>
    <xdr:sp macro="" textlink="">
      <xdr:nvSpPr>
        <xdr:cNvPr id="3" name="Cuadro de texto 2">
          <a:extLst>
            <a:ext uri="{FF2B5EF4-FFF2-40B4-BE49-F238E27FC236}">
              <a16:creationId xmlns:a16="http://schemas.microsoft.com/office/drawing/2014/main" xmlns="" id="{0BFC702C-7A50-4B81-A618-594CE6676F82}"/>
            </a:ext>
          </a:extLst>
        </xdr:cNvPr>
        <xdr:cNvSpPr txBox="1">
          <a:spLocks noChangeArrowheads="1"/>
        </xdr:cNvSpPr>
      </xdr:nvSpPr>
      <xdr:spPr bwMode="auto">
        <a:xfrm>
          <a:off x="692727" y="554181"/>
          <a:ext cx="5910826" cy="2459182"/>
        </a:xfrm>
        <a:prstGeom prst="rect">
          <a:avLst/>
        </a:prstGeom>
        <a:noFill/>
        <a:ln w="9525">
          <a:noFill/>
          <a:miter lim="800000"/>
          <a:headEnd/>
          <a:tailEnd/>
        </a:ln>
      </xdr:spPr>
      <xdr:txBody>
        <a:bodyPr rot="0" vert="horz" wrap="square" lIns="0" tIns="45720" rIns="0" bIns="45720" anchor="b" anchorCtr="0">
          <a:noAutofit/>
        </a:bodyPr>
        <a:lstStyle/>
        <a:p>
          <a:pPr>
            <a:lnSpc>
              <a:spcPts val="3600"/>
            </a:lnSpc>
            <a:spcAft>
              <a:spcPts val="0"/>
            </a:spcAft>
          </a:pPr>
          <a:r>
            <a:rPr lang="es-AR" sz="3000" b="1">
              <a:solidFill>
                <a:srgbClr val="FFFFFF"/>
              </a:solidFill>
              <a:effectLst/>
              <a:latin typeface="Roboto" panose="02000000000000000000" pitchFamily="2" charset="0"/>
              <a:ea typeface="Roboto" panose="02000000000000000000" pitchFamily="2" charset="0"/>
              <a:cs typeface="Times New Roman" panose="02020603050405020304" pitchFamily="18" charset="0"/>
            </a:rPr>
            <a:t>Boletín</a:t>
          </a:r>
          <a:r>
            <a:rPr lang="es-AR" sz="3000" b="1" baseline="0">
              <a:solidFill>
                <a:srgbClr val="FFFFFF"/>
              </a:solidFill>
              <a:effectLst/>
              <a:latin typeface="Roboto" panose="02000000000000000000" pitchFamily="2" charset="0"/>
              <a:ea typeface="Roboto" panose="02000000000000000000" pitchFamily="2" charset="0"/>
              <a:cs typeface="Times New Roman" panose="02020603050405020304" pitchFamily="18" charset="0"/>
            </a:rPr>
            <a:t> de Estadísticas Laborales </a:t>
          </a:r>
        </a:p>
        <a:p>
          <a:pPr>
            <a:lnSpc>
              <a:spcPts val="3600"/>
            </a:lnSpc>
            <a:spcAft>
              <a:spcPts val="0"/>
            </a:spcAft>
          </a:pPr>
          <a:endParaRPr lang="es-AR" sz="3000" b="1" baseline="0">
            <a:solidFill>
              <a:srgbClr val="FFFFFF"/>
            </a:solidFill>
            <a:effectLst/>
            <a:latin typeface="Roboto" panose="02000000000000000000" pitchFamily="2" charset="0"/>
            <a:ea typeface="Roboto" panose="02000000000000000000" pitchFamily="2" charset="0"/>
            <a:cs typeface="Times New Roman" panose="02020603050405020304" pitchFamily="18" charset="0"/>
          </a:endParaRPr>
        </a:p>
        <a:p>
          <a:pPr>
            <a:lnSpc>
              <a:spcPts val="3600"/>
            </a:lnSpc>
            <a:spcAft>
              <a:spcPts val="0"/>
            </a:spcAft>
          </a:pPr>
          <a:r>
            <a:rPr lang="es-AR" sz="2800" b="1" baseline="0">
              <a:solidFill>
                <a:srgbClr val="FFFFFF"/>
              </a:solidFill>
              <a:effectLst/>
              <a:latin typeface="Roboto" panose="02000000000000000000" pitchFamily="2" charset="0"/>
              <a:ea typeface="Roboto" panose="02000000000000000000" pitchFamily="2" charset="0"/>
              <a:cs typeface="Times New Roman" panose="02020603050405020304" pitchFamily="18" charset="0"/>
            </a:rPr>
            <a:t>Encuesta de Indicadores Laborales</a:t>
          </a:r>
        </a:p>
        <a:p>
          <a:pPr>
            <a:lnSpc>
              <a:spcPts val="3600"/>
            </a:lnSpc>
            <a:spcAft>
              <a:spcPts val="0"/>
            </a:spcAft>
          </a:pPr>
          <a:endParaRPr lang="es-AR" sz="3000" b="1" baseline="0">
            <a:solidFill>
              <a:srgbClr val="FFFFFF"/>
            </a:solidFill>
            <a:effectLst/>
            <a:latin typeface="Roboto" panose="02000000000000000000" pitchFamily="2" charset="0"/>
            <a:ea typeface="Roboto" panose="02000000000000000000" pitchFamily="2" charset="0"/>
            <a:cs typeface="Times New Roman" panose="02020603050405020304" pitchFamily="18" charset="0"/>
          </a:endParaRPr>
        </a:p>
        <a:p>
          <a:pPr>
            <a:lnSpc>
              <a:spcPts val="3600"/>
            </a:lnSpc>
            <a:spcAft>
              <a:spcPts val="0"/>
            </a:spcAft>
          </a:pPr>
          <a:r>
            <a:rPr lang="es-ES" sz="2000" b="1">
              <a:solidFill>
                <a:srgbClr val="FFFFFF"/>
              </a:solidFill>
              <a:effectLst/>
              <a:latin typeface="Roboto" panose="02000000000000000000" pitchFamily="2" charset="0"/>
              <a:ea typeface="Roboto" panose="02000000000000000000" pitchFamily="2" charset="0"/>
              <a:cs typeface="Roboto" pitchFamily="2" charset="0"/>
            </a:rPr>
            <a:t>Serie </a:t>
          </a:r>
          <a:r>
            <a:rPr lang="es-ES" sz="2000" b="1" baseline="0">
              <a:solidFill>
                <a:srgbClr val="FFFFFF"/>
              </a:solidFill>
              <a:effectLst/>
              <a:latin typeface="Roboto" panose="02000000000000000000" pitchFamily="2" charset="0"/>
              <a:ea typeface="Roboto" panose="02000000000000000000" pitchFamily="2" charset="0"/>
              <a:cs typeface="Roboto" pitchFamily="2" charset="0"/>
            </a:rPr>
            <a:t>mensual</a:t>
          </a:r>
          <a:endParaRPr lang="es-AR"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0</xdr:col>
      <xdr:colOff>138546</xdr:colOff>
      <xdr:row>41</xdr:row>
      <xdr:rowOff>121227</xdr:rowOff>
    </xdr:from>
    <xdr:to>
      <xdr:col>6</xdr:col>
      <xdr:colOff>586119</xdr:colOff>
      <xdr:row>46</xdr:row>
      <xdr:rowOff>74114</xdr:rowOff>
    </xdr:to>
    <xdr:pic>
      <xdr:nvPicPr>
        <xdr:cNvPr id="4" name="Imagen 3">
          <a:extLst>
            <a:ext uri="{FF2B5EF4-FFF2-40B4-BE49-F238E27FC236}">
              <a16:creationId xmlns:a16="http://schemas.microsoft.com/office/drawing/2014/main" xmlns="" id="{50B0215D-A104-45FE-A03C-E75A4F01309E}"/>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xmlns="" val="0"/>
            </a:ext>
          </a:extLst>
        </a:blip>
        <a:srcRect r="-10862"/>
        <a:stretch/>
      </xdr:blipFill>
      <xdr:spPr>
        <a:xfrm>
          <a:off x="138546" y="7931727"/>
          <a:ext cx="5019573" cy="905387"/>
        </a:xfrm>
        <a:prstGeom prst="rect">
          <a:avLst/>
        </a:prstGeom>
      </xdr:spPr>
    </xdr:pic>
    <xdr:clientData/>
  </xdr:twoCellAnchor>
  <xdr:twoCellAnchor>
    <xdr:from>
      <xdr:col>6</xdr:col>
      <xdr:colOff>242453</xdr:colOff>
      <xdr:row>42</xdr:row>
      <xdr:rowOff>121227</xdr:rowOff>
    </xdr:from>
    <xdr:to>
      <xdr:col>10</xdr:col>
      <xdr:colOff>5442</xdr:colOff>
      <xdr:row>45</xdr:row>
      <xdr:rowOff>179614</xdr:rowOff>
    </xdr:to>
    <xdr:sp macro="" textlink="">
      <xdr:nvSpPr>
        <xdr:cNvPr id="5" name="CuadroTexto 4">
          <a:extLst>
            <a:ext uri="{FF2B5EF4-FFF2-40B4-BE49-F238E27FC236}">
              <a16:creationId xmlns:a16="http://schemas.microsoft.com/office/drawing/2014/main" xmlns="" id="{00000000-0008-0000-0000-000006000000}"/>
            </a:ext>
          </a:extLst>
        </xdr:cNvPr>
        <xdr:cNvSpPr txBox="1"/>
      </xdr:nvSpPr>
      <xdr:spPr>
        <a:xfrm>
          <a:off x="4814453" y="8122227"/>
          <a:ext cx="2805547" cy="629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500"/>
            </a:lnSpc>
          </a:pPr>
          <a:r>
            <a:rPr lang="es-CL" sz="1400" b="1">
              <a:solidFill>
                <a:schemeClr val="bg1">
                  <a:lumMod val="95000"/>
                </a:schemeClr>
              </a:solidFill>
              <a:latin typeface="Cambria" panose="02040503050406030204" pitchFamily="18" charset="0"/>
              <a:ea typeface="Cambria" panose="02040503050406030204" pitchFamily="18" charset="0"/>
              <a:cs typeface="+mn-cs"/>
            </a:rPr>
            <a:t>Dirección Nacional de Estudios y Estadísticas Laborales</a:t>
          </a:r>
          <a:endParaRPr lang="es-ES_tradnl" sz="1400" b="1">
            <a:solidFill>
              <a:schemeClr val="bg1">
                <a:lumMod val="95000"/>
              </a:schemeClr>
            </a:solidFill>
            <a:latin typeface="Cambria" panose="02040503050406030204" pitchFamily="18" charset="0"/>
            <a:ea typeface="Cambria" panose="02040503050406030204" pitchFamily="18" charset="0"/>
            <a:cs typeface="+mn-cs"/>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DATOS\series\afiliad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IDOR2_DNRMT\ESTUDIOS\PROVI\GRAL\CUADROS\C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RVIDOR1_DNRMT\ESTUDIOS\PROVI\GRAL\CUADROS\C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elzeta\Provincia\San%20Luis\cnslui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dbsr\pachi\INFORMEC\Cua29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DATOS\financiero\comunicado%20estad&#237;stico\GENERA%20CUADRO%201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RVIDOR1_DNRMT\ESTUDIOS\BEL\PRGS\CUADROS\ESPECIF.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filiados"/>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ep pre"/>
      <sheetName val="c3_ fto"/>
      <sheetName val="C3 Base Tran"/>
      <sheetName val="pbg pbgpc "/>
      <sheetName val="pbg1 pbg2 pbg3"/>
      <sheetName val="vab rem"/>
      <sheetName val="ex"/>
      <sheetName val="pre1_4"/>
    </sheetNames>
    <sheetDataSet>
      <sheetData sheetId="0"/>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ep pre"/>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ist. financiero_san Luis"/>
      <sheetName val="Cuadro E"/>
      <sheetName val="B.1"/>
      <sheetName val="Hoja1"/>
      <sheetName val="expo"/>
      <sheetName val="anotaciones"/>
      <sheetName val="Cuadro A.1"/>
      <sheetName val="Cuadro A.2"/>
      <sheetName val="Cuadro A.3"/>
      <sheetName val="Cuadro A.4"/>
      <sheetName val="Cuadro A.5"/>
      <sheetName val="Cuadro A.6"/>
      <sheetName val="Cuadro A.7"/>
      <sheetName val="Cuadro A.8"/>
      <sheetName val="Cuadro A.9"/>
      <sheetName val="Cuadro A.10"/>
      <sheetName val="Cuadro B.1"/>
      <sheetName val="Cuadro B.2-4.- "/>
      <sheetName val="Cuadro C1.2"/>
      <sheetName val="Cuadro C.3-4"/>
      <sheetName val="Cuadro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graf 1"/>
      <sheetName val="cuadro 1"/>
      <sheetName val="cua5.3"/>
      <sheetName val="cua 5.2  5.7 "/>
      <sheetName val="5.4 graf 2"/>
      <sheetName val="cua 5.5"/>
      <sheetName val="cua 5.6"/>
      <sheetName val="hoja6"/>
      <sheetName val="5.8 graf  5.3"/>
      <sheetName val="cua 5.9"/>
      <sheetName val="cuadro 5.9"/>
      <sheetName val="cua 5.10"/>
      <sheetName val="cua5.11"/>
      <sheetName val=" gráf 5.4deuda exportaciones"/>
      <sheetName val="anexo 5.1"/>
      <sheetName val="ANEX5.2"/>
      <sheetName val="anex5.4"/>
      <sheetName val="ANEX5.3"/>
      <sheetName val="APERT"/>
      <sheetName val="Hoja10"/>
      <sheetName val="Hoja11"/>
      <sheetName val="Hoja12"/>
      <sheetName val="Hoja13"/>
      <sheetName val="Hoja14"/>
      <sheetName val="Hoja15"/>
      <sheetName val="Hoja16"/>
      <sheetName val="Módul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ENERA CUADRO 16"/>
    </sheetNames>
    <definedNames>
      <definedName name="BORRA_CUADROS"/>
      <definedName name="TRANSFERENCIA"/>
    </definedNames>
    <sheetDataSet>
      <sheetData sheetId="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GRAFPROM"/>
      <sheetName val="promotores"/>
      <sheetName val="sucursales"/>
      <sheetName val="datos"/>
      <sheetName val="GRAFSUC"/>
    </sheetNames>
    <sheetDataSet>
      <sheetData sheetId="0" refreshError="1"/>
      <sheetData sheetId="1" refreshError="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fondo promedio"/>
      <sheetName val="GRÁFICO DE FONDO POR AFILIADO"/>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cua 66"/>
      <sheetName val="Varones"/>
      <sheetName val="Mujeres"/>
      <sheetName val="cua 65"/>
      <sheetName val="Tablita"/>
      <sheetName val="TD"/>
      <sheetName val="DATOS"/>
    </sheetNames>
    <sheetDataSet>
      <sheetData sheetId="0"/>
      <sheetData sheetId="1">
        <row r="77">
          <cell r="B77" t="str">
            <v>aglocuadro</v>
          </cell>
          <cell r="C77" t="str">
            <v>Mayo</v>
          </cell>
          <cell r="D77" t="str">
            <v>Octubre</v>
          </cell>
          <cell r="E77" t="str">
            <v>Junio</v>
          </cell>
          <cell r="F77" t="str">
            <v>Octubre</v>
          </cell>
          <cell r="G77" t="str">
            <v>Mayo</v>
          </cell>
          <cell r="H77" t="str">
            <v>Octubre</v>
          </cell>
          <cell r="I77" t="str">
            <v>Mayo</v>
          </cell>
          <cell r="J77" t="str">
            <v>Octubre</v>
          </cell>
          <cell r="K77" t="str">
            <v>Mayo</v>
          </cell>
          <cell r="L77" t="str">
            <v>Octubre</v>
          </cell>
          <cell r="M77" t="str">
            <v>Mayo</v>
          </cell>
          <cell r="N77" t="str">
            <v>Octubre</v>
          </cell>
          <cell r="O77" t="str">
            <v>Abril</v>
          </cell>
          <cell r="P77" t="str">
            <v>Octubre</v>
          </cell>
          <cell r="Q77" t="str">
            <v>Mayo</v>
          </cell>
          <cell r="R77" t="str">
            <v>Octubre</v>
          </cell>
          <cell r="S77" t="str">
            <v>Mayo</v>
          </cell>
          <cell r="T77" t="str">
            <v>Agosto</v>
          </cell>
          <cell r="U77" t="str">
            <v>Octubre</v>
          </cell>
          <cell r="V77" t="str">
            <v>Mayo</v>
          </cell>
        </row>
        <row r="78">
          <cell r="B78" t="str">
            <v>Total aglomerados urbanos</v>
          </cell>
          <cell r="C78">
            <v>40.217922194293912</v>
          </cell>
          <cell r="D78">
            <v>43.82994176040534</v>
          </cell>
          <cell r="E78">
            <v>42.017258935320612</v>
          </cell>
          <cell r="F78">
            <v>44.44812722347784</v>
          </cell>
          <cell r="G78">
            <v>44.072984231844956</v>
          </cell>
          <cell r="H78">
            <v>44.773963520782239</v>
          </cell>
          <cell r="I78">
            <v>45.945446052844332</v>
          </cell>
          <cell r="J78">
            <v>46.469759528076906</v>
          </cell>
          <cell r="K78">
            <v>45.85851872275807</v>
          </cell>
          <cell r="L78">
            <v>43.602998656225203</v>
          </cell>
          <cell r="M78">
            <v>41.129391708083581</v>
          </cell>
          <cell r="N78">
            <v>41.099927307953948</v>
          </cell>
          <cell r="O78">
            <v>41.674297106691775</v>
          </cell>
          <cell r="P78">
            <v>41.613967761967679</v>
          </cell>
          <cell r="Q78">
            <v>42.825515510024928</v>
          </cell>
          <cell r="R78">
            <v>44.193791283475299</v>
          </cell>
          <cell r="S78">
            <v>45.212387123463685</v>
          </cell>
          <cell r="T78">
            <v>44.499204994054438</v>
          </cell>
          <cell r="U78">
            <v>44.685519383992869</v>
          </cell>
          <cell r="V78">
            <v>42.909900595558284</v>
          </cell>
        </row>
        <row r="79">
          <cell r="B79" t="str">
            <v>Capital Federal</v>
          </cell>
          <cell r="C79">
            <v>44.16382963118933</v>
          </cell>
          <cell r="D79">
            <v>46.578351767159958</v>
          </cell>
          <cell r="E79">
            <v>43.736013385594838</v>
          </cell>
          <cell r="F79">
            <v>46.385318624970481</v>
          </cell>
          <cell r="G79">
            <v>41.349899745757227</v>
          </cell>
          <cell r="H79">
            <v>44.615884941838431</v>
          </cell>
          <cell r="I79">
            <v>47.926108009550376</v>
          </cell>
          <cell r="J79">
            <v>47.377189361325705</v>
          </cell>
          <cell r="K79">
            <v>50.111471258609583</v>
          </cell>
          <cell r="L79">
            <v>45.17848341630593</v>
          </cell>
          <cell r="M79">
            <v>44.40459304550145</v>
          </cell>
          <cell r="N79">
            <v>48.229720466521307</v>
          </cell>
          <cell r="O79">
            <v>47.698797686089904</v>
          </cell>
          <cell r="P79">
            <v>50.19509977960157</v>
          </cell>
          <cell r="Q79">
            <v>49.903101379013812</v>
          </cell>
          <cell r="R79">
            <v>49.04876288146562</v>
          </cell>
          <cell r="S79">
            <v>49.942785615954065</v>
          </cell>
          <cell r="T79">
            <v>49.042511563018756</v>
          </cell>
          <cell r="U79">
            <v>51.280469755350197</v>
          </cell>
          <cell r="V79">
            <v>47.702331877793277</v>
          </cell>
        </row>
        <row r="80">
          <cell r="B80" t="str">
            <v>Partidos del Conurbano</v>
          </cell>
          <cell r="C80">
            <v>40.512871412460591</v>
          </cell>
          <cell r="D80">
            <v>46.430602642081141</v>
          </cell>
          <cell r="E80">
            <v>44.154435272053952</v>
          </cell>
          <cell r="F80">
            <v>46.066638279753036</v>
          </cell>
          <cell r="G80">
            <v>45.848401670616553</v>
          </cell>
          <cell r="H80">
            <v>44.709194240418555</v>
          </cell>
          <cell r="I80">
            <v>47.131410690609172</v>
          </cell>
          <cell r="J80">
            <v>48.30430239694293</v>
          </cell>
          <cell r="K80">
            <v>46.054801017791405</v>
          </cell>
          <cell r="L80">
            <v>43.161077845098433</v>
          </cell>
          <cell r="M80">
            <v>41.457394673973809</v>
          </cell>
          <cell r="N80">
            <v>39.828327624499224</v>
          </cell>
          <cell r="O80">
            <v>40.629770730200626</v>
          </cell>
          <cell r="P80">
            <v>38.76873265774308</v>
          </cell>
          <cell r="Q80">
            <v>41.730868294584532</v>
          </cell>
          <cell r="R80">
            <v>43.004128719136418</v>
          </cell>
          <cell r="S80">
            <v>43.835823335565664</v>
          </cell>
          <cell r="T80">
            <v>43.254722562488666</v>
          </cell>
          <cell r="U80">
            <v>41.575240814407806</v>
          </cell>
          <cell r="V80">
            <v>40.771831917488271</v>
          </cell>
        </row>
        <row r="81">
          <cell r="B81" t="str">
            <v>Gran Buenos Aires</v>
          </cell>
          <cell r="C81">
            <v>41.565918937343184</v>
          </cell>
          <cell r="D81">
            <v>46.472216249210987</v>
          </cell>
          <cell r="E81">
            <v>44.037261510996231</v>
          </cell>
          <cell r="F81">
            <v>46.153328486608459</v>
          </cell>
          <cell r="G81">
            <v>44.645665494392205</v>
          </cell>
          <cell r="H81">
            <v>44.683864677477253</v>
          </cell>
          <cell r="I81">
            <v>47.344266982043429</v>
          </cell>
          <cell r="J81">
            <v>48.062028445757214</v>
          </cell>
          <cell r="K81">
            <v>47.101844573131274</v>
          </cell>
          <cell r="L81">
            <v>43.67745649590141</v>
          </cell>
          <cell r="M81">
            <v>42.195401750055169</v>
          </cell>
          <cell r="N81">
            <v>42.039491391333428</v>
          </cell>
          <cell r="O81">
            <v>42.517790271295546</v>
          </cell>
          <cell r="P81">
            <v>41.744795505701155</v>
          </cell>
          <cell r="Q81">
            <v>43.797680930653598</v>
          </cell>
          <cell r="R81">
            <v>44.522959578570124</v>
          </cell>
          <cell r="S81">
            <v>45.358500885833394</v>
          </cell>
          <cell r="T81">
            <v>44.756029288085671</v>
          </cell>
          <cell r="U81">
            <v>44.041584177113599</v>
          </cell>
          <cell r="V81">
            <v>42.523934898558529</v>
          </cell>
        </row>
        <row r="82">
          <cell r="B82" t="str">
            <v>Bahía Blanca</v>
          </cell>
          <cell r="C82">
            <v>43.410921979478474</v>
          </cell>
          <cell r="D82">
            <v>46.579634464751955</v>
          </cell>
          <cell r="E82">
            <v>37.936762087180334</v>
          </cell>
          <cell r="F82">
            <v>43.172930535239857</v>
          </cell>
          <cell r="G82">
            <v>43.652695491098335</v>
          </cell>
          <cell r="H82">
            <v>43.752624947501047</v>
          </cell>
          <cell r="I82">
            <v>44.605839630685992</v>
          </cell>
          <cell r="J82">
            <v>45.436194862609639</v>
          </cell>
          <cell r="K82">
            <v>42.559970014992501</v>
          </cell>
          <cell r="L82">
            <v>39.384343853820596</v>
          </cell>
          <cell r="M82">
            <v>38.672581337565532</v>
          </cell>
          <cell r="N82">
            <v>37.936195689360247</v>
          </cell>
          <cell r="O82">
            <v>43.431642593214647</v>
          </cell>
          <cell r="P82">
            <v>43.214400156038842</v>
          </cell>
          <cell r="Q82">
            <v>43.214400156038842</v>
          </cell>
          <cell r="R82">
            <v>48.548708870718485</v>
          </cell>
          <cell r="S82">
            <v>51.866460254425526</v>
          </cell>
          <cell r="T82">
            <v>47.375863601470648</v>
          </cell>
          <cell r="U82">
            <v>51.182072679052204</v>
          </cell>
          <cell r="V82" t="str">
            <v>...</v>
          </cell>
        </row>
        <row r="83">
          <cell r="B83" t="str">
            <v>Gran La Plata</v>
          </cell>
          <cell r="C83">
            <v>36.191593770002136</v>
          </cell>
          <cell r="D83">
            <v>36.611422707656843</v>
          </cell>
          <cell r="E83">
            <v>43.594886430891847</v>
          </cell>
          <cell r="F83">
            <v>46.748455177573952</v>
          </cell>
          <cell r="G83">
            <v>47.725495224052821</v>
          </cell>
          <cell r="H83">
            <v>50.591818919892319</v>
          </cell>
          <cell r="I83">
            <v>44.454325619925321</v>
          </cell>
          <cell r="J83">
            <v>45.604926047403922</v>
          </cell>
          <cell r="K83">
            <v>47.877143759638791</v>
          </cell>
          <cell r="L83">
            <v>41.087035742662387</v>
          </cell>
          <cell r="M83">
            <v>39.781774217923534</v>
          </cell>
          <cell r="N83">
            <v>40.622187320668097</v>
          </cell>
          <cell r="O83">
            <v>38.654151815817364</v>
          </cell>
          <cell r="P83">
            <v>42.132769535936141</v>
          </cell>
          <cell r="Q83">
            <v>42.132769535936141</v>
          </cell>
          <cell r="R83">
            <v>45.909272864274278</v>
          </cell>
          <cell r="S83">
            <v>48.107567456979837</v>
          </cell>
          <cell r="T83">
            <v>45.324804272899499</v>
          </cell>
          <cell r="U83">
            <v>48.067055360707315</v>
          </cell>
          <cell r="V83" t="str">
            <v>...</v>
          </cell>
        </row>
        <row r="84">
          <cell r="B84" t="str">
            <v>Mar del Plata y Batán</v>
          </cell>
          <cell r="C84" t="str">
            <v>...</v>
          </cell>
          <cell r="D84" t="str">
            <v>...</v>
          </cell>
          <cell r="E84" t="str">
            <v>...</v>
          </cell>
          <cell r="F84" t="str">
            <v>...</v>
          </cell>
          <cell r="G84" t="str">
            <v>...</v>
          </cell>
          <cell r="H84" t="str">
            <v>...</v>
          </cell>
          <cell r="I84" t="str">
            <v>...</v>
          </cell>
          <cell r="J84" t="str">
            <v>...</v>
          </cell>
          <cell r="K84" t="str">
            <v>...</v>
          </cell>
          <cell r="L84" t="str">
            <v>...</v>
          </cell>
          <cell r="M84" t="str">
            <v>...</v>
          </cell>
          <cell r="N84">
            <v>40.767821979868081</v>
          </cell>
          <cell r="O84">
            <v>46.697730187519447</v>
          </cell>
          <cell r="P84">
            <v>47.183602779236189</v>
          </cell>
          <cell r="Q84">
            <v>39.768689562116485</v>
          </cell>
          <cell r="R84">
            <v>42.586382854643531</v>
          </cell>
          <cell r="S84">
            <v>46.858466643709107</v>
          </cell>
          <cell r="T84">
            <v>48.455571610812513</v>
          </cell>
          <cell r="U84">
            <v>54.111647741869184</v>
          </cell>
          <cell r="V84" t="str">
            <v>...</v>
          </cell>
        </row>
        <row r="85">
          <cell r="B85" t="str">
            <v>Gran Catamarca</v>
          </cell>
          <cell r="C85">
            <v>37.847939844334022</v>
          </cell>
          <cell r="D85">
            <v>37.436110533970499</v>
          </cell>
          <cell r="E85">
            <v>36.607843137254903</v>
          </cell>
          <cell r="F85">
            <v>41.31047346906378</v>
          </cell>
          <cell r="G85">
            <v>40.799712678079729</v>
          </cell>
          <cell r="H85">
            <v>42.733690829829094</v>
          </cell>
          <cell r="I85">
            <v>47.153926389509756</v>
          </cell>
          <cell r="J85">
            <v>48.144642180992051</v>
          </cell>
          <cell r="K85">
            <v>41.972602739726028</v>
          </cell>
          <cell r="L85">
            <v>44.495707748742582</v>
          </cell>
          <cell r="M85">
            <v>42.110523004034498</v>
          </cell>
          <cell r="N85">
            <v>40.40681693238043</v>
          </cell>
          <cell r="O85">
            <v>43.149158006653629</v>
          </cell>
          <cell r="P85">
            <v>42.742064380014703</v>
          </cell>
          <cell r="Q85">
            <v>40.443005724904836</v>
          </cell>
          <cell r="R85">
            <v>44.054647173368778</v>
          </cell>
          <cell r="S85">
            <v>42.86909122371874</v>
          </cell>
          <cell r="T85">
            <v>45.709019698191447</v>
          </cell>
          <cell r="U85">
            <v>44.033677974933497</v>
          </cell>
          <cell r="V85">
            <v>45.850280312190833</v>
          </cell>
        </row>
        <row r="86">
          <cell r="B86" t="str">
            <v>Gran Córdoba</v>
          </cell>
          <cell r="C86">
            <v>37.570727050020537</v>
          </cell>
          <cell r="D86">
            <v>41.597172627222619</v>
          </cell>
          <cell r="E86">
            <v>39.66884922414566</v>
          </cell>
          <cell r="F86">
            <v>42.071408128219808</v>
          </cell>
          <cell r="G86">
            <v>46.448634144444483</v>
          </cell>
          <cell r="H86">
            <v>47.046042950049845</v>
          </cell>
          <cell r="I86">
            <v>47.306251800633824</v>
          </cell>
          <cell r="J86">
            <v>45.31591442033352</v>
          </cell>
          <cell r="K86">
            <v>45.604149589105262</v>
          </cell>
          <cell r="L86">
            <v>47.293972731610417</v>
          </cell>
          <cell r="M86">
            <v>42.675187809061079</v>
          </cell>
          <cell r="N86">
            <v>38.707727873183615</v>
          </cell>
          <cell r="O86">
            <v>39.027273383987968</v>
          </cell>
          <cell r="P86" t="str">
            <v>...</v>
          </cell>
          <cell r="Q86">
            <v>41.426736456761184</v>
          </cell>
          <cell r="R86">
            <v>38.409146490584497</v>
          </cell>
          <cell r="S86">
            <v>41.838676897618129</v>
          </cell>
          <cell r="T86">
            <v>42.927181409065078</v>
          </cell>
          <cell r="U86">
            <v>42.445271231206824</v>
          </cell>
          <cell r="V86">
            <v>44.07741568939857</v>
          </cell>
        </row>
        <row r="87">
          <cell r="B87" t="str">
            <v>Río Cuarto</v>
          </cell>
          <cell r="C87" t="str">
            <v>...</v>
          </cell>
          <cell r="D87" t="str">
            <v>...</v>
          </cell>
          <cell r="E87" t="str">
            <v>...</v>
          </cell>
          <cell r="F87" t="str">
            <v>...</v>
          </cell>
          <cell r="G87" t="str">
            <v>...</v>
          </cell>
          <cell r="H87" t="str">
            <v>...</v>
          </cell>
          <cell r="I87" t="str">
            <v>...</v>
          </cell>
          <cell r="J87" t="str">
            <v>...</v>
          </cell>
          <cell r="K87" t="str">
            <v>...</v>
          </cell>
          <cell r="L87" t="str">
            <v>...</v>
          </cell>
          <cell r="M87" t="str">
            <v>...</v>
          </cell>
          <cell r="N87">
            <v>45.2181505634533</v>
          </cell>
          <cell r="O87">
            <v>38.827422939414433</v>
          </cell>
          <cell r="P87">
            <v>41.809082947579128</v>
          </cell>
          <cell r="Q87">
            <v>39.979479286905217</v>
          </cell>
          <cell r="R87">
            <v>39.75903614457831</v>
          </cell>
          <cell r="S87">
            <v>42.432499999999997</v>
          </cell>
          <cell r="T87">
            <v>47.711466165413533</v>
          </cell>
          <cell r="U87">
            <v>43.728899606549057</v>
          </cell>
          <cell r="V87" t="str">
            <v>...</v>
          </cell>
        </row>
        <row r="88">
          <cell r="B88" t="str">
            <v>Corrientes</v>
          </cell>
          <cell r="C88">
            <v>31.581445523193096</v>
          </cell>
          <cell r="D88">
            <v>35.421324161650901</v>
          </cell>
          <cell r="E88">
            <v>30.744859554742821</v>
          </cell>
          <cell r="F88">
            <v>33.945213831547775</v>
          </cell>
          <cell r="G88" t="str">
            <v>...</v>
          </cell>
          <cell r="H88">
            <v>29.546785846006983</v>
          </cell>
          <cell r="I88">
            <v>31.702293717209386</v>
          </cell>
          <cell r="J88">
            <v>34.403146268900031</v>
          </cell>
          <cell r="K88">
            <v>40.660258237953641</v>
          </cell>
          <cell r="L88">
            <v>41.7861367874401</v>
          </cell>
          <cell r="M88">
            <v>40.73321363035457</v>
          </cell>
          <cell r="N88">
            <v>37.781215063479181</v>
          </cell>
          <cell r="O88">
            <v>39.899503411284499</v>
          </cell>
          <cell r="P88">
            <v>40.247293822139824</v>
          </cell>
          <cell r="Q88">
            <v>42.711142861308332</v>
          </cell>
          <cell r="R88">
            <v>44.340245117996382</v>
          </cell>
          <cell r="S88">
            <v>46.730588300404008</v>
          </cell>
          <cell r="T88">
            <v>37.74610886698116</v>
          </cell>
          <cell r="U88">
            <v>45.920912486012057</v>
          </cell>
          <cell r="V88" t="str">
            <v>...</v>
          </cell>
        </row>
        <row r="89">
          <cell r="B89" t="str">
            <v xml:space="preserve">Gran Resistencia </v>
          </cell>
          <cell r="C89">
            <v>36.396933144503592</v>
          </cell>
          <cell r="D89">
            <v>37.336748966666143</v>
          </cell>
          <cell r="E89">
            <v>40.622208290886299</v>
          </cell>
          <cell r="F89">
            <v>37.940981745956684</v>
          </cell>
          <cell r="G89">
            <v>39.786056113352721</v>
          </cell>
          <cell r="H89">
            <v>40.835156033393922</v>
          </cell>
          <cell r="I89">
            <v>40.413504723555832</v>
          </cell>
          <cell r="J89">
            <v>39.257115734999161</v>
          </cell>
          <cell r="K89">
            <v>42.596048759983184</v>
          </cell>
          <cell r="L89">
            <v>44.514320983535455</v>
          </cell>
          <cell r="M89">
            <v>43.053245948677819</v>
          </cell>
          <cell r="N89">
            <v>40.835930495666652</v>
          </cell>
          <cell r="O89">
            <v>42.864590478803677</v>
          </cell>
          <cell r="P89">
            <v>44.866649945656718</v>
          </cell>
          <cell r="Q89">
            <v>41.425887443422816</v>
          </cell>
          <cell r="R89">
            <v>47.23493568043331</v>
          </cell>
          <cell r="S89">
            <v>47.039508809396693</v>
          </cell>
          <cell r="T89">
            <v>46.864163929707026</v>
          </cell>
          <cell r="U89">
            <v>44.618612688225127</v>
          </cell>
          <cell r="V89">
            <v>42.003567961801821</v>
          </cell>
        </row>
        <row r="90">
          <cell r="B90" t="str">
            <v>Comodoro Rivadavia</v>
          </cell>
          <cell r="C90" t="str">
            <v>...</v>
          </cell>
          <cell r="D90" t="str">
            <v>...</v>
          </cell>
          <cell r="E90">
            <v>50.365963808515282</v>
          </cell>
          <cell r="F90" t="str">
            <v>...</v>
          </cell>
          <cell r="G90">
            <v>46.87833827893175</v>
          </cell>
          <cell r="H90">
            <v>51.71102661596958</v>
          </cell>
          <cell r="I90">
            <v>49.892061175468996</v>
          </cell>
          <cell r="J90">
            <v>58.118178163940506</v>
          </cell>
          <cell r="K90">
            <v>52.461190655614168</v>
          </cell>
          <cell r="L90">
            <v>54.682798395185564</v>
          </cell>
          <cell r="M90">
            <v>52.039825918156488</v>
          </cell>
          <cell r="N90">
            <v>51.705313077283634</v>
          </cell>
          <cell r="O90">
            <v>52.888066707162182</v>
          </cell>
          <cell r="P90">
            <v>56.050460681379896</v>
          </cell>
          <cell r="Q90">
            <v>55.464649998654359</v>
          </cell>
          <cell r="R90">
            <v>56.115417743324727</v>
          </cell>
          <cell r="S90">
            <v>54.232625733118802</v>
          </cell>
          <cell r="T90">
            <v>54.894994473393332</v>
          </cell>
          <cell r="U90">
            <v>50.696408559688358</v>
          </cell>
          <cell r="V90" t="str">
            <v>...</v>
          </cell>
        </row>
        <row r="91">
          <cell r="B91" t="str">
            <v>Paraná</v>
          </cell>
          <cell r="C91">
            <v>31.807074565253497</v>
          </cell>
          <cell r="D91">
            <v>32.970990029932707</v>
          </cell>
          <cell r="E91">
            <v>35.333090332125472</v>
          </cell>
          <cell r="F91">
            <v>35.0391678438423</v>
          </cell>
          <cell r="G91">
            <v>34.828996124196088</v>
          </cell>
          <cell r="H91">
            <v>41.953913941770502</v>
          </cell>
          <cell r="I91">
            <v>40.33013419577042</v>
          </cell>
          <cell r="J91">
            <v>38.237286604642762</v>
          </cell>
          <cell r="K91">
            <v>39.492301290054101</v>
          </cell>
          <cell r="L91">
            <v>41.697923337297595</v>
          </cell>
          <cell r="M91">
            <v>40.276080561212943</v>
          </cell>
          <cell r="N91">
            <v>41.510813280536098</v>
          </cell>
          <cell r="O91">
            <v>41.136045150020159</v>
          </cell>
          <cell r="P91">
            <v>39.641090963584595</v>
          </cell>
          <cell r="Q91">
            <v>39.781526286893474</v>
          </cell>
          <cell r="R91">
            <v>40.616868934343721</v>
          </cell>
          <cell r="S91">
            <v>40.932584687465138</v>
          </cell>
          <cell r="T91">
            <v>43.236478207596704</v>
          </cell>
          <cell r="U91">
            <v>45.830268047460052</v>
          </cell>
          <cell r="V91">
            <v>45.917054856427725</v>
          </cell>
        </row>
        <row r="92">
          <cell r="B92" t="str">
            <v>Concordia</v>
          </cell>
          <cell r="C92" t="str">
            <v>...</v>
          </cell>
          <cell r="D92" t="str">
            <v>...</v>
          </cell>
          <cell r="E92" t="str">
            <v>...</v>
          </cell>
          <cell r="F92" t="str">
            <v>...</v>
          </cell>
          <cell r="G92" t="str">
            <v>...</v>
          </cell>
          <cell r="H92" t="str">
            <v>...</v>
          </cell>
          <cell r="I92" t="str">
            <v>...</v>
          </cell>
          <cell r="J92" t="str">
            <v>...</v>
          </cell>
          <cell r="K92" t="str">
            <v>...</v>
          </cell>
          <cell r="L92" t="str">
            <v>...</v>
          </cell>
          <cell r="M92" t="str">
            <v>...</v>
          </cell>
          <cell r="N92">
            <v>43.688064021794652</v>
          </cell>
          <cell r="O92">
            <v>44.495250248121366</v>
          </cell>
          <cell r="P92">
            <v>42.722077922077922</v>
          </cell>
          <cell r="Q92">
            <v>43.974549604066532</v>
          </cell>
          <cell r="R92">
            <v>50.667388167388175</v>
          </cell>
          <cell r="S92">
            <v>52.314008868451303</v>
          </cell>
          <cell r="T92">
            <v>51.488114835056301</v>
          </cell>
          <cell r="U92">
            <v>52.824769599798003</v>
          </cell>
          <cell r="V92" t="str">
            <v>...</v>
          </cell>
        </row>
        <row r="93">
          <cell r="B93" t="str">
            <v>Formosa</v>
          </cell>
          <cell r="C93" t="str">
            <v>...</v>
          </cell>
          <cell r="D93">
            <v>36.968013011656275</v>
          </cell>
          <cell r="E93">
            <v>26.649305555555557</v>
          </cell>
          <cell r="F93">
            <v>34.567134923227705</v>
          </cell>
          <cell r="G93">
            <v>36.017938895636739</v>
          </cell>
          <cell r="H93">
            <v>33.754439075507946</v>
          </cell>
          <cell r="I93">
            <v>37.337996297058218</v>
          </cell>
          <cell r="J93">
            <v>37.093820158336285</v>
          </cell>
          <cell r="K93">
            <v>40.258625791560632</v>
          </cell>
          <cell r="L93">
            <v>37.497996045529845</v>
          </cell>
          <cell r="M93">
            <v>32.348588177254129</v>
          </cell>
          <cell r="N93">
            <v>34.956376515304214</v>
          </cell>
          <cell r="O93">
            <v>34.275733203347144</v>
          </cell>
          <cell r="P93">
            <v>38.055728223561523</v>
          </cell>
          <cell r="Q93">
            <v>45.780871197309772</v>
          </cell>
          <cell r="R93">
            <v>56.538303874996984</v>
          </cell>
          <cell r="S93">
            <v>52.528809218950066</v>
          </cell>
          <cell r="T93">
            <v>45.588710278516238</v>
          </cell>
          <cell r="U93">
            <v>51.178774843190503</v>
          </cell>
          <cell r="V93" t="str">
            <v>...</v>
          </cell>
        </row>
        <row r="94">
          <cell r="B94" t="str">
            <v xml:space="preserve">S.S. de Jujuy </v>
          </cell>
          <cell r="C94">
            <v>39.290478913120424</v>
          </cell>
          <cell r="D94">
            <v>41.34082655144077</v>
          </cell>
          <cell r="E94">
            <v>41.181208053691279</v>
          </cell>
          <cell r="F94">
            <v>38.886310904872389</v>
          </cell>
          <cell r="G94">
            <v>39.2189552389613</v>
          </cell>
          <cell r="H94">
            <v>40.871012922491481</v>
          </cell>
          <cell r="I94">
            <v>36.632761499924094</v>
          </cell>
          <cell r="J94">
            <v>43.653242677824267</v>
          </cell>
          <cell r="K94">
            <v>41.500090273658145</v>
          </cell>
          <cell r="L94">
            <v>40.301167475978922</v>
          </cell>
          <cell r="M94">
            <v>34.33625680141121</v>
          </cell>
          <cell r="N94">
            <v>40.185825675869268</v>
          </cell>
          <cell r="O94">
            <v>41.189511021028629</v>
          </cell>
          <cell r="P94">
            <v>42.562146248419133</v>
          </cell>
          <cell r="Q94">
            <v>37.736397457758486</v>
          </cell>
          <cell r="R94">
            <v>35.005945731685344</v>
          </cell>
          <cell r="S94">
            <v>42.833459473096191</v>
          </cell>
          <cell r="T94">
            <v>40.163592505939747</v>
          </cell>
          <cell r="U94">
            <v>42.805538832028901</v>
          </cell>
          <cell r="V94">
            <v>40.311373197115387</v>
          </cell>
        </row>
        <row r="95">
          <cell r="B95" t="str">
            <v xml:space="preserve">Santa Rosa y Toay </v>
          </cell>
          <cell r="C95">
            <v>49.717188645647845</v>
          </cell>
          <cell r="D95">
            <v>47.506647132237234</v>
          </cell>
          <cell r="E95">
            <v>41.169876694181191</v>
          </cell>
          <cell r="F95">
            <v>40.654699049630409</v>
          </cell>
          <cell r="G95">
            <v>44.26654695994813</v>
          </cell>
          <cell r="H95">
            <v>46.1825868934664</v>
          </cell>
          <cell r="I95">
            <v>47.624593584704229</v>
          </cell>
          <cell r="J95">
            <v>50.821852731591441</v>
          </cell>
          <cell r="K95">
            <v>50.675706840090406</v>
          </cell>
          <cell r="L95">
            <v>46.494360902255636</v>
          </cell>
          <cell r="M95">
            <v>44.351099481246841</v>
          </cell>
          <cell r="N95">
            <v>45.833680874134622</v>
          </cell>
          <cell r="O95">
            <v>48.235191713452586</v>
          </cell>
          <cell r="P95">
            <v>49.857142857142854</v>
          </cell>
          <cell r="Q95">
            <v>48.869188337273442</v>
          </cell>
          <cell r="R95">
            <v>47.846147726820732</v>
          </cell>
          <cell r="S95">
            <v>47.759433962264154</v>
          </cell>
          <cell r="T95">
            <v>46.282790484554582</v>
          </cell>
          <cell r="U95">
            <v>46.8107948025025</v>
          </cell>
          <cell r="V95">
            <v>43.69938807665531</v>
          </cell>
        </row>
        <row r="96">
          <cell r="B96" t="str">
            <v>La Rioja</v>
          </cell>
          <cell r="C96">
            <v>33.141542002301492</v>
          </cell>
          <cell r="D96">
            <v>33.629054616024398</v>
          </cell>
          <cell r="E96">
            <v>34.864567275930412</v>
          </cell>
          <cell r="F96">
            <v>39.461981164980813</v>
          </cell>
          <cell r="G96">
            <v>32.911168968712765</v>
          </cell>
          <cell r="H96">
            <v>37.744281833318723</v>
          </cell>
          <cell r="I96">
            <v>39.968022462270405</v>
          </cell>
          <cell r="J96">
            <v>36.605504587155963</v>
          </cell>
          <cell r="K96">
            <v>37.694198009079926</v>
          </cell>
          <cell r="L96">
            <v>38.121278405638598</v>
          </cell>
          <cell r="M96">
            <v>34.831024715787841</v>
          </cell>
          <cell r="N96">
            <v>36.538532550496662</v>
          </cell>
          <cell r="O96">
            <v>35.042061929479146</v>
          </cell>
          <cell r="P96">
            <v>40.32492022048158</v>
          </cell>
          <cell r="Q96">
            <v>42.722904431393488</v>
          </cell>
          <cell r="R96">
            <v>43.164362519201227</v>
          </cell>
          <cell r="S96">
            <v>42.898370117731936</v>
          </cell>
          <cell r="T96">
            <v>41.286307053941904</v>
          </cell>
          <cell r="U96">
            <v>41.867291075786554</v>
          </cell>
          <cell r="V96">
            <v>43.11575011684063</v>
          </cell>
        </row>
        <row r="97">
          <cell r="B97" t="str">
            <v>Gran Mendoza</v>
          </cell>
          <cell r="C97">
            <v>41.328815939076222</v>
          </cell>
          <cell r="D97">
            <v>40.865742861244605</v>
          </cell>
          <cell r="E97">
            <v>44.78636945321032</v>
          </cell>
          <cell r="F97">
            <v>49.516648764769066</v>
          </cell>
          <cell r="G97">
            <v>50.315789473684212</v>
          </cell>
          <cell r="H97">
            <v>51.460221550855991</v>
          </cell>
          <cell r="I97">
            <v>52.380952380952387</v>
          </cell>
          <cell r="J97">
            <v>54.270270270270274</v>
          </cell>
          <cell r="K97">
            <v>51.179487179487182</v>
          </cell>
          <cell r="L97">
            <v>52.526315789473685</v>
          </cell>
          <cell r="M97">
            <v>48.992576882290564</v>
          </cell>
          <cell r="N97">
            <v>43.036649214659683</v>
          </cell>
          <cell r="O97">
            <v>47.274633123689732</v>
          </cell>
          <cell r="P97">
            <v>47.028154327424396</v>
          </cell>
          <cell r="Q97">
            <v>47.770700636942678</v>
          </cell>
          <cell r="R97">
            <v>50.883002207505527</v>
          </cell>
          <cell r="S97">
            <v>49.401778304682871</v>
          </cell>
          <cell r="T97" t="str">
            <v>...</v>
          </cell>
          <cell r="U97">
            <v>53.550231029390751</v>
          </cell>
          <cell r="V97">
            <v>49.721485791947018</v>
          </cell>
        </row>
        <row r="98">
          <cell r="B98" t="str">
            <v>Posadas</v>
          </cell>
          <cell r="C98" t="str">
            <v>...</v>
          </cell>
          <cell r="D98">
            <v>42.822804601992956</v>
          </cell>
          <cell r="E98">
            <v>45.68182310978122</v>
          </cell>
          <cell r="F98">
            <v>42.985111509235807</v>
          </cell>
          <cell r="G98">
            <v>38.844975687080954</v>
          </cell>
          <cell r="H98">
            <v>46.646499071397116</v>
          </cell>
          <cell r="I98">
            <v>41.151735711726658</v>
          </cell>
          <cell r="J98">
            <v>42.880174838328287</v>
          </cell>
          <cell r="K98">
            <v>42.060816933057879</v>
          </cell>
          <cell r="L98">
            <v>44.474156433623023</v>
          </cell>
          <cell r="M98">
            <v>39.42307692307692</v>
          </cell>
          <cell r="N98">
            <v>43.052225008695018</v>
          </cell>
          <cell r="O98">
            <v>47.363014326857815</v>
          </cell>
          <cell r="P98">
            <v>42.888279419510688</v>
          </cell>
          <cell r="Q98">
            <v>45.837377332039253</v>
          </cell>
          <cell r="R98">
            <v>50.828883472565913</v>
          </cell>
          <cell r="S98">
            <v>52.037939898945126</v>
          </cell>
          <cell r="T98">
            <v>48.303944606884677</v>
          </cell>
          <cell r="U98">
            <v>48.997462823313839</v>
          </cell>
          <cell r="V98">
            <v>48.279355824949342</v>
          </cell>
        </row>
        <row r="99">
          <cell r="B99" t="str">
            <v>Neuquén y Plottier</v>
          </cell>
          <cell r="C99">
            <v>48.827593037363506</v>
          </cell>
          <cell r="D99">
            <v>47.479727700470519</v>
          </cell>
          <cell r="E99">
            <v>46.116493184932331</v>
          </cell>
          <cell r="F99">
            <v>45.6334212590005</v>
          </cell>
          <cell r="G99">
            <v>46.265455158950139</v>
          </cell>
          <cell r="H99">
            <v>46.667650023354724</v>
          </cell>
          <cell r="I99">
            <v>41.303139761044733</v>
          </cell>
          <cell r="J99">
            <v>42.557446997644341</v>
          </cell>
          <cell r="K99">
            <v>46.914996100738563</v>
          </cell>
          <cell r="L99">
            <v>49.121458379090711</v>
          </cell>
          <cell r="M99">
            <v>44.997726731472859</v>
          </cell>
          <cell r="N99">
            <v>42.391981627530214</v>
          </cell>
          <cell r="O99">
            <v>41.285833171025374</v>
          </cell>
          <cell r="P99">
            <v>45.076872181498437</v>
          </cell>
          <cell r="Q99">
            <v>48.579935101863313</v>
          </cell>
          <cell r="R99">
            <v>47.369920879710335</v>
          </cell>
          <cell r="S99">
            <v>45.097682119205295</v>
          </cell>
          <cell r="T99">
            <v>43.286960100026903</v>
          </cell>
          <cell r="U99">
            <v>49.423828451184079</v>
          </cell>
          <cell r="V99">
            <v>43.758306590164999</v>
          </cell>
        </row>
        <row r="100">
          <cell r="B100" t="str">
            <v>Salta</v>
          </cell>
          <cell r="C100">
            <v>39.492119089316994</v>
          </cell>
          <cell r="D100">
            <v>37.296159915833769</v>
          </cell>
          <cell r="E100">
            <v>39.235094375936541</v>
          </cell>
          <cell r="F100">
            <v>43.007948508094159</v>
          </cell>
          <cell r="G100">
            <v>40.886140036397975</v>
          </cell>
          <cell r="H100">
            <v>43.582303237929672</v>
          </cell>
          <cell r="I100">
            <v>43.640753766206494</v>
          </cell>
          <cell r="J100">
            <v>42.891305209475618</v>
          </cell>
          <cell r="K100">
            <v>40.547244298997455</v>
          </cell>
          <cell r="L100">
            <v>41.56857098287675</v>
          </cell>
          <cell r="M100">
            <v>40.557068521130184</v>
          </cell>
          <cell r="N100">
            <v>38.823452427692715</v>
          </cell>
          <cell r="O100">
            <v>39.556603974980256</v>
          </cell>
          <cell r="P100">
            <v>47.728801763136524</v>
          </cell>
          <cell r="Q100">
            <v>43.38758535708785</v>
          </cell>
          <cell r="R100">
            <v>46.871097683786509</v>
          </cell>
          <cell r="S100">
            <v>44.284115555643588</v>
          </cell>
          <cell r="T100">
            <v>45.926617852371912</v>
          </cell>
          <cell r="U100">
            <v>46.44132950221325</v>
          </cell>
          <cell r="V100" t="str">
            <v>...</v>
          </cell>
        </row>
        <row r="101">
          <cell r="B101" t="str">
            <v>Gran San Juan</v>
          </cell>
          <cell r="C101">
            <v>37.306530022336091</v>
          </cell>
          <cell r="D101">
            <v>39.743557854939809</v>
          </cell>
          <cell r="E101">
            <v>34.140202151940009</v>
          </cell>
          <cell r="F101">
            <v>41.585273210700521</v>
          </cell>
          <cell r="G101">
            <v>41.033957862091533</v>
          </cell>
          <cell r="H101">
            <v>46.062020130768602</v>
          </cell>
          <cell r="I101">
            <v>45.002976029435636</v>
          </cell>
          <cell r="J101">
            <v>50.704495228849176</v>
          </cell>
          <cell r="K101">
            <v>46.412906103635414</v>
          </cell>
          <cell r="L101">
            <v>44.415292796785437</v>
          </cell>
          <cell r="M101">
            <v>40.488835316442099</v>
          </cell>
          <cell r="N101">
            <v>39.105069581358883</v>
          </cell>
          <cell r="O101">
            <v>40.885989790130459</v>
          </cell>
          <cell r="P101">
            <v>38.943426662057838</v>
          </cell>
          <cell r="Q101">
            <v>39.896609735173861</v>
          </cell>
          <cell r="R101">
            <v>45.268820789845165</v>
          </cell>
          <cell r="S101">
            <v>43.662878911921055</v>
          </cell>
          <cell r="T101">
            <v>44.790707718185644</v>
          </cell>
          <cell r="U101">
            <v>46.472154910821487</v>
          </cell>
          <cell r="V101" t="str">
            <v>...</v>
          </cell>
        </row>
        <row r="102">
          <cell r="B102" t="str">
            <v>San Luis-El Chorrillo</v>
          </cell>
          <cell r="C102">
            <v>36.936360729133355</v>
          </cell>
          <cell r="D102">
            <v>40.129767248858876</v>
          </cell>
          <cell r="E102">
            <v>40.353277270349658</v>
          </cell>
          <cell r="F102">
            <v>46.78389814060013</v>
          </cell>
          <cell r="G102">
            <v>49.387380777696258</v>
          </cell>
          <cell r="H102">
            <v>50.312568147125106</v>
          </cell>
          <cell r="I102">
            <v>48.431041299737608</v>
          </cell>
          <cell r="J102">
            <v>50.468331070023332</v>
          </cell>
          <cell r="K102">
            <v>50.953687940798389</v>
          </cell>
          <cell r="L102">
            <v>48.222862632084535</v>
          </cell>
          <cell r="M102">
            <v>0</v>
          </cell>
          <cell r="N102">
            <v>45.69795967211153</v>
          </cell>
          <cell r="O102">
            <v>48.187176281478834</v>
          </cell>
          <cell r="P102">
            <v>47.252030592280789</v>
          </cell>
          <cell r="Q102">
            <v>47.799471040979462</v>
          </cell>
          <cell r="R102">
            <v>47.752361443040861</v>
          </cell>
          <cell r="S102">
            <v>55.424227290383442</v>
          </cell>
          <cell r="T102">
            <v>50.154295923339291</v>
          </cell>
          <cell r="U102">
            <v>51.590725638099478</v>
          </cell>
          <cell r="V102">
            <v>52.071237159446184</v>
          </cell>
        </row>
        <row r="103">
          <cell r="B103" t="str">
            <v>Río Gallegos</v>
          </cell>
          <cell r="C103">
            <v>33.383213168276427</v>
          </cell>
          <cell r="D103">
            <v>33.172558228089102</v>
          </cell>
          <cell r="E103">
            <v>23.062214027180222</v>
          </cell>
          <cell r="F103">
            <v>33.955511893902184</v>
          </cell>
          <cell r="G103">
            <v>37.576304106548278</v>
          </cell>
          <cell r="H103">
            <v>42.557859721140915</v>
          </cell>
          <cell r="I103">
            <v>44.875462220051631</v>
          </cell>
          <cell r="J103">
            <v>45.766200582014335</v>
          </cell>
          <cell r="K103">
            <v>42.305308820491632</v>
          </cell>
          <cell r="L103">
            <v>45.295184364295785</v>
          </cell>
          <cell r="M103">
            <v>45.959227040308122</v>
          </cell>
          <cell r="N103">
            <v>44.053220834009409</v>
          </cell>
          <cell r="O103">
            <v>46.742662334203381</v>
          </cell>
          <cell r="P103">
            <v>44.678609062170707</v>
          </cell>
          <cell r="Q103">
            <v>45.029178824510211</v>
          </cell>
          <cell r="R103">
            <v>47.839506172839506</v>
          </cell>
          <cell r="S103">
            <v>46.946126539987468</v>
          </cell>
          <cell r="T103">
            <v>42.516989423126056</v>
          </cell>
          <cell r="U103">
            <v>45.264116575591984</v>
          </cell>
          <cell r="V103" t="str">
            <v>...</v>
          </cell>
        </row>
        <row r="104">
          <cell r="B104" t="str">
            <v>Gran Rosario</v>
          </cell>
          <cell r="C104">
            <v>37.296181630546954</v>
          </cell>
          <cell r="D104">
            <v>40.211251595753986</v>
          </cell>
          <cell r="E104">
            <v>39.28974263745031</v>
          </cell>
          <cell r="F104">
            <v>39.980340714794998</v>
          </cell>
          <cell r="G104">
            <v>40.536223215228176</v>
          </cell>
          <cell r="H104">
            <v>45.360007889465862</v>
          </cell>
          <cell r="I104">
            <v>41.297234897128341</v>
          </cell>
          <cell r="J104">
            <v>40.211369354137972</v>
          </cell>
          <cell r="K104">
            <v>41.431622797707497</v>
          </cell>
          <cell r="L104">
            <v>43.273326640800938</v>
          </cell>
          <cell r="M104">
            <v>33.282569131995352</v>
          </cell>
          <cell r="N104">
            <v>39.197161380179402</v>
          </cell>
          <cell r="O104">
            <v>38.256800518134717</v>
          </cell>
          <cell r="P104">
            <v>36.785046851968836</v>
          </cell>
          <cell r="Q104">
            <v>36.785046851968836</v>
          </cell>
          <cell r="R104">
            <v>37.165093496202743</v>
          </cell>
          <cell r="S104">
            <v>39.871337455096409</v>
          </cell>
          <cell r="T104">
            <v>42.505915947278666</v>
          </cell>
          <cell r="U104">
            <v>38.233622395031233</v>
          </cell>
          <cell r="V104">
            <v>40.058244348911387</v>
          </cell>
        </row>
        <row r="105">
          <cell r="B105" t="str">
            <v>Santa Fe-Santo Tomé</v>
          </cell>
          <cell r="C105">
            <v>33.483159117305462</v>
          </cell>
          <cell r="D105">
            <v>36.094121357528245</v>
          </cell>
          <cell r="E105">
            <v>37.228472126949285</v>
          </cell>
          <cell r="F105">
            <v>36.586589862756654</v>
          </cell>
          <cell r="G105">
            <v>37.653209611522747</v>
          </cell>
          <cell r="H105">
            <v>34.806284592037137</v>
          </cell>
          <cell r="I105">
            <v>37.546519935591881</v>
          </cell>
          <cell r="J105">
            <v>39.736309774405207</v>
          </cell>
          <cell r="K105">
            <v>34.372408709806216</v>
          </cell>
          <cell r="L105">
            <v>33.751012278666636</v>
          </cell>
          <cell r="M105">
            <v>29.473672536929424</v>
          </cell>
          <cell r="N105">
            <v>31.560276560678542</v>
          </cell>
          <cell r="O105">
            <v>33.638171789456415</v>
          </cell>
          <cell r="P105">
            <v>33.581673142101351</v>
          </cell>
          <cell r="Q105">
            <v>33.581673142101351</v>
          </cell>
          <cell r="R105">
            <v>40.338523895196147</v>
          </cell>
          <cell r="S105">
            <v>40.656370656370655</v>
          </cell>
          <cell r="T105">
            <v>42.242975923079953</v>
          </cell>
          <cell r="U105">
            <v>43.468801313628902</v>
          </cell>
          <cell r="V105" t="str">
            <v>...</v>
          </cell>
        </row>
        <row r="106">
          <cell r="B106" t="str">
            <v>Santiago del Estero y La Banda</v>
          </cell>
          <cell r="C106" t="str">
            <v>...</v>
          </cell>
          <cell r="D106">
            <v>34.546872188568344</v>
          </cell>
          <cell r="E106">
            <v>28.80762612977869</v>
          </cell>
          <cell r="F106">
            <v>36.255465271816171</v>
          </cell>
          <cell r="G106">
            <v>36.790645701971428</v>
          </cell>
          <cell r="H106">
            <v>36.953081806569692</v>
          </cell>
          <cell r="I106">
            <v>39.314972154112262</v>
          </cell>
          <cell r="J106">
            <v>36.218145761031231</v>
          </cell>
          <cell r="K106">
            <v>37.572195141932582</v>
          </cell>
          <cell r="L106">
            <v>38.391719745222929</v>
          </cell>
          <cell r="M106">
            <v>34.974213812090426</v>
          </cell>
          <cell r="N106">
            <v>36.749399519615693</v>
          </cell>
          <cell r="O106">
            <v>35.306200838357356</v>
          </cell>
          <cell r="P106">
            <v>35.391262281682152</v>
          </cell>
          <cell r="Q106">
            <v>37.545733699202927</v>
          </cell>
          <cell r="R106">
            <v>44.314039718451482</v>
          </cell>
          <cell r="S106">
            <v>43.27888596161084</v>
          </cell>
          <cell r="T106">
            <v>36.821404215501246</v>
          </cell>
          <cell r="U106">
            <v>41.550904995972317</v>
          </cell>
          <cell r="V106">
            <v>43.299399466906451</v>
          </cell>
        </row>
        <row r="107">
          <cell r="B107" t="str">
            <v>Ushuaia-Río Grande</v>
          </cell>
          <cell r="C107" t="str">
            <v>...</v>
          </cell>
          <cell r="D107">
            <v>43.674903649965998</v>
          </cell>
          <cell r="E107">
            <v>38.929868986017837</v>
          </cell>
          <cell r="F107">
            <v>42.687027950824188</v>
          </cell>
          <cell r="G107">
            <v>45.00692414217572</v>
          </cell>
          <cell r="H107">
            <v>43.116188878989568</v>
          </cell>
          <cell r="I107">
            <v>46.680080482897388</v>
          </cell>
          <cell r="J107">
            <v>44.580777096114524</v>
          </cell>
          <cell r="K107">
            <v>46.60377358490566</v>
          </cell>
          <cell r="L107">
            <v>48.257146867543163</v>
          </cell>
          <cell r="M107">
            <v>44.16967763127024</v>
          </cell>
          <cell r="N107">
            <v>40.597494922139468</v>
          </cell>
          <cell r="O107">
            <v>40.807862978476336</v>
          </cell>
          <cell r="P107">
            <v>39.783513738551207</v>
          </cell>
          <cell r="Q107">
            <v>41.512605042016808</v>
          </cell>
          <cell r="R107">
            <v>46.650823700004032</v>
          </cell>
          <cell r="S107">
            <v>43.98089294656959</v>
          </cell>
          <cell r="T107">
            <v>42.745593812746336</v>
          </cell>
          <cell r="U107">
            <v>46.721940733916782</v>
          </cell>
          <cell r="V107">
            <v>51.606628511577448</v>
          </cell>
        </row>
        <row r="108">
          <cell r="B108" t="str">
            <v>Gran Tucumán y Tafí Viejo</v>
          </cell>
          <cell r="C108">
            <v>36.413802323163303</v>
          </cell>
          <cell r="D108">
            <v>38.673486602966214</v>
          </cell>
          <cell r="E108">
            <v>31.794119113948398</v>
          </cell>
          <cell r="F108">
            <v>40.096997921473111</v>
          </cell>
          <cell r="G108">
            <v>41.802393868004586</v>
          </cell>
          <cell r="H108">
            <v>43.500536406899016</v>
          </cell>
          <cell r="I108">
            <v>41.192448184968619</v>
          </cell>
          <cell r="J108">
            <v>39.296777885203525</v>
          </cell>
          <cell r="K108">
            <v>41.896162824245287</v>
          </cell>
          <cell r="L108">
            <v>33.985929932477816</v>
          </cell>
          <cell r="M108">
            <v>43.373353751914237</v>
          </cell>
          <cell r="N108">
            <v>38.054138189308119</v>
          </cell>
          <cell r="O108">
            <v>33.526207697115815</v>
          </cell>
          <cell r="P108">
            <v>33.152393135797347</v>
          </cell>
          <cell r="Q108">
            <v>39.350022208808355</v>
          </cell>
          <cell r="R108">
            <v>44.011066106923138</v>
          </cell>
          <cell r="S108">
            <v>43.665112741228199</v>
          </cell>
          <cell r="T108">
            <v>41.111612575195814</v>
          </cell>
          <cell r="U108">
            <v>37.808192803832519</v>
          </cell>
          <cell r="V108">
            <v>38.99304923118504</v>
          </cell>
        </row>
        <row r="109">
          <cell r="B109" t="str">
            <v>Total aglomerados del interior</v>
          </cell>
          <cell r="C109">
            <v>37.710168642702044</v>
          </cell>
          <cell r="D109">
            <v>39.513575865530832</v>
          </cell>
          <cell r="E109">
            <v>38.801771762936809</v>
          </cell>
          <cell r="F109">
            <v>41.743395498107994</v>
          </cell>
          <cell r="G109">
            <v>43.143346707148012</v>
          </cell>
          <cell r="H109">
            <v>44.917600186272736</v>
          </cell>
          <cell r="I109">
            <v>43.653992860248728</v>
          </cell>
          <cell r="J109">
            <v>43.925381802361613</v>
          </cell>
          <cell r="K109">
            <v>43.905667364345433</v>
          </cell>
          <cell r="L109">
            <v>43.487947340637731</v>
          </cell>
          <cell r="M109">
            <v>39.497206262397953</v>
          </cell>
          <cell r="N109">
            <v>39.866871663924378</v>
          </cell>
          <cell r="O109">
            <v>40.570697670465648</v>
          </cell>
          <cell r="P109">
            <v>41.415337391808187</v>
          </cell>
          <cell r="Q109">
            <v>41.546541160859604</v>
          </cell>
          <cell r="R109">
            <v>43.765887688045382</v>
          </cell>
          <cell r="S109">
            <v>45.02431383428906</v>
          </cell>
          <cell r="T109">
            <v>44.141143793865723</v>
          </cell>
          <cell r="U109">
            <v>45.512368433708936</v>
          </cell>
          <cell r="V109">
            <v>43.714470230165624</v>
          </cell>
        </row>
      </sheetData>
      <sheetData sheetId="2">
        <row r="77">
          <cell r="B77" t="str">
            <v>aglocuadro</v>
          </cell>
          <cell r="C77" t="str">
            <v>Mayo</v>
          </cell>
          <cell r="D77" t="str">
            <v>Octubre</v>
          </cell>
          <cell r="E77" t="str">
            <v>Junio</v>
          </cell>
          <cell r="F77" t="str">
            <v>Octubre</v>
          </cell>
          <cell r="G77" t="str">
            <v>Mayo</v>
          </cell>
          <cell r="H77" t="str">
            <v>Octubre</v>
          </cell>
          <cell r="I77" t="str">
            <v>Mayo</v>
          </cell>
          <cell r="J77" t="str">
            <v>Octubre</v>
          </cell>
          <cell r="K77" t="str">
            <v>Mayo</v>
          </cell>
          <cell r="L77" t="str">
            <v>Octubre</v>
          </cell>
          <cell r="M77" t="str">
            <v>Mayo</v>
          </cell>
          <cell r="N77" t="str">
            <v>Octubre</v>
          </cell>
          <cell r="O77" t="str">
            <v>Abril</v>
          </cell>
          <cell r="P77" t="str">
            <v>Octubre</v>
          </cell>
          <cell r="Q77" t="str">
            <v>Mayo</v>
          </cell>
          <cell r="R77" t="str">
            <v>Octubre</v>
          </cell>
          <cell r="S77" t="str">
            <v>Mayo</v>
          </cell>
          <cell r="T77" t="str">
            <v>Agosto</v>
          </cell>
          <cell r="U77" t="str">
            <v>Octubre</v>
          </cell>
          <cell r="V77" t="str">
            <v>Mayo</v>
          </cell>
        </row>
        <row r="78">
          <cell r="B78" t="str">
            <v>Total aglomerados urbanos</v>
          </cell>
          <cell r="C78">
            <v>19.9707604161635</v>
          </cell>
          <cell r="D78">
            <v>22.395127045520841</v>
          </cell>
          <cell r="E78">
            <v>21.612535672325876</v>
          </cell>
          <cell r="F78">
            <v>22.135426550381073</v>
          </cell>
          <cell r="G78">
            <v>22.283444041023664</v>
          </cell>
          <cell r="H78">
            <v>24.032573189542983</v>
          </cell>
          <cell r="I78">
            <v>21.988765327607439</v>
          </cell>
          <cell r="J78">
            <v>23.212569212533563</v>
          </cell>
          <cell r="K78">
            <v>22.636041733055247</v>
          </cell>
          <cell r="L78">
            <v>20.938119970144754</v>
          </cell>
          <cell r="M78">
            <v>20.994951875220313</v>
          </cell>
          <cell r="N78">
            <v>19.803442205854928</v>
          </cell>
          <cell r="O78">
            <v>22.119823875371107</v>
          </cell>
          <cell r="P78">
            <v>20.813095500008462</v>
          </cell>
          <cell r="Q78">
            <v>21.566828167369373</v>
          </cell>
          <cell r="R78">
            <v>23.982008665045701</v>
          </cell>
          <cell r="S78">
            <v>23.836782842631017</v>
          </cell>
          <cell r="T78">
            <v>22.720827169595793</v>
          </cell>
          <cell r="U78">
            <v>24.253617519536842</v>
          </cell>
          <cell r="V78">
            <v>24.319665731391211</v>
          </cell>
        </row>
        <row r="79">
          <cell r="B79" t="str">
            <v>Capital Federal</v>
          </cell>
          <cell r="C79">
            <v>16.407720294345861</v>
          </cell>
          <cell r="D79">
            <v>21.386912892363036</v>
          </cell>
          <cell r="E79">
            <v>18.80947332149389</v>
          </cell>
          <cell r="F79">
            <v>19.98312591558166</v>
          </cell>
          <cell r="G79">
            <v>22.316286124623886</v>
          </cell>
          <cell r="H79">
            <v>23.746844364813661</v>
          </cell>
          <cell r="I79">
            <v>19.488136246363801</v>
          </cell>
          <cell r="J79">
            <v>21.001289375358816</v>
          </cell>
          <cell r="K79">
            <v>21.555036954490259</v>
          </cell>
          <cell r="L79">
            <v>19.91919875414828</v>
          </cell>
          <cell r="M79">
            <v>22.628699020848519</v>
          </cell>
          <cell r="N79">
            <v>17.07673261471254</v>
          </cell>
          <cell r="O79">
            <v>22.202064762004202</v>
          </cell>
          <cell r="P79">
            <v>22.505315083076219</v>
          </cell>
          <cell r="Q79">
            <v>23.260148785921984</v>
          </cell>
          <cell r="R79">
            <v>25.718011831260611</v>
          </cell>
          <cell r="S79">
            <v>24.100785871476631</v>
          </cell>
          <cell r="T79">
            <v>25.473006134969324</v>
          </cell>
          <cell r="U79">
            <v>24.882316621928737</v>
          </cell>
          <cell r="V79">
            <v>25.271040762488301</v>
          </cell>
        </row>
        <row r="80">
          <cell r="B80" t="str">
            <v>Partidos del Conurbano</v>
          </cell>
          <cell r="C80">
            <v>22.573310341570334</v>
          </cell>
          <cell r="D80">
            <v>23.74433635804732</v>
          </cell>
          <cell r="E80">
            <v>24.17597284400059</v>
          </cell>
          <cell r="F80">
            <v>23.053340945513558</v>
          </cell>
          <cell r="G80">
            <v>22.284365268173588</v>
          </cell>
          <cell r="H80">
            <v>25.399782114710995</v>
          </cell>
          <cell r="I80">
            <v>22.566022276795959</v>
          </cell>
          <cell r="J80">
            <v>24.10147959249916</v>
          </cell>
          <cell r="K80">
            <v>23.475717689475402</v>
          </cell>
          <cell r="L80">
            <v>20.515252477310703</v>
          </cell>
          <cell r="M80">
            <v>20.750123870169944</v>
          </cell>
          <cell r="N80">
            <v>19.383042070815247</v>
          </cell>
          <cell r="O80">
            <v>21.881781480608602</v>
          </cell>
          <cell r="P80">
            <v>18.986665832377575</v>
          </cell>
          <cell r="Q80">
            <v>21.057417121650072</v>
          </cell>
          <cell r="R80">
            <v>23.924881037217535</v>
          </cell>
          <cell r="S80">
            <v>24.049946970927511</v>
          </cell>
          <cell r="T80">
            <v>22.20651364507172</v>
          </cell>
          <cell r="U80">
            <v>23.297238069133464</v>
          </cell>
          <cell r="V80">
            <v>23.650727197759917</v>
          </cell>
        </row>
        <row r="81">
          <cell r="B81" t="str">
            <v>Gran Buenos Aires</v>
          </cell>
          <cell r="C81">
            <v>20.321982932175406</v>
          </cell>
          <cell r="D81">
            <v>22.897726479360799</v>
          </cell>
          <cell r="E81">
            <v>22.225279952981868</v>
          </cell>
          <cell r="F81">
            <v>21.981527174529962</v>
          </cell>
          <cell r="G81">
            <v>22.295381858668602</v>
          </cell>
          <cell r="H81">
            <v>24.837150850358153</v>
          </cell>
          <cell r="I81">
            <v>21.593324719429305</v>
          </cell>
          <cell r="J81">
            <v>23.086295146299307</v>
          </cell>
          <cell r="K81">
            <v>22.875003516610384</v>
          </cell>
          <cell r="L81">
            <v>20.324273540970992</v>
          </cell>
          <cell r="M81">
            <v>21.353810162701127</v>
          </cell>
          <cell r="N81">
            <v>18.647796797471685</v>
          </cell>
          <cell r="O81">
            <v>21.984040170432646</v>
          </cell>
          <cell r="P81">
            <v>20.094501722398387</v>
          </cell>
          <cell r="Q81">
            <v>21.764222618052273</v>
          </cell>
          <cell r="R81">
            <v>24.51387883875076</v>
          </cell>
          <cell r="S81">
            <v>24.066183223233899</v>
          </cell>
          <cell r="T81">
            <v>23.198019737448544</v>
          </cell>
          <cell r="U81">
            <v>23.79767812244236</v>
          </cell>
          <cell r="V81">
            <v>24.150925882547135</v>
          </cell>
        </row>
        <row r="82">
          <cell r="B82" t="str">
            <v>Bahía Blanca</v>
          </cell>
          <cell r="C82">
            <v>16.819684171869262</v>
          </cell>
          <cell r="D82">
            <v>20.82616179001721</v>
          </cell>
          <cell r="E82">
            <v>20.168828814832075</v>
          </cell>
          <cell r="F82">
            <v>25.206369364528889</v>
          </cell>
          <cell r="G82">
            <v>21.311704331230942</v>
          </cell>
          <cell r="H82">
            <v>20.864401482341385</v>
          </cell>
          <cell r="I82">
            <v>19.397044695548743</v>
          </cell>
          <cell r="J82">
            <v>20.802690957713523</v>
          </cell>
          <cell r="K82">
            <v>21.824312788116785</v>
          </cell>
          <cell r="L82">
            <v>16.337928743459845</v>
          </cell>
          <cell r="M82">
            <v>16.463158824438608</v>
          </cell>
          <cell r="N82">
            <v>19.624742767219466</v>
          </cell>
          <cell r="O82">
            <v>18.250034107963074</v>
          </cell>
          <cell r="P82">
            <v>18.499153577474448</v>
          </cell>
          <cell r="Q82">
            <v>18.499153577474448</v>
          </cell>
          <cell r="R82">
            <v>28.774052357750435</v>
          </cell>
          <cell r="S82">
            <v>22.305657002310504</v>
          </cell>
          <cell r="T82">
            <v>22.952418873183355</v>
          </cell>
          <cell r="U82">
            <v>18.452148055403399</v>
          </cell>
          <cell r="V82" t="str">
            <v>...</v>
          </cell>
        </row>
        <row r="83">
          <cell r="B83" t="str">
            <v>Gran La Plata</v>
          </cell>
          <cell r="C83">
            <v>13.469512195121952</v>
          </cell>
          <cell r="D83">
            <v>18.809698750918439</v>
          </cell>
          <cell r="E83">
            <v>17.03906158607268</v>
          </cell>
          <cell r="F83">
            <v>23.543857831200459</v>
          </cell>
          <cell r="G83">
            <v>20.966234610540003</v>
          </cell>
          <cell r="H83">
            <v>22.26590489120187</v>
          </cell>
          <cell r="I83">
            <v>21.996688310480195</v>
          </cell>
          <cell r="J83">
            <v>21.77034417454152</v>
          </cell>
          <cell r="K83">
            <v>19.064441203478637</v>
          </cell>
          <cell r="L83">
            <v>20.688748419721872</v>
          </cell>
          <cell r="M83">
            <v>16.386633774388876</v>
          </cell>
          <cell r="N83">
            <v>18.615129039836226</v>
          </cell>
          <cell r="O83">
            <v>17.320320501235013</v>
          </cell>
          <cell r="P83">
            <v>17.410172952964452</v>
          </cell>
          <cell r="Q83">
            <v>17.410172952964452</v>
          </cell>
          <cell r="R83">
            <v>18.876623734254398</v>
          </cell>
          <cell r="S83">
            <v>21.893495928358597</v>
          </cell>
          <cell r="T83">
            <v>19.038595627742914</v>
          </cell>
          <cell r="U83">
            <v>22.499523876555681</v>
          </cell>
          <cell r="V83" t="str">
            <v>...</v>
          </cell>
        </row>
        <row r="84">
          <cell r="B84" t="str">
            <v>Mar del Plata y Batán</v>
          </cell>
          <cell r="C84" t="str">
            <v>...</v>
          </cell>
          <cell r="D84" t="str">
            <v>...</v>
          </cell>
          <cell r="E84" t="str">
            <v>...</v>
          </cell>
          <cell r="F84" t="str">
            <v>...</v>
          </cell>
          <cell r="G84" t="str">
            <v>...</v>
          </cell>
          <cell r="H84" t="str">
            <v>...</v>
          </cell>
          <cell r="I84" t="str">
            <v>...</v>
          </cell>
          <cell r="J84" t="str">
            <v>...</v>
          </cell>
          <cell r="K84" t="str">
            <v>...</v>
          </cell>
          <cell r="L84" t="str">
            <v>...</v>
          </cell>
          <cell r="M84" t="str">
            <v>...</v>
          </cell>
          <cell r="N84">
            <v>25.451040378852962</v>
          </cell>
          <cell r="O84">
            <v>28.459284069499684</v>
          </cell>
          <cell r="P84">
            <v>27.918011413426807</v>
          </cell>
          <cell r="Q84">
            <v>21.50155446066578</v>
          </cell>
          <cell r="R84">
            <v>21.25325027859531</v>
          </cell>
          <cell r="S84">
            <v>20.30556676079064</v>
          </cell>
          <cell r="T84">
            <v>24.165428210190093</v>
          </cell>
          <cell r="U84">
            <v>28.870799369211291</v>
          </cell>
          <cell r="V84" t="str">
            <v>...</v>
          </cell>
        </row>
        <row r="85">
          <cell r="B85" t="str">
            <v>Gran Catamarca</v>
          </cell>
          <cell r="C85">
            <v>18.462419652517024</v>
          </cell>
          <cell r="D85">
            <v>18.421214924452666</v>
          </cell>
          <cell r="E85">
            <v>17.205034410068819</v>
          </cell>
          <cell r="F85">
            <v>18.608101135190918</v>
          </cell>
          <cell r="G85">
            <v>21.32047839882841</v>
          </cell>
          <cell r="H85">
            <v>22.927553444180525</v>
          </cell>
          <cell r="I85">
            <v>22.284013032243568</v>
          </cell>
          <cell r="J85">
            <v>21.733610341643583</v>
          </cell>
          <cell r="K85">
            <v>18.187344570323294</v>
          </cell>
          <cell r="L85">
            <v>18.394254475292097</v>
          </cell>
          <cell r="M85">
            <v>18.893916540975365</v>
          </cell>
          <cell r="N85">
            <v>21.372435255024001</v>
          </cell>
          <cell r="O85">
            <v>18.56094416344342</v>
          </cell>
          <cell r="P85">
            <v>22.713263333855718</v>
          </cell>
          <cell r="Q85">
            <v>19.851521263356648</v>
          </cell>
          <cell r="R85">
            <v>23.722955381991202</v>
          </cell>
          <cell r="S85">
            <v>19.393168763975975</v>
          </cell>
          <cell r="T85">
            <v>17.847286108555657</v>
          </cell>
          <cell r="U85">
            <v>24.255037366379717</v>
          </cell>
          <cell r="V85">
            <v>25.02076822659124</v>
          </cell>
        </row>
        <row r="86">
          <cell r="B86" t="str">
            <v>Gran Córdoba</v>
          </cell>
          <cell r="C86">
            <v>22.407173466101902</v>
          </cell>
          <cell r="D86">
            <v>25.960263346281582</v>
          </cell>
          <cell r="E86">
            <v>26.471174324038209</v>
          </cell>
          <cell r="F86">
            <v>24.749574691536207</v>
          </cell>
          <cell r="G86">
            <v>26.98812036718865</v>
          </cell>
          <cell r="H86">
            <v>25.276298288829381</v>
          </cell>
          <cell r="I86">
            <v>26.629764906765573</v>
          </cell>
          <cell r="J86">
            <v>27.638010270009101</v>
          </cell>
          <cell r="K86">
            <v>23.967908358628382</v>
          </cell>
          <cell r="L86">
            <v>21.167221518888422</v>
          </cell>
          <cell r="M86">
            <v>21.848851462985664</v>
          </cell>
          <cell r="N86">
            <v>18.113842823879224</v>
          </cell>
          <cell r="O86">
            <v>20.366224703419398</v>
          </cell>
          <cell r="P86" t="str">
            <v>...</v>
          </cell>
          <cell r="Q86">
            <v>20.168596004035489</v>
          </cell>
          <cell r="R86">
            <v>22.512935975484442</v>
          </cell>
          <cell r="S86">
            <v>21.979263624734322</v>
          </cell>
          <cell r="T86">
            <v>20.414342237841289</v>
          </cell>
          <cell r="U86">
            <v>25.804922717295774</v>
          </cell>
          <cell r="V86">
            <v>25.388941130466357</v>
          </cell>
        </row>
        <row r="87">
          <cell r="B87" t="str">
            <v>Río Cuarto</v>
          </cell>
          <cell r="C87" t="str">
            <v>...</v>
          </cell>
          <cell r="D87" t="str">
            <v>...</v>
          </cell>
          <cell r="E87" t="str">
            <v>...</v>
          </cell>
          <cell r="F87" t="str">
            <v>...</v>
          </cell>
          <cell r="G87" t="str">
            <v>...</v>
          </cell>
          <cell r="H87" t="str">
            <v>...</v>
          </cell>
          <cell r="I87" t="str">
            <v>...</v>
          </cell>
          <cell r="J87" t="str">
            <v>...</v>
          </cell>
          <cell r="K87" t="str">
            <v>...</v>
          </cell>
          <cell r="L87" t="str">
            <v>...</v>
          </cell>
          <cell r="M87" t="str">
            <v>...</v>
          </cell>
          <cell r="N87">
            <v>21.388640429338103</v>
          </cell>
          <cell r="O87">
            <v>18.302356326308423</v>
          </cell>
          <cell r="P87">
            <v>19.814704124327555</v>
          </cell>
          <cell r="Q87">
            <v>19.945918104558331</v>
          </cell>
          <cell r="R87">
            <v>20.963275135460567</v>
          </cell>
          <cell r="S87">
            <v>19.929865575686733</v>
          </cell>
          <cell r="T87">
            <v>20.538674660489622</v>
          </cell>
          <cell r="U87">
            <v>25.85431654676259</v>
          </cell>
          <cell r="V87" t="str">
            <v>...</v>
          </cell>
        </row>
        <row r="88">
          <cell r="B88" t="str">
            <v>Corrientes</v>
          </cell>
          <cell r="C88">
            <v>19.305881040062491</v>
          </cell>
          <cell r="D88">
            <v>21.786684283931589</v>
          </cell>
          <cell r="E88">
            <v>22.679238569649527</v>
          </cell>
          <cell r="F88">
            <v>22.91288404713589</v>
          </cell>
          <cell r="G88" t="str">
            <v>...</v>
          </cell>
          <cell r="H88">
            <v>19.57384334576621</v>
          </cell>
          <cell r="I88">
            <v>18.710548255190755</v>
          </cell>
          <cell r="J88">
            <v>25.188036300716831</v>
          </cell>
          <cell r="K88">
            <v>24.395529969522521</v>
          </cell>
          <cell r="L88">
            <v>22.204529370134466</v>
          </cell>
          <cell r="M88">
            <v>25.451462231874572</v>
          </cell>
          <cell r="N88">
            <v>21.296785662806901</v>
          </cell>
          <cell r="O88">
            <v>24.849225537341589</v>
          </cell>
          <cell r="P88">
            <v>22.800195589913148</v>
          </cell>
          <cell r="Q88">
            <v>19.512836448821531</v>
          </cell>
          <cell r="R88">
            <v>25.987335987988775</v>
          </cell>
          <cell r="S88">
            <v>27.429249047912247</v>
          </cell>
          <cell r="T88">
            <v>25.337564137186064</v>
          </cell>
          <cell r="U88">
            <v>26.189185526494107</v>
          </cell>
          <cell r="V88" t="str">
            <v>...</v>
          </cell>
        </row>
        <row r="89">
          <cell r="B89" t="str">
            <v xml:space="preserve">Gran Resistencia </v>
          </cell>
          <cell r="C89">
            <v>21.633129949370375</v>
          </cell>
          <cell r="D89">
            <v>22.914199146123124</v>
          </cell>
          <cell r="E89">
            <v>24.861040929762506</v>
          </cell>
          <cell r="F89">
            <v>22.83757672198227</v>
          </cell>
          <cell r="G89">
            <v>23.609055528147781</v>
          </cell>
          <cell r="H89">
            <v>23.314229303205639</v>
          </cell>
          <cell r="I89">
            <v>27.49475341028332</v>
          </cell>
          <cell r="J89">
            <v>24.197598388981429</v>
          </cell>
          <cell r="K89">
            <v>29.452506596306065</v>
          </cell>
          <cell r="L89">
            <v>29.324101371270928</v>
          </cell>
          <cell r="M89">
            <v>29.782082324455207</v>
          </cell>
          <cell r="N89">
            <v>27.047511589688245</v>
          </cell>
          <cell r="O89">
            <v>24.457266498377209</v>
          </cell>
          <cell r="P89">
            <v>26.007106160272723</v>
          </cell>
          <cell r="Q89">
            <v>22.652207810617337</v>
          </cell>
          <cell r="R89">
            <v>25.82695201095866</v>
          </cell>
          <cell r="S89">
            <v>27.785573954532701</v>
          </cell>
          <cell r="T89">
            <v>22.796345761037912</v>
          </cell>
          <cell r="U89">
            <v>26.313433539084958</v>
          </cell>
          <cell r="V89">
            <v>26.564944339900698</v>
          </cell>
        </row>
        <row r="90">
          <cell r="B90" t="str">
            <v>Comodoro Rivadavia</v>
          </cell>
          <cell r="C90" t="str">
            <v>...</v>
          </cell>
          <cell r="D90" t="str">
            <v>...</v>
          </cell>
          <cell r="E90">
            <v>21.547107438016528</v>
          </cell>
          <cell r="F90" t="str">
            <v>...</v>
          </cell>
          <cell r="G90">
            <v>19.066800939912724</v>
          </cell>
          <cell r="H90">
            <v>22.108972621306588</v>
          </cell>
          <cell r="I90">
            <v>22.07175925925926</v>
          </cell>
          <cell r="J90">
            <v>27.146608814797901</v>
          </cell>
          <cell r="K90">
            <v>24.54037773734078</v>
          </cell>
          <cell r="L90">
            <v>25.129839471199244</v>
          </cell>
          <cell r="M90">
            <v>21.849836779107726</v>
          </cell>
          <cell r="N90">
            <v>22.30949653630066</v>
          </cell>
          <cell r="O90">
            <v>23.924746101337476</v>
          </cell>
          <cell r="P90">
            <v>26.615299944964228</v>
          </cell>
          <cell r="Q90">
            <v>27.407054337464253</v>
          </cell>
          <cell r="R90">
            <v>21.878063124877475</v>
          </cell>
          <cell r="S90">
            <v>24.532252924841806</v>
          </cell>
          <cell r="T90">
            <v>23.554286341918832</v>
          </cell>
          <cell r="U90">
            <v>22.783528870485391</v>
          </cell>
          <cell r="V90" t="str">
            <v>...</v>
          </cell>
        </row>
        <row r="91">
          <cell r="B91" t="str">
            <v>Paraná</v>
          </cell>
          <cell r="C91">
            <v>16.233653007846556</v>
          </cell>
          <cell r="D91">
            <v>14.282172958424818</v>
          </cell>
          <cell r="E91">
            <v>14.159974751902373</v>
          </cell>
          <cell r="F91">
            <v>18.082996694821887</v>
          </cell>
          <cell r="G91">
            <v>15.985251057369048</v>
          </cell>
          <cell r="H91">
            <v>15.525942540488835</v>
          </cell>
          <cell r="I91">
            <v>16.97111231965194</v>
          </cell>
          <cell r="J91">
            <v>18.29251322015029</v>
          </cell>
          <cell r="K91">
            <v>21.535219317045293</v>
          </cell>
          <cell r="L91">
            <v>17.699473471040907</v>
          </cell>
          <cell r="M91">
            <v>19.281563655573166</v>
          </cell>
          <cell r="N91">
            <v>20.645333649964378</v>
          </cell>
          <cell r="O91">
            <v>18.876959224340482</v>
          </cell>
          <cell r="P91">
            <v>18.885800909550277</v>
          </cell>
          <cell r="Q91">
            <v>16.602809706257982</v>
          </cell>
          <cell r="R91">
            <v>17.115368144574187</v>
          </cell>
          <cell r="S91">
            <v>18.772633033863166</v>
          </cell>
          <cell r="T91">
            <v>18.889435908066229</v>
          </cell>
          <cell r="U91">
            <v>23.901064018893319</v>
          </cell>
          <cell r="V91">
            <v>19.274366094596441</v>
          </cell>
        </row>
        <row r="92">
          <cell r="B92" t="str">
            <v>Concordia</v>
          </cell>
          <cell r="C92" t="str">
            <v>...</v>
          </cell>
          <cell r="D92" t="str">
            <v>...</v>
          </cell>
          <cell r="E92" t="str">
            <v>...</v>
          </cell>
          <cell r="F92" t="str">
            <v>...</v>
          </cell>
          <cell r="G92" t="str">
            <v>...</v>
          </cell>
          <cell r="H92" t="str">
            <v>...</v>
          </cell>
          <cell r="I92" t="str">
            <v>...</v>
          </cell>
          <cell r="J92" t="str">
            <v>...</v>
          </cell>
          <cell r="K92" t="str">
            <v>...</v>
          </cell>
          <cell r="L92" t="str">
            <v>...</v>
          </cell>
          <cell r="M92" t="str">
            <v>...</v>
          </cell>
          <cell r="N92">
            <v>21.098931788033234</v>
          </cell>
          <cell r="O92">
            <v>17.981520966595593</v>
          </cell>
          <cell r="P92">
            <v>23.634836180341644</v>
          </cell>
          <cell r="Q92">
            <v>22.65798045602606</v>
          </cell>
          <cell r="R92">
            <v>26.105642589768475</v>
          </cell>
          <cell r="S92">
            <v>25</v>
          </cell>
          <cell r="T92">
            <v>25.462405603589801</v>
          </cell>
          <cell r="U92">
            <v>23.393231176276043</v>
          </cell>
          <cell r="V92" t="str">
            <v>...</v>
          </cell>
        </row>
        <row r="93">
          <cell r="B93" t="str">
            <v>Formosa</v>
          </cell>
          <cell r="C93" t="str">
            <v>...</v>
          </cell>
          <cell r="D93">
            <v>22.891060615144792</v>
          </cell>
          <cell r="E93">
            <v>14.595375722543352</v>
          </cell>
          <cell r="F93">
            <v>19.416342412451364</v>
          </cell>
          <cell r="G93">
            <v>19.723735622695504</v>
          </cell>
          <cell r="H93">
            <v>19.322595926101375</v>
          </cell>
          <cell r="I93">
            <v>23.890106529384781</v>
          </cell>
          <cell r="J93">
            <v>17.613636363636363</v>
          </cell>
          <cell r="K93">
            <v>23.82024721012861</v>
          </cell>
          <cell r="L93">
            <v>16.552480131542886</v>
          </cell>
          <cell r="M93">
            <v>18.698451015892175</v>
          </cell>
          <cell r="N93">
            <v>25.23434758634518</v>
          </cell>
          <cell r="O93">
            <v>19.733096085409251</v>
          </cell>
          <cell r="P93">
            <v>19.509935138474212</v>
          </cell>
          <cell r="Q93">
            <v>26.913767737648904</v>
          </cell>
          <cell r="R93">
            <v>28.968162284552466</v>
          </cell>
          <cell r="S93">
            <v>29.924780610112826</v>
          </cell>
          <cell r="T93">
            <v>26.362400466109925</v>
          </cell>
          <cell r="U93">
            <v>31.471009875756611</v>
          </cell>
          <cell r="V93" t="str">
            <v>...</v>
          </cell>
        </row>
        <row r="94">
          <cell r="B94" t="str">
            <v xml:space="preserve">S.S. de Jujuy </v>
          </cell>
          <cell r="C94">
            <v>24.05548755609955</v>
          </cell>
          <cell r="D94">
            <v>24.022019208245489</v>
          </cell>
          <cell r="E94">
            <v>26.276468238114266</v>
          </cell>
          <cell r="F94">
            <v>24.280291047136981</v>
          </cell>
          <cell r="G94">
            <v>26.578533443187773</v>
          </cell>
          <cell r="H94">
            <v>24.278033794162827</v>
          </cell>
          <cell r="I94">
            <v>22.977308747922223</v>
          </cell>
          <cell r="J94">
            <v>26.773916613788213</v>
          </cell>
          <cell r="K94">
            <v>24.743265366870069</v>
          </cell>
          <cell r="L94">
            <v>27.124018716887736</v>
          </cell>
          <cell r="M94">
            <v>24.577045346585301</v>
          </cell>
          <cell r="N94">
            <v>27.31599795553284</v>
          </cell>
          <cell r="O94">
            <v>26.577394462097143</v>
          </cell>
          <cell r="P94">
            <v>22.940150295222757</v>
          </cell>
          <cell r="Q94">
            <v>19.627874032908359</v>
          </cell>
          <cell r="R94">
            <v>20.426812733879277</v>
          </cell>
          <cell r="S94">
            <v>28.231407538433523</v>
          </cell>
          <cell r="T94">
            <v>19.245410052567522</v>
          </cell>
          <cell r="U94">
            <v>25.610888618027744</v>
          </cell>
          <cell r="V94">
            <v>26.574987026466008</v>
          </cell>
        </row>
        <row r="95">
          <cell r="B95" t="str">
            <v xml:space="preserve">Santa Rosa y Toay </v>
          </cell>
          <cell r="C95">
            <v>24.963556851311953</v>
          </cell>
          <cell r="D95">
            <v>18.12821712681329</v>
          </cell>
          <cell r="E95">
            <v>17.153036986766203</v>
          </cell>
          <cell r="F95">
            <v>18.943533697632059</v>
          </cell>
          <cell r="G95">
            <v>19.351828285399169</v>
          </cell>
          <cell r="H95">
            <v>20.879215416379903</v>
          </cell>
          <cell r="I95">
            <v>20.875964817806498</v>
          </cell>
          <cell r="J95">
            <v>23.795081967213115</v>
          </cell>
          <cell r="K95">
            <v>22.772669625871909</v>
          </cell>
          <cell r="L95">
            <v>23.704976951324323</v>
          </cell>
          <cell r="M95">
            <v>19.942388654996677</v>
          </cell>
          <cell r="N95">
            <v>20.077448149120507</v>
          </cell>
          <cell r="O95">
            <v>19.364485981308409</v>
          </cell>
          <cell r="P95">
            <v>23.344776851397743</v>
          </cell>
          <cell r="Q95">
            <v>22.224132989395244</v>
          </cell>
          <cell r="R95">
            <v>22.320376914016489</v>
          </cell>
          <cell r="S95">
            <v>21.9647104375242</v>
          </cell>
          <cell r="T95">
            <v>23.55080831408776</v>
          </cell>
          <cell r="U95">
            <v>20.907392580731251</v>
          </cell>
          <cell r="V95">
            <v>19.382468013111982</v>
          </cell>
        </row>
        <row r="96">
          <cell r="B96" t="str">
            <v>La Rioja</v>
          </cell>
          <cell r="C96">
            <v>17.608678563006052</v>
          </cell>
          <cell r="D96">
            <v>19.23963133640553</v>
          </cell>
          <cell r="E96">
            <v>19.824835358815942</v>
          </cell>
          <cell r="F96">
            <v>17.488520662806948</v>
          </cell>
          <cell r="G96">
            <v>18.419629579559281</v>
          </cell>
          <cell r="H96">
            <v>19.099073814201514</v>
          </cell>
          <cell r="I96">
            <v>19.361979166666668</v>
          </cell>
          <cell r="J96">
            <v>18.654434250764528</v>
          </cell>
          <cell r="K96">
            <v>17.756171562543095</v>
          </cell>
          <cell r="L96">
            <v>18.007662835249043</v>
          </cell>
          <cell r="M96">
            <v>17.214183692479661</v>
          </cell>
          <cell r="N96">
            <v>18.028057472564772</v>
          </cell>
          <cell r="O96">
            <v>18.614440222157263</v>
          </cell>
          <cell r="P96">
            <v>19.922917284316632</v>
          </cell>
          <cell r="Q96">
            <v>20.152963671128106</v>
          </cell>
          <cell r="R96">
            <v>20.227272727272727</v>
          </cell>
          <cell r="S96">
            <v>21.314369789112313</v>
          </cell>
          <cell r="T96">
            <v>19.442515623450056</v>
          </cell>
          <cell r="U96">
            <v>22.368081037779731</v>
          </cell>
          <cell r="V96">
            <v>20.781257658187521</v>
          </cell>
        </row>
        <row r="97">
          <cell r="B97" t="str">
            <v>Gran Mendoza</v>
          </cell>
          <cell r="C97">
            <v>20.508856339379722</v>
          </cell>
          <cell r="D97">
            <v>21.447970628174822</v>
          </cell>
          <cell r="E97">
            <v>22.687215012276393</v>
          </cell>
          <cell r="F97">
            <v>25.563909774436087</v>
          </cell>
          <cell r="G97">
            <v>21.523809523809522</v>
          </cell>
          <cell r="H97">
            <v>24.225865209471767</v>
          </cell>
          <cell r="I97">
            <v>25.440313111545986</v>
          </cell>
          <cell r="J97">
            <v>21.104536489151872</v>
          </cell>
          <cell r="K97">
            <v>24.162257495590829</v>
          </cell>
          <cell r="L97">
            <v>26.678765880217785</v>
          </cell>
          <cell r="M97">
            <v>24.282982791586999</v>
          </cell>
          <cell r="N97">
            <v>22.718808193668529</v>
          </cell>
          <cell r="O97">
            <v>27.353463587921844</v>
          </cell>
          <cell r="P97">
            <v>26.110124333925398</v>
          </cell>
          <cell r="Q97">
            <v>26.127819548872182</v>
          </cell>
          <cell r="R97">
            <v>26.365348399246702</v>
          </cell>
          <cell r="S97">
            <v>24.764777312076461</v>
          </cell>
          <cell r="T97" t="str">
            <v>...</v>
          </cell>
          <cell r="U97">
            <v>29.730105946949191</v>
          </cell>
          <cell r="V97">
            <v>27.824483174946486</v>
          </cell>
        </row>
        <row r="98">
          <cell r="B98" t="str">
            <v>Posadas</v>
          </cell>
          <cell r="C98" t="str">
            <v>...</v>
          </cell>
          <cell r="D98">
            <v>25.32657438097095</v>
          </cell>
          <cell r="E98">
            <v>27.442960959945918</v>
          </cell>
          <cell r="F98">
            <v>24.649505478037899</v>
          </cell>
          <cell r="G98">
            <v>26.010533024722417</v>
          </cell>
          <cell r="H98">
            <v>30.314426633785452</v>
          </cell>
          <cell r="I98">
            <v>25.011424654404202</v>
          </cell>
          <cell r="J98">
            <v>26.373775843307946</v>
          </cell>
          <cell r="K98">
            <v>25.026609153548822</v>
          </cell>
          <cell r="L98">
            <v>24.200358609520503</v>
          </cell>
          <cell r="M98">
            <v>23.738051077186476</v>
          </cell>
          <cell r="N98">
            <v>26.029063240613699</v>
          </cell>
          <cell r="O98">
            <v>31.060166937166706</v>
          </cell>
          <cell r="P98">
            <v>29.121779859484775</v>
          </cell>
          <cell r="Q98">
            <v>28.784233150396066</v>
          </cell>
          <cell r="R98">
            <v>31.222855946836901</v>
          </cell>
          <cell r="S98">
            <v>27.943635060902793</v>
          </cell>
          <cell r="T98">
            <v>25.776290275453555</v>
          </cell>
          <cell r="U98">
            <v>27.717519762586342</v>
          </cell>
          <cell r="V98">
            <v>28.720834549942932</v>
          </cell>
        </row>
        <row r="99">
          <cell r="B99" t="str">
            <v>Neuquén y Plottier</v>
          </cell>
          <cell r="C99">
            <v>24.022899449035812</v>
          </cell>
          <cell r="D99">
            <v>23.595942321893585</v>
          </cell>
          <cell r="E99">
            <v>22.835785848465871</v>
          </cell>
          <cell r="F99">
            <v>23.641802206019815</v>
          </cell>
          <cell r="G99">
            <v>22.860952663160234</v>
          </cell>
          <cell r="H99">
            <v>23.51369405477622</v>
          </cell>
          <cell r="I99">
            <v>23.399014778325121</v>
          </cell>
          <cell r="J99">
            <v>22.720021270938581</v>
          </cell>
          <cell r="K99">
            <v>22.899710768816842</v>
          </cell>
          <cell r="L99">
            <v>24.752443621031112</v>
          </cell>
          <cell r="M99">
            <v>22.885504021906556</v>
          </cell>
          <cell r="N99">
            <v>17.624161836572338</v>
          </cell>
          <cell r="O99">
            <v>21.291147831988933</v>
          </cell>
          <cell r="P99">
            <v>21.006193060902419</v>
          </cell>
          <cell r="Q99">
            <v>24.889936292536387</v>
          </cell>
          <cell r="R99">
            <v>21.787806143884538</v>
          </cell>
          <cell r="S99">
            <v>19.242043551088777</v>
          </cell>
          <cell r="T99">
            <v>20.49128255805746</v>
          </cell>
          <cell r="U99">
            <v>23.454750934538815</v>
          </cell>
          <cell r="V99">
            <v>20.040063078037761</v>
          </cell>
        </row>
        <row r="100">
          <cell r="B100" t="str">
            <v>Salta</v>
          </cell>
          <cell r="C100">
            <v>21.310791066583175</v>
          </cell>
          <cell r="D100">
            <v>23.405318501781526</v>
          </cell>
          <cell r="E100">
            <v>22.120458807623532</v>
          </cell>
          <cell r="F100">
            <v>23.342360640938839</v>
          </cell>
          <cell r="G100">
            <v>25.258559028784628</v>
          </cell>
          <cell r="H100">
            <v>23.214936247723134</v>
          </cell>
          <cell r="I100">
            <v>23.225144562581608</v>
          </cell>
          <cell r="J100">
            <v>26.621257541835845</v>
          </cell>
          <cell r="K100">
            <v>25.799857640853425</v>
          </cell>
          <cell r="L100">
            <v>22.946001043000049</v>
          </cell>
          <cell r="M100">
            <v>18.863308449909038</v>
          </cell>
          <cell r="N100">
            <v>21.02613129381772</v>
          </cell>
          <cell r="O100">
            <v>24.191125664673898</v>
          </cell>
          <cell r="P100">
            <v>23.739198743126472</v>
          </cell>
          <cell r="Q100">
            <v>26.094098643413506</v>
          </cell>
          <cell r="R100">
            <v>23.855506857062068</v>
          </cell>
          <cell r="S100">
            <v>27.488189714010414</v>
          </cell>
          <cell r="T100">
            <v>23.559564491774619</v>
          </cell>
          <cell r="U100">
            <v>26.900199153268883</v>
          </cell>
          <cell r="V100" t="str">
            <v>...</v>
          </cell>
        </row>
        <row r="101">
          <cell r="B101" t="str">
            <v>Gran San Juan</v>
          </cell>
          <cell r="C101">
            <v>18.247765006385698</v>
          </cell>
          <cell r="D101">
            <v>23.229910489791813</v>
          </cell>
          <cell r="E101">
            <v>17.962731124807398</v>
          </cell>
          <cell r="F101">
            <v>17.269511785815713</v>
          </cell>
          <cell r="G101">
            <v>18.756409294414848</v>
          </cell>
          <cell r="H101">
            <v>22.999336733526977</v>
          </cell>
          <cell r="I101">
            <v>22.658142496815923</v>
          </cell>
          <cell r="J101">
            <v>26.337154323407987</v>
          </cell>
          <cell r="K101">
            <v>23.550128064398098</v>
          </cell>
          <cell r="L101">
            <v>24.351453235484374</v>
          </cell>
          <cell r="M101">
            <v>19.784084403369594</v>
          </cell>
          <cell r="N101">
            <v>19.737043265555727</v>
          </cell>
          <cell r="O101">
            <v>24.241429014541936</v>
          </cell>
          <cell r="P101">
            <v>23.547261116179445</v>
          </cell>
          <cell r="Q101">
            <v>23.218557590493745</v>
          </cell>
          <cell r="R101">
            <v>28.931528161057912</v>
          </cell>
          <cell r="S101">
            <v>24.943392636285797</v>
          </cell>
          <cell r="T101">
            <v>26.26164132770835</v>
          </cell>
          <cell r="U101">
            <v>25.450859033187495</v>
          </cell>
          <cell r="V101" t="str">
            <v>...</v>
          </cell>
        </row>
        <row r="102">
          <cell r="B102" t="str">
            <v>San Luis-El Chorrillo</v>
          </cell>
          <cell r="C102">
            <v>20.202385254788581</v>
          </cell>
          <cell r="D102">
            <v>17.65195093215053</v>
          </cell>
          <cell r="E102">
            <v>21.284286625558156</v>
          </cell>
          <cell r="F102">
            <v>24.199288256227756</v>
          </cell>
          <cell r="G102">
            <v>24.593775819333516</v>
          </cell>
          <cell r="H102">
            <v>25.089150800846177</v>
          </cell>
          <cell r="I102">
            <v>25.783269242892263</v>
          </cell>
          <cell r="J102">
            <v>22.231506238859179</v>
          </cell>
          <cell r="K102">
            <v>25.830953393692653</v>
          </cell>
          <cell r="L102">
            <v>27.491408934707906</v>
          </cell>
          <cell r="M102">
            <v>0</v>
          </cell>
          <cell r="N102">
            <v>25.664616207542124</v>
          </cell>
          <cell r="O102">
            <v>26.748005631159078</v>
          </cell>
          <cell r="P102">
            <v>23.262102974707037</v>
          </cell>
          <cell r="Q102">
            <v>22.29028090156482</v>
          </cell>
          <cell r="R102">
            <v>25.063255552431823</v>
          </cell>
          <cell r="S102">
            <v>29.174207559853148</v>
          </cell>
          <cell r="T102">
            <v>26.4121601284238</v>
          </cell>
          <cell r="U102">
            <v>27.826352175681173</v>
          </cell>
          <cell r="V102">
            <v>27.629340538376862</v>
          </cell>
        </row>
        <row r="103">
          <cell r="B103" t="str">
            <v>Río Gallegos</v>
          </cell>
          <cell r="C103">
            <v>13.926111458985599</v>
          </cell>
          <cell r="D103">
            <v>14.297976701410178</v>
          </cell>
          <cell r="E103">
            <v>10.547588005215124</v>
          </cell>
          <cell r="F103">
            <v>15.933849586559917</v>
          </cell>
          <cell r="G103">
            <v>15.422885572139302</v>
          </cell>
          <cell r="H103">
            <v>18.390804597701148</v>
          </cell>
          <cell r="I103">
            <v>15.391146149181322</v>
          </cell>
          <cell r="J103">
            <v>18.358585858585858</v>
          </cell>
          <cell r="K103">
            <v>20.066240292370946</v>
          </cell>
          <cell r="L103">
            <v>18.261286073524129</v>
          </cell>
          <cell r="M103">
            <v>15.749097472924186</v>
          </cell>
          <cell r="N103">
            <v>13.780071896027286</v>
          </cell>
          <cell r="O103">
            <v>18.498151987740016</v>
          </cell>
          <cell r="P103">
            <v>16.512059369202227</v>
          </cell>
          <cell r="Q103">
            <v>19.252588923908149</v>
          </cell>
          <cell r="R103">
            <v>18.817204301075268</v>
          </cell>
          <cell r="S103">
            <v>15.901576316801231</v>
          </cell>
          <cell r="T103">
            <v>18.168297455968688</v>
          </cell>
          <cell r="U103">
            <v>14.82586262495969</v>
          </cell>
          <cell r="V103" t="str">
            <v>...</v>
          </cell>
        </row>
        <row r="104">
          <cell r="B104" t="str">
            <v>Gran Rosario</v>
          </cell>
          <cell r="C104">
            <v>18.979430584699877</v>
          </cell>
          <cell r="D104">
            <v>20.064024698856159</v>
          </cell>
          <cell r="E104">
            <v>21.057066069704369</v>
          </cell>
          <cell r="F104">
            <v>20.512880658194891</v>
          </cell>
          <cell r="G104">
            <v>20.586031749777302</v>
          </cell>
          <cell r="H104">
            <v>22.720084920578469</v>
          </cell>
          <cell r="I104">
            <v>19.332729783998978</v>
          </cell>
          <cell r="J104">
            <v>21.066752774026888</v>
          </cell>
          <cell r="K104">
            <v>18.458623833676384</v>
          </cell>
          <cell r="L104">
            <v>21.221380616285074</v>
          </cell>
          <cell r="M104">
            <v>18.225853094274147</v>
          </cell>
          <cell r="N104">
            <v>22.002893028506914</v>
          </cell>
          <cell r="O104">
            <v>21.026639608675762</v>
          </cell>
          <cell r="P104">
            <v>18.628478870940402</v>
          </cell>
          <cell r="Q104">
            <v>18.628478870940402</v>
          </cell>
          <cell r="R104">
            <v>19.589488774419284</v>
          </cell>
          <cell r="S104">
            <v>23.977225529558353</v>
          </cell>
          <cell r="T104">
            <v>21.519699923558726</v>
          </cell>
          <cell r="U104">
            <v>20.382548524035041</v>
          </cell>
          <cell r="V104">
            <v>24.007967996672704</v>
          </cell>
        </row>
        <row r="105">
          <cell r="B105" t="str">
            <v>Santa Fe-Santo Tomé</v>
          </cell>
          <cell r="C105">
            <v>16.058355901109461</v>
          </cell>
          <cell r="D105">
            <v>16.439413429379986</v>
          </cell>
          <cell r="E105">
            <v>14.761987136139897</v>
          </cell>
          <cell r="F105">
            <v>15.389505229223108</v>
          </cell>
          <cell r="G105">
            <v>16.886175032885657</v>
          </cell>
          <cell r="H105">
            <v>16.51295494141905</v>
          </cell>
          <cell r="I105">
            <v>16.190009948991676</v>
          </cell>
          <cell r="J105">
            <v>19.264490988796883</v>
          </cell>
          <cell r="K105">
            <v>15.758013845255636</v>
          </cell>
          <cell r="L105">
            <v>15.228478321228684</v>
          </cell>
          <cell r="M105">
            <v>14.267205719369997</v>
          </cell>
          <cell r="N105">
            <v>17.507902518609157</v>
          </cell>
          <cell r="O105">
            <v>17.831177202476429</v>
          </cell>
          <cell r="P105">
            <v>17.196897211591033</v>
          </cell>
          <cell r="Q105">
            <v>17.196897211591033</v>
          </cell>
          <cell r="R105">
            <v>21.788773940411836</v>
          </cell>
          <cell r="S105">
            <v>19.809284172301886</v>
          </cell>
          <cell r="T105">
            <v>17.644871489766778</v>
          </cell>
          <cell r="U105">
            <v>18.18975298943877</v>
          </cell>
          <cell r="V105" t="str">
            <v>...</v>
          </cell>
        </row>
        <row r="106">
          <cell r="B106" t="str">
            <v>Santiago del Estero y La Banda</v>
          </cell>
          <cell r="C106" t="str">
            <v>...</v>
          </cell>
          <cell r="D106">
            <v>20.94909191822639</v>
          </cell>
          <cell r="E106">
            <v>18.919493455616628</v>
          </cell>
          <cell r="F106">
            <v>23.582954075299959</v>
          </cell>
          <cell r="G106">
            <v>22.647274505011001</v>
          </cell>
          <cell r="H106">
            <v>23.08229745858927</v>
          </cell>
          <cell r="I106">
            <v>23.507384440250441</v>
          </cell>
          <cell r="J106">
            <v>26.975511234536732</v>
          </cell>
          <cell r="K106">
            <v>23.529965189575687</v>
          </cell>
          <cell r="L106">
            <v>22.892034595575137</v>
          </cell>
          <cell r="M106">
            <v>24.994139905568762</v>
          </cell>
          <cell r="N106">
            <v>27.083215477739436</v>
          </cell>
          <cell r="O106">
            <v>25.005240540823813</v>
          </cell>
          <cell r="P106">
            <v>23.080649067570842</v>
          </cell>
          <cell r="Q106">
            <v>25.20205160087038</v>
          </cell>
          <cell r="R106">
            <v>30.574845679012348</v>
          </cell>
          <cell r="S106">
            <v>26.461895714587293</v>
          </cell>
          <cell r="T106">
            <v>26.395516170567294</v>
          </cell>
          <cell r="U106">
            <v>29.070844686648499</v>
          </cell>
          <cell r="V106">
            <v>28.158647594278285</v>
          </cell>
        </row>
        <row r="107">
          <cell r="B107" t="str">
            <v>Ushuaia-Río Grande</v>
          </cell>
          <cell r="C107" t="str">
            <v>...</v>
          </cell>
          <cell r="D107">
            <v>22.436087256934162</v>
          </cell>
          <cell r="E107">
            <v>17.969048528849829</v>
          </cell>
          <cell r="F107">
            <v>22.912423625254583</v>
          </cell>
          <cell r="G107">
            <v>21.325986812392738</v>
          </cell>
          <cell r="H107">
            <v>20.110718717190036</v>
          </cell>
          <cell r="I107">
            <v>22.727272727272727</v>
          </cell>
          <cell r="J107">
            <v>21.376811594202898</v>
          </cell>
          <cell r="K107">
            <v>21.440536013400337</v>
          </cell>
          <cell r="L107">
            <v>22.536356246048232</v>
          </cell>
          <cell r="M107">
            <v>18.721772475500639</v>
          </cell>
          <cell r="N107">
            <v>19.594161052293874</v>
          </cell>
          <cell r="O107">
            <v>18.464657764105432</v>
          </cell>
          <cell r="P107">
            <v>17.397023191415713</v>
          </cell>
          <cell r="Q107">
            <v>16.738197424892704</v>
          </cell>
          <cell r="R107">
            <v>18.489026995533113</v>
          </cell>
          <cell r="S107">
            <v>17.831429990069513</v>
          </cell>
          <cell r="T107">
            <v>15.523974137379168</v>
          </cell>
          <cell r="U107">
            <v>17.965981573352234</v>
          </cell>
          <cell r="V107">
            <v>14.506726457399102</v>
          </cell>
        </row>
        <row r="108">
          <cell r="B108" t="str">
            <v>Gran Tucumán y Tafí Viejo</v>
          </cell>
          <cell r="C108">
            <v>19.250365736770419</v>
          </cell>
          <cell r="D108">
            <v>22.881315310133257</v>
          </cell>
          <cell r="E108">
            <v>15.788358608385369</v>
          </cell>
          <cell r="F108">
            <v>23.381146202903597</v>
          </cell>
          <cell r="G108">
            <v>24.371268515207664</v>
          </cell>
          <cell r="H108">
            <v>24.301681813433614</v>
          </cell>
          <cell r="I108">
            <v>24.644756899657814</v>
          </cell>
          <cell r="J108">
            <v>25.340761885109654</v>
          </cell>
          <cell r="K108">
            <v>24.377656344869457</v>
          </cell>
          <cell r="L108">
            <v>21.397492254174917</v>
          </cell>
          <cell r="M108">
            <v>25.588502700156639</v>
          </cell>
          <cell r="N108">
            <v>23.263617511280625</v>
          </cell>
          <cell r="O108">
            <v>22.271283679950823</v>
          </cell>
          <cell r="P108">
            <v>22.009743257312351</v>
          </cell>
          <cell r="Q108">
            <v>21.327692688880528</v>
          </cell>
          <cell r="R108">
            <v>26.054666493593192</v>
          </cell>
          <cell r="S108">
            <v>25.509081415731178</v>
          </cell>
          <cell r="T108">
            <v>24.650038669760246</v>
          </cell>
          <cell r="U108">
            <v>27.929420174880349</v>
          </cell>
          <cell r="V108">
            <v>23.562073695484695</v>
          </cell>
        </row>
        <row r="109">
          <cell r="B109" t="str">
            <v>Total aglomerados del interior</v>
          </cell>
          <cell r="C109">
            <v>19.355502625198042</v>
          </cell>
          <cell r="D109">
            <v>21.604693683672835</v>
          </cell>
          <cell r="E109">
            <v>20.690061565044907</v>
          </cell>
          <cell r="F109">
            <v>22.36561330516744</v>
          </cell>
          <cell r="G109">
            <v>22.264728998532242</v>
          </cell>
          <cell r="H109">
            <v>22.83841693975296</v>
          </cell>
          <cell r="I109">
            <v>22.657273246914542</v>
          </cell>
          <cell r="J109">
            <v>23.418307868311089</v>
          </cell>
          <cell r="K109">
            <v>22.261581315760257</v>
          </cell>
          <cell r="L109">
            <v>21.884131081382094</v>
          </cell>
          <cell r="M109">
            <v>20.401612468914831</v>
          </cell>
          <cell r="N109">
            <v>21.414324759969166</v>
          </cell>
          <cell r="O109">
            <v>22.2997078303401</v>
          </cell>
          <cell r="P109">
            <v>21.987180048442955</v>
          </cell>
          <cell r="Q109">
            <v>21.295185243239096</v>
          </cell>
          <cell r="R109">
            <v>23.273704937411065</v>
          </cell>
          <cell r="S109">
            <v>23.520951022081409</v>
          </cell>
          <cell r="T109">
            <v>21.99375360430367</v>
          </cell>
          <cell r="U109">
            <v>24.886260091119812</v>
          </cell>
          <cell r="V109">
            <v>24.708539093196858</v>
          </cell>
        </row>
      </sheetData>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Hoja1">
    <tabColor rgb="FF00B0F0"/>
  </sheetPr>
  <dimension ref="A1:J50"/>
  <sheetViews>
    <sheetView showGridLines="0" zoomScale="70" zoomScaleNormal="70" workbookViewId="0"/>
  </sheetViews>
  <sheetFormatPr baseColWidth="10" defaultColWidth="0" defaultRowHeight="15" customHeight="1" zeroHeight="1"/>
  <cols>
    <col min="1" max="10" width="11.42578125" customWidth="1"/>
    <col min="11" max="16384" width="11.42578125" hidden="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sheetPr codeName="Hoja2">
    <tabColor rgb="FF00B0F0"/>
  </sheetPr>
  <dimension ref="A1:L20"/>
  <sheetViews>
    <sheetView showGridLines="0" zoomScale="130" zoomScaleNormal="130" workbookViewId="0">
      <selection activeCell="A5" sqref="A5:G5"/>
    </sheetView>
  </sheetViews>
  <sheetFormatPr baseColWidth="10" defaultColWidth="0" defaultRowHeight="15" customHeight="1" zeroHeight="1"/>
  <cols>
    <col min="1" max="8" width="11.42578125" customWidth="1"/>
    <col min="9" max="12" width="0" hidden="1" customWidth="1"/>
    <col min="13" max="16384" width="11.42578125" hidden="1"/>
  </cols>
  <sheetData>
    <row r="1" spans="1:12" ht="26.25">
      <c r="A1" s="230" t="s">
        <v>21</v>
      </c>
      <c r="B1" s="230"/>
      <c r="C1" s="230"/>
      <c r="D1" s="230"/>
      <c r="E1" s="29"/>
      <c r="F1" s="29"/>
      <c r="G1" s="29"/>
      <c r="H1" s="29"/>
      <c r="I1" s="29"/>
      <c r="J1" s="29"/>
      <c r="K1" s="29"/>
      <c r="L1" s="29"/>
    </row>
    <row r="2" spans="1:12">
      <c r="A2" s="231"/>
      <c r="B2" s="231"/>
      <c r="C2" s="231"/>
      <c r="D2" s="231"/>
    </row>
    <row r="3" spans="1:12" ht="18.75">
      <c r="A3" s="232" t="s">
        <v>238</v>
      </c>
      <c r="B3" s="232"/>
      <c r="C3" s="232"/>
      <c r="D3" s="232"/>
      <c r="E3" s="232"/>
      <c r="F3" s="232"/>
    </row>
    <row r="4" spans="1:12" ht="18.75">
      <c r="A4" s="30"/>
      <c r="B4" s="30"/>
      <c r="C4" s="30"/>
      <c r="D4" s="30"/>
    </row>
    <row r="5" spans="1:12" ht="21" customHeight="1">
      <c r="A5" s="229" t="s">
        <v>239</v>
      </c>
      <c r="B5" s="229"/>
      <c r="C5" s="229"/>
      <c r="D5" s="229"/>
      <c r="E5" s="229"/>
      <c r="F5" s="229"/>
      <c r="G5" s="229"/>
      <c r="H5" s="206"/>
    </row>
    <row r="6" spans="1:12" ht="21" customHeight="1">
      <c r="A6" s="229" t="s">
        <v>240</v>
      </c>
      <c r="B6" s="229"/>
      <c r="C6" s="229"/>
      <c r="D6" s="229"/>
      <c r="E6" s="229"/>
      <c r="F6" s="229"/>
      <c r="G6" s="229"/>
      <c r="H6" s="206"/>
    </row>
    <row r="7" spans="1:12" ht="21" customHeight="1">
      <c r="A7" s="229" t="s">
        <v>241</v>
      </c>
      <c r="B7" s="229"/>
      <c r="C7" s="229"/>
      <c r="D7" s="229"/>
      <c r="E7" s="229"/>
      <c r="F7" s="229"/>
      <c r="G7" s="229"/>
      <c r="H7" s="206"/>
    </row>
    <row r="8" spans="1:12" ht="21" customHeight="1">
      <c r="A8" s="229" t="s">
        <v>242</v>
      </c>
      <c r="B8" s="229"/>
      <c r="C8" s="229"/>
      <c r="D8" s="229"/>
      <c r="E8" s="229"/>
      <c r="F8" s="229"/>
      <c r="G8" s="229"/>
      <c r="H8" s="206"/>
    </row>
    <row r="9" spans="1:12" ht="21" customHeight="1">
      <c r="A9" s="229" t="s">
        <v>243</v>
      </c>
      <c r="B9" s="229"/>
      <c r="C9" s="229"/>
      <c r="D9" s="229"/>
      <c r="E9" s="229"/>
      <c r="F9" s="229"/>
      <c r="G9" s="229"/>
      <c r="H9" s="206"/>
      <c r="K9" s="31"/>
      <c r="L9" s="31"/>
    </row>
    <row r="10" spans="1:12" ht="21" customHeight="1">
      <c r="A10" s="207"/>
      <c r="B10" s="207"/>
      <c r="C10" s="207"/>
      <c r="D10" s="207"/>
      <c r="E10" s="206"/>
      <c r="F10" s="206"/>
      <c r="G10" s="206"/>
      <c r="H10" s="206"/>
    </row>
    <row r="11" spans="1:12" s="32" customFormat="1" ht="21" customHeight="1">
      <c r="A11" s="235"/>
      <c r="B11" s="235"/>
      <c r="C11" s="235"/>
      <c r="D11" s="235"/>
      <c r="E11" s="235"/>
      <c r="F11" s="235"/>
      <c r="G11" s="235"/>
      <c r="H11" s="208"/>
    </row>
    <row r="12" spans="1:12" ht="21" customHeight="1">
      <c r="A12" s="233"/>
      <c r="B12" s="233"/>
      <c r="C12" s="233"/>
      <c r="D12" s="233"/>
      <c r="E12" s="233"/>
      <c r="F12" s="233"/>
      <c r="G12" s="233"/>
      <c r="H12" s="233"/>
    </row>
    <row r="13" spans="1:12" ht="21" customHeight="1">
      <c r="A13" s="207"/>
      <c r="B13" s="207"/>
      <c r="C13" s="207"/>
      <c r="D13" s="207"/>
      <c r="E13" s="206"/>
      <c r="F13" s="206"/>
      <c r="G13" s="206"/>
      <c r="H13" s="206"/>
    </row>
    <row r="14" spans="1:12" ht="21" customHeight="1">
      <c r="A14" s="234"/>
      <c r="B14" s="234"/>
      <c r="C14" s="234"/>
      <c r="D14" s="234"/>
      <c r="E14" s="234"/>
      <c r="F14" s="234"/>
      <c r="G14" s="234"/>
    </row>
    <row r="15" spans="1:12" hidden="1"/>
    <row r="16" spans="1:12" ht="15" hidden="1" customHeight="1"/>
    <row r="17" ht="15" hidden="1" customHeight="1"/>
    <row r="18" ht="15" hidden="1" customHeight="1"/>
    <row r="19" ht="15" hidden="1" customHeight="1"/>
    <row r="20" ht="15" customHeight="1"/>
  </sheetData>
  <mergeCells count="11">
    <mergeCell ref="A12:H12"/>
    <mergeCell ref="A14:G14"/>
    <mergeCell ref="A7:G7"/>
    <mergeCell ref="A8:G8"/>
    <mergeCell ref="A9:G9"/>
    <mergeCell ref="A11:G11"/>
    <mergeCell ref="A6:G6"/>
    <mergeCell ref="A1:D1"/>
    <mergeCell ref="A2:D2"/>
    <mergeCell ref="A5:G5"/>
    <mergeCell ref="A3:F3"/>
  </mergeCells>
  <hyperlinks>
    <hyperlink ref="A6:D6" location="'C 1.2.'!A1" display="1.2. Población económicamente activa, ocupada, desocupada, subocupada, asalariada no registrada  según sexo"/>
    <hyperlink ref="A5:G5" location="'1'!A1" display="1 Principales indicadores laborales"/>
    <hyperlink ref="A6:G6" location="'2'!A1" display="2 Indicadores Laborales por sector, rama de actividad y tamaño de las empresas"/>
    <hyperlink ref="A7:G7" location="'3'!A1" display="3 Movimientos de personal (en porcentaje)"/>
    <hyperlink ref="A8:G8" location="'4'!A1" display="4 Demanda laboral  y cobertura de puestos (en porcentaje)"/>
    <hyperlink ref="A9:L9" location="'1.6'!A1" display="1.6 Tasa de desocupación de los jefes de hogar según características sociodemográficas, excluyendo beneficiarios del PJH que realizan contraprestación laboral"/>
    <hyperlink ref="A9:G9" location="'5'!A1" display="5 Evolución de empleo por aglomerado"/>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sheetPr codeName="Hoja3">
    <tabColor theme="3"/>
    <pageSetUpPr fitToPage="1"/>
  </sheetPr>
  <dimension ref="A1:Y339"/>
  <sheetViews>
    <sheetView zoomScale="80" zoomScaleNormal="80" workbookViewId="0">
      <pane xSplit="1" ySplit="6" topLeftCell="B286" activePane="bottomRight" state="frozen"/>
      <selection activeCell="H27" sqref="H27"/>
      <selection pane="topRight" activeCell="H27" sqref="H27"/>
      <selection pane="bottomLeft" activeCell="H27" sqref="H27"/>
      <selection pane="bottomRight" sqref="A1:H1"/>
    </sheetView>
  </sheetViews>
  <sheetFormatPr baseColWidth="10" defaultColWidth="0" defaultRowHeight="12" zeroHeight="1"/>
  <cols>
    <col min="1" max="1" width="14.7109375" style="10" customWidth="1"/>
    <col min="2" max="5" width="14.28515625" style="10" customWidth="1"/>
    <col min="6" max="8" width="13.28515625" style="10" customWidth="1"/>
    <col min="9" max="9" width="5.5703125" style="10" customWidth="1"/>
    <col min="10" max="10" width="11.42578125" style="10" customWidth="1"/>
    <col min="11" max="16384" width="11.42578125" style="10" hidden="1"/>
  </cols>
  <sheetData>
    <row r="1" spans="1:8" s="7" customFormat="1" ht="21" customHeight="1">
      <c r="A1" s="239" t="s">
        <v>10</v>
      </c>
      <c r="B1" s="239"/>
      <c r="C1" s="239"/>
      <c r="D1" s="239"/>
      <c r="E1" s="239"/>
      <c r="F1" s="239"/>
      <c r="G1" s="239"/>
      <c r="H1" s="239"/>
    </row>
    <row r="2" spans="1:8" s="7" customFormat="1" ht="23.25" customHeight="1">
      <c r="A2" s="237" t="s">
        <v>11</v>
      </c>
      <c r="B2" s="237"/>
      <c r="C2" s="237"/>
      <c r="D2" s="237"/>
      <c r="E2" s="237"/>
      <c r="F2" s="237"/>
      <c r="G2" s="237"/>
      <c r="H2" s="237"/>
    </row>
    <row r="3" spans="1:8" s="7" customFormat="1" ht="23.25" customHeight="1">
      <c r="A3" s="240" t="s">
        <v>12</v>
      </c>
      <c r="B3" s="240"/>
      <c r="C3" s="240"/>
      <c r="D3" s="240"/>
      <c r="E3" s="240"/>
      <c r="F3" s="240"/>
      <c r="G3" s="240"/>
      <c r="H3" s="240"/>
    </row>
    <row r="4" spans="1:8" s="2" customFormat="1" ht="31.5" customHeight="1" thickBot="1">
      <c r="A4" s="241" t="s">
        <v>0</v>
      </c>
      <c r="B4" s="243" t="s">
        <v>1</v>
      </c>
      <c r="C4" s="243"/>
      <c r="D4" s="243"/>
      <c r="E4" s="243"/>
      <c r="F4" s="243" t="s">
        <v>2</v>
      </c>
      <c r="G4" s="243"/>
      <c r="H4" s="243"/>
    </row>
    <row r="5" spans="1:8" s="2" customFormat="1" ht="33.75" customHeight="1">
      <c r="A5" s="241"/>
      <c r="B5" s="244" t="s">
        <v>3</v>
      </c>
      <c r="C5" s="238" t="s">
        <v>4</v>
      </c>
      <c r="D5" s="238"/>
      <c r="E5" s="238"/>
      <c r="F5" s="23" t="s">
        <v>13</v>
      </c>
      <c r="G5" s="23" t="s">
        <v>14</v>
      </c>
      <c r="H5" s="23" t="s">
        <v>15</v>
      </c>
    </row>
    <row r="6" spans="1:8" s="2" customFormat="1" ht="27.75" customHeight="1">
      <c r="A6" s="242"/>
      <c r="B6" s="245"/>
      <c r="C6" s="24" t="s">
        <v>5</v>
      </c>
      <c r="D6" s="24" t="s">
        <v>6</v>
      </c>
      <c r="E6" s="24" t="s">
        <v>7</v>
      </c>
      <c r="F6" s="24"/>
      <c r="G6" s="24"/>
      <c r="H6" s="25"/>
    </row>
    <row r="7" spans="1:8" s="2" customFormat="1" ht="16.5" customHeight="1">
      <c r="A7" s="19">
        <v>37104</v>
      </c>
      <c r="B7" s="20">
        <v>100</v>
      </c>
      <c r="C7" s="3" t="s">
        <v>8</v>
      </c>
      <c r="D7" s="3" t="s">
        <v>8</v>
      </c>
      <c r="E7" s="3" t="s">
        <v>8</v>
      </c>
      <c r="F7" s="3" t="s">
        <v>8</v>
      </c>
      <c r="G7" s="3" t="s">
        <v>8</v>
      </c>
      <c r="H7" s="3" t="s">
        <v>8</v>
      </c>
    </row>
    <row r="8" spans="1:8" s="2" customFormat="1" ht="16.5" customHeight="1">
      <c r="A8" s="19">
        <v>37135</v>
      </c>
      <c r="B8" s="20">
        <v>99.058897151326107</v>
      </c>
      <c r="C8" s="3">
        <v>-9.4110284867389322E-3</v>
      </c>
      <c r="D8" s="3" t="s">
        <v>8</v>
      </c>
      <c r="E8" s="3" t="s">
        <v>8</v>
      </c>
      <c r="F8" s="21">
        <v>1.5045797645923449</v>
      </c>
      <c r="G8" s="21">
        <v>2.4456826132662384</v>
      </c>
      <c r="H8" s="21">
        <v>1.9751311889292915</v>
      </c>
    </row>
    <row r="9" spans="1:8" s="2" customFormat="1" ht="16.5" customHeight="1">
      <c r="A9" s="19">
        <v>37165</v>
      </c>
      <c r="B9" s="20">
        <v>98.383846807215647</v>
      </c>
      <c r="C9" s="3">
        <v>-6.8146361762863967E-3</v>
      </c>
      <c r="D9" s="3" t="s">
        <v>8</v>
      </c>
      <c r="E9" s="3" t="s">
        <v>8</v>
      </c>
      <c r="F9" s="21">
        <v>1.6655470414755471</v>
      </c>
      <c r="G9" s="21">
        <v>2.3470106591041868</v>
      </c>
      <c r="H9" s="21">
        <v>2.006278850289867</v>
      </c>
    </row>
    <row r="10" spans="1:8" s="2" customFormat="1" ht="16.5" customHeight="1">
      <c r="A10" s="19">
        <v>37196</v>
      </c>
      <c r="B10" s="20">
        <v>97.915676973464812</v>
      </c>
      <c r="C10" s="3">
        <v>-4.7586046789593935E-3</v>
      </c>
      <c r="D10" s="3" t="s">
        <v>8</v>
      </c>
      <c r="E10" s="3" t="s">
        <v>8</v>
      </c>
      <c r="F10" s="21">
        <v>1.925508097845325</v>
      </c>
      <c r="G10" s="21">
        <v>2.4013685657412642</v>
      </c>
      <c r="H10" s="21">
        <v>2.1634383317932944</v>
      </c>
    </row>
    <row r="11" spans="1:8" s="2" customFormat="1" ht="16.5" customHeight="1">
      <c r="A11" s="19">
        <v>37226</v>
      </c>
      <c r="B11" s="20">
        <v>96.729614099821134</v>
      </c>
      <c r="C11" s="3">
        <v>-1.2113104972609279E-2</v>
      </c>
      <c r="D11" s="3" t="s">
        <v>8</v>
      </c>
      <c r="E11" s="3" t="s">
        <v>8</v>
      </c>
      <c r="F11" s="21">
        <v>1.5565938850781791</v>
      </c>
      <c r="G11" s="21">
        <v>2.7679043823391072</v>
      </c>
      <c r="H11" s="21">
        <v>2.1622491337086434</v>
      </c>
    </row>
    <row r="12" spans="1:8" s="2" customFormat="1" ht="16.5" customHeight="1">
      <c r="A12" s="19">
        <v>37257</v>
      </c>
      <c r="B12" s="20">
        <v>95.076930297845948</v>
      </c>
      <c r="C12" s="3">
        <v>-1.7085603177013402E-2</v>
      </c>
      <c r="D12" s="3" t="s">
        <v>8</v>
      </c>
      <c r="E12" s="3" t="s">
        <v>8</v>
      </c>
      <c r="F12" s="21">
        <v>1.3525510114133399</v>
      </c>
      <c r="G12" s="21">
        <v>3.0611113291146799</v>
      </c>
      <c r="H12" s="21">
        <v>2.2068311702640098</v>
      </c>
    </row>
    <row r="13" spans="1:8" s="2" customFormat="1" ht="16.5" customHeight="1">
      <c r="A13" s="19">
        <v>37288</v>
      </c>
      <c r="B13" s="20">
        <v>93.85676961022331</v>
      </c>
      <c r="C13" s="3">
        <v>-1.2833404315855139E-2</v>
      </c>
      <c r="D13" s="3" t="s">
        <v>8</v>
      </c>
      <c r="E13" s="3" t="s">
        <v>8</v>
      </c>
      <c r="F13" s="21">
        <v>1.1340120558364422</v>
      </c>
      <c r="G13" s="21">
        <v>2.4173524874219559</v>
      </c>
      <c r="H13" s="21">
        <v>1.7756822716291989</v>
      </c>
    </row>
    <row r="14" spans="1:8" s="2" customFormat="1" ht="16.5" customHeight="1">
      <c r="A14" s="19">
        <v>37316</v>
      </c>
      <c r="B14" s="20">
        <v>92.908474591716683</v>
      </c>
      <c r="C14" s="3">
        <v>-1.0103640072472031E-2</v>
      </c>
      <c r="D14" s="3" t="s">
        <v>8</v>
      </c>
      <c r="E14" s="3" t="s">
        <v>8</v>
      </c>
      <c r="F14" s="21">
        <v>1.4546986455838939</v>
      </c>
      <c r="G14" s="21">
        <v>2.4650626528310968</v>
      </c>
      <c r="H14" s="21">
        <v>1.9598806492074954</v>
      </c>
    </row>
    <row r="15" spans="1:8" s="2" customFormat="1" ht="16.5" customHeight="1">
      <c r="A15" s="19">
        <v>37347</v>
      </c>
      <c r="B15" s="20">
        <v>92.131043923211479</v>
      </c>
      <c r="C15" s="3">
        <v>-8.3677045815421548E-3</v>
      </c>
      <c r="D15" s="3" t="s">
        <v>8</v>
      </c>
      <c r="E15" s="3" t="s">
        <v>8</v>
      </c>
      <c r="F15" s="21">
        <v>1.2819628403237675</v>
      </c>
      <c r="G15" s="21">
        <v>2.118733298477983</v>
      </c>
      <c r="H15" s="21">
        <v>1.7003480694008752</v>
      </c>
    </row>
    <row r="16" spans="1:8" s="2" customFormat="1" ht="16.5" customHeight="1">
      <c r="A16" s="19">
        <v>37377</v>
      </c>
      <c r="B16" s="20">
        <v>91.351818489196816</v>
      </c>
      <c r="C16" s="3">
        <v>-8.4577944722316317E-3</v>
      </c>
      <c r="D16" s="3" t="s">
        <v>8</v>
      </c>
      <c r="E16" s="3" t="s">
        <v>8</v>
      </c>
      <c r="F16" s="21">
        <v>1.1763196700077716</v>
      </c>
      <c r="G16" s="21">
        <v>2.0220991172309346</v>
      </c>
      <c r="H16" s="21">
        <v>1.5992093936193532</v>
      </c>
    </row>
    <row r="17" spans="1:8" s="2" customFormat="1" ht="16.5" customHeight="1">
      <c r="A17" s="19">
        <v>37408</v>
      </c>
      <c r="B17" s="20">
        <v>90.803070626472888</v>
      </c>
      <c r="C17" s="3">
        <v>-6.0069725135119163E-3</v>
      </c>
      <c r="D17" s="3" t="s">
        <v>8</v>
      </c>
      <c r="E17" s="3" t="s">
        <v>8</v>
      </c>
      <c r="F17" s="21">
        <v>0.96126646794290738</v>
      </c>
      <c r="G17" s="21">
        <v>1.5619637192940989</v>
      </c>
      <c r="H17" s="21">
        <v>1.2616150936185031</v>
      </c>
    </row>
    <row r="18" spans="1:8" s="2" customFormat="1" ht="16.5" customHeight="1">
      <c r="A18" s="19">
        <v>37438</v>
      </c>
      <c r="B18" s="20">
        <v>90.426165579025479</v>
      </c>
      <c r="C18" s="3">
        <v>-4.1507962764590206E-3</v>
      </c>
      <c r="D18" s="3" t="s">
        <v>8</v>
      </c>
      <c r="E18" s="3" t="s">
        <v>8</v>
      </c>
      <c r="F18" s="21">
        <v>1.4445385974859088</v>
      </c>
      <c r="G18" s="21">
        <v>1.8596182251318107</v>
      </c>
      <c r="H18" s="21">
        <v>1.6520784113088598</v>
      </c>
    </row>
    <row r="19" spans="1:8" s="2" customFormat="1" ht="16.5" customHeight="1">
      <c r="A19" s="19">
        <v>37469</v>
      </c>
      <c r="B19" s="20">
        <v>90.221448373530421</v>
      </c>
      <c r="C19" s="3">
        <v>-2.2639155844350555E-3</v>
      </c>
      <c r="D19" s="3">
        <v>-9.7785516264695782E-2</v>
      </c>
      <c r="E19" s="3" t="s">
        <v>8</v>
      </c>
      <c r="F19" s="21">
        <v>1.2638945944892397</v>
      </c>
      <c r="G19" s="21">
        <v>1.4902861529327451</v>
      </c>
      <c r="H19" s="21">
        <v>1.3770903737109923</v>
      </c>
    </row>
    <row r="20" spans="1:8" s="2" customFormat="1" ht="16.5" customHeight="1">
      <c r="A20" s="19">
        <v>37500</v>
      </c>
      <c r="B20" s="20">
        <v>89.940593533070157</v>
      </c>
      <c r="C20" s="3">
        <v>-3.1129498087580985E-3</v>
      </c>
      <c r="D20" s="3">
        <v>-9.2049314907337254E-2</v>
      </c>
      <c r="E20" s="3" t="s">
        <v>8</v>
      </c>
      <c r="F20" s="21">
        <v>1.1797361642338615</v>
      </c>
      <c r="G20" s="21">
        <v>1.4910311451096714</v>
      </c>
      <c r="H20" s="21">
        <v>1.3353836546717663</v>
      </c>
    </row>
    <row r="21" spans="1:8" s="2" customFormat="1" ht="16.5" customHeight="1">
      <c r="A21" s="19">
        <v>37530</v>
      </c>
      <c r="B21" s="20">
        <v>90.155114447913448</v>
      </c>
      <c r="C21" s="3">
        <v>2.385140084320453E-3</v>
      </c>
      <c r="D21" s="3">
        <v>-8.3639058914076636E-2</v>
      </c>
      <c r="E21" s="3" t="s">
        <v>8</v>
      </c>
      <c r="F21" s="21">
        <v>1.5256301440247944</v>
      </c>
      <c r="G21" s="21">
        <v>1.287116135592749</v>
      </c>
      <c r="H21" s="21">
        <v>1.4063731398087715</v>
      </c>
    </row>
    <row r="22" spans="1:8" s="2" customFormat="1" ht="16.5" customHeight="1">
      <c r="A22" s="19">
        <v>37561</v>
      </c>
      <c r="B22" s="20">
        <v>90.399308722644037</v>
      </c>
      <c r="C22" s="3">
        <v>2.7086014612256481E-3</v>
      </c>
      <c r="D22" s="3">
        <v>-7.6763685684956395E-2</v>
      </c>
      <c r="E22" s="3" t="s">
        <v>8</v>
      </c>
      <c r="F22" s="21">
        <v>1.8020029459405233</v>
      </c>
      <c r="G22" s="21">
        <v>1.5311427998179585</v>
      </c>
      <c r="H22" s="21">
        <v>1.6665728728792408</v>
      </c>
    </row>
    <row r="23" spans="1:8" s="2" customFormat="1" ht="16.5" customHeight="1">
      <c r="A23" s="19">
        <v>37591</v>
      </c>
      <c r="B23" s="20">
        <v>90.721446781711307</v>
      </c>
      <c r="C23" s="3">
        <v>3.5635013543702794E-3</v>
      </c>
      <c r="D23" s="3">
        <v>-6.2113008244916945E-2</v>
      </c>
      <c r="E23" s="3" t="s">
        <v>8</v>
      </c>
      <c r="F23" s="21">
        <v>1.9828532346941774</v>
      </c>
      <c r="G23" s="21">
        <v>1.6265030992571494</v>
      </c>
      <c r="H23" s="21">
        <v>1.8046781669756635</v>
      </c>
    </row>
    <row r="24" spans="1:8" s="2" customFormat="1" ht="16.5" customHeight="1">
      <c r="A24" s="19">
        <v>37622</v>
      </c>
      <c r="B24" s="20">
        <v>90.813724120873175</v>
      </c>
      <c r="C24" s="3">
        <v>1.0171502156914145E-3</v>
      </c>
      <c r="D24" s="3">
        <v>-4.4839543763323997E-2</v>
      </c>
      <c r="E24" s="3">
        <v>-4.4839543763323997E-2</v>
      </c>
      <c r="F24" s="21">
        <v>2.4540258974659399</v>
      </c>
      <c r="G24" s="21">
        <v>2.3523108758968001</v>
      </c>
      <c r="H24" s="21">
        <v>2.40316838668137</v>
      </c>
    </row>
    <row r="25" spans="1:8" s="2" customFormat="1" ht="16.5" customHeight="1">
      <c r="A25" s="19">
        <v>37653</v>
      </c>
      <c r="B25" s="20">
        <v>90.9371336957403</v>
      </c>
      <c r="C25" s="3">
        <v>1.3589308891556269E-3</v>
      </c>
      <c r="D25" s="3">
        <v>-3.1107355671923687E-2</v>
      </c>
      <c r="E25" s="3">
        <v>-3.7973449717623842E-2</v>
      </c>
      <c r="F25" s="21">
        <v>1.8797285159359194</v>
      </c>
      <c r="G25" s="21">
        <v>1.7438354270203567</v>
      </c>
      <c r="H25" s="21">
        <v>1.811781971478138</v>
      </c>
    </row>
    <row r="26" spans="1:8" s="2" customFormat="1" ht="16.5" customHeight="1">
      <c r="A26" s="19">
        <v>37681</v>
      </c>
      <c r="B26" s="20">
        <v>91.310282568926525</v>
      </c>
      <c r="C26" s="3">
        <v>4.1033718352584299E-3</v>
      </c>
      <c r="D26" s="3">
        <v>-1.7201789501047782E-2</v>
      </c>
      <c r="E26" s="3">
        <v>-3.1049562978765155E-2</v>
      </c>
      <c r="F26" s="21">
        <v>2.4610897211527245</v>
      </c>
      <c r="G26" s="21">
        <v>2.0507525376268814</v>
      </c>
      <c r="H26" s="21">
        <v>2.2559211293898027</v>
      </c>
    </row>
    <row r="27" spans="1:8" s="2" customFormat="1" ht="16.5" customHeight="1">
      <c r="A27" s="19">
        <v>37712</v>
      </c>
      <c r="B27" s="20">
        <v>91.466141795852607</v>
      </c>
      <c r="C27" s="3">
        <v>1.7069186792672967E-3</v>
      </c>
      <c r="D27" s="3">
        <v>-7.2169173282465859E-3</v>
      </c>
      <c r="E27" s="3">
        <v>-2.5091401566135513E-2</v>
      </c>
      <c r="F27" s="21">
        <v>2.0004666900011667</v>
      </c>
      <c r="G27" s="21">
        <v>1.829774822074437</v>
      </c>
      <c r="H27" s="21">
        <v>1.9151207560378019</v>
      </c>
    </row>
    <row r="28" spans="1:8" s="2" customFormat="1" ht="16.5" customHeight="1">
      <c r="A28" s="19">
        <v>37742</v>
      </c>
      <c r="B28" s="20">
        <v>91.666939656296563</v>
      </c>
      <c r="C28" s="3">
        <v>2.1953244829341183E-3</v>
      </c>
      <c r="D28" s="3">
        <v>3.4495335978124153E-3</v>
      </c>
      <c r="E28" s="3">
        <v>-1.9383214533345926E-2</v>
      </c>
      <c r="F28" s="21">
        <v>2.1992842194020099</v>
      </c>
      <c r="G28" s="21">
        <v>1.9797517711085981</v>
      </c>
      <c r="H28" s="21">
        <v>2.0895179952553038</v>
      </c>
    </row>
    <row r="29" spans="1:8" s="2" customFormat="1" ht="16.5" customHeight="1">
      <c r="A29" s="19">
        <v>37773</v>
      </c>
      <c r="B29" s="20">
        <v>91.834172333783798</v>
      </c>
      <c r="C29" s="3">
        <v>1.8243510486362197E-3</v>
      </c>
      <c r="D29" s="3">
        <v>1.1355361665603247E-2</v>
      </c>
      <c r="E29" s="3">
        <v>-1.4260118500187732E-2</v>
      </c>
      <c r="F29" s="21">
        <v>2.8674550779784487</v>
      </c>
      <c r="G29" s="21">
        <v>2.6850199731148265</v>
      </c>
      <c r="H29" s="21">
        <v>2.7762375255466374</v>
      </c>
    </row>
    <row r="30" spans="1:8" s="2" customFormat="1" ht="16.5" customHeight="1">
      <c r="A30" s="19">
        <v>37803</v>
      </c>
      <c r="B30" s="20">
        <v>92.603627530396025</v>
      </c>
      <c r="C30" s="3">
        <v>8.3787459184096139E-3</v>
      </c>
      <c r="D30" s="3">
        <v>2.4079998719702678E-2</v>
      </c>
      <c r="E30" s="3">
        <v>-8.7829588973462446E-3</v>
      </c>
      <c r="F30" s="21">
        <v>2.4378988611509604</v>
      </c>
      <c r="G30" s="21">
        <v>1.6000242693099991</v>
      </c>
      <c r="H30" s="21">
        <v>2.0189615652304798</v>
      </c>
    </row>
    <row r="31" spans="1:8" s="2" customFormat="1" ht="16.5" customHeight="1">
      <c r="A31" s="19">
        <v>37834</v>
      </c>
      <c r="B31" s="20">
        <v>92.974074521441352</v>
      </c>
      <c r="C31" s="3">
        <v>4.000350752174719E-3</v>
      </c>
      <c r="D31" s="3">
        <v>3.0509664802926162E-2</v>
      </c>
      <c r="E31" s="3">
        <v>-3.8713809348121936E-3</v>
      </c>
      <c r="F31" s="21">
        <v>1.9950694899996779</v>
      </c>
      <c r="G31" s="21">
        <v>1.595034414782206</v>
      </c>
      <c r="H31" s="21">
        <v>1.7950519523909421</v>
      </c>
    </row>
    <row r="32" spans="1:8" s="2" customFormat="1" ht="16.5" customHeight="1">
      <c r="A32" s="19">
        <v>37865</v>
      </c>
      <c r="B32" s="20">
        <v>93.766644282817111</v>
      </c>
      <c r="C32" s="3">
        <v>8.5246318982502532E-3</v>
      </c>
      <c r="D32" s="3">
        <v>4.2539754291705423E-2</v>
      </c>
      <c r="E32" s="3">
        <v>1.2854118681342082E-3</v>
      </c>
      <c r="F32" s="21">
        <v>2.4695812763377685</v>
      </c>
      <c r="G32" s="21">
        <v>1.6171180865127432</v>
      </c>
      <c r="H32" s="21">
        <v>2.0433496814252559</v>
      </c>
    </row>
    <row r="33" spans="1:8" s="2" customFormat="1" ht="16.5" customHeight="1">
      <c r="A33" s="19">
        <v>37895</v>
      </c>
      <c r="B33" s="20">
        <v>94.350985347835689</v>
      </c>
      <c r="C33" s="3">
        <v>6.2318649610205905E-3</v>
      </c>
      <c r="D33" s="3">
        <v>4.6540575380738636E-2</v>
      </c>
      <c r="E33" s="3">
        <v>5.8109282193946508E-3</v>
      </c>
      <c r="F33" s="21">
        <v>2.4723621333663202</v>
      </c>
      <c r="G33" s="21">
        <v>1.8491756372642612</v>
      </c>
      <c r="H33" s="21">
        <v>2.1607688853152904</v>
      </c>
    </row>
    <row r="34" spans="1:8" s="2" customFormat="1" ht="16.5" customHeight="1">
      <c r="A34" s="19">
        <v>37926</v>
      </c>
      <c r="B34" s="20">
        <v>95.234118172393067</v>
      </c>
      <c r="C34" s="3">
        <v>9.3600805683333784E-3</v>
      </c>
      <c r="D34" s="3">
        <v>5.34828143938888E-2</v>
      </c>
      <c r="E34" s="3">
        <v>1.0144736053439574E-2</v>
      </c>
      <c r="F34" s="21">
        <v>2.2469310541930918</v>
      </c>
      <c r="G34" s="21">
        <v>1.310922997359754</v>
      </c>
      <c r="H34" s="21">
        <v>1.7789270257764229</v>
      </c>
    </row>
    <row r="35" spans="1:8" s="2" customFormat="1" ht="16.5" customHeight="1">
      <c r="A35" s="19">
        <v>37956</v>
      </c>
      <c r="B35" s="20">
        <v>96.000798267496734</v>
      </c>
      <c r="C35" s="3">
        <v>8.0504771799935326E-3</v>
      </c>
      <c r="D35" s="3">
        <v>5.8192981627467777E-2</v>
      </c>
      <c r="E35" s="3">
        <v>1.4148756517941924E-2</v>
      </c>
      <c r="F35" s="21">
        <v>2.5901259124271103</v>
      </c>
      <c r="G35" s="21">
        <v>1.7850781944277569</v>
      </c>
      <c r="H35" s="21">
        <v>2.1876020534274336</v>
      </c>
    </row>
    <row r="36" spans="1:8" s="2" customFormat="1" ht="16.5" customHeight="1">
      <c r="A36" s="19">
        <v>37987</v>
      </c>
      <c r="B36" s="20">
        <v>96.280961188768032</v>
      </c>
      <c r="C36" s="3">
        <v>2.918339496413778E-3</v>
      </c>
      <c r="D36" s="3">
        <v>6.020276253199297E-2</v>
      </c>
      <c r="E36" s="3">
        <v>6.020276253199297E-2</v>
      </c>
      <c r="F36" s="21">
        <v>2.2928586610330739</v>
      </c>
      <c r="G36" s="21">
        <v>2.0010247113916959</v>
      </c>
      <c r="H36" s="21">
        <v>2.1469416862123847</v>
      </c>
    </row>
    <row r="37" spans="1:8" s="2" customFormat="1" ht="16.5" customHeight="1">
      <c r="A37" s="19">
        <v>38018</v>
      </c>
      <c r="B37" s="20">
        <v>96.824167119503358</v>
      </c>
      <c r="C37" s="3">
        <v>5.6418831306671389E-3</v>
      </c>
      <c r="D37" s="3">
        <v>6.4737398073926977E-2</v>
      </c>
      <c r="E37" s="3">
        <v>6.2470080302959974E-2</v>
      </c>
      <c r="F37" s="21">
        <v>2.4524544749135688</v>
      </c>
      <c r="G37" s="21">
        <v>1.8882661618468548</v>
      </c>
      <c r="H37" s="21">
        <v>2.1703603183802116</v>
      </c>
    </row>
    <row r="38" spans="1:8" s="2" customFormat="1" ht="16.5" customHeight="1">
      <c r="A38" s="19">
        <v>38047</v>
      </c>
      <c r="B38" s="20">
        <v>97.452021545087163</v>
      </c>
      <c r="C38" s="3">
        <v>6.4844805203320265E-3</v>
      </c>
      <c r="D38" s="3">
        <v>6.726229295725239E-2</v>
      </c>
      <c r="E38" s="3">
        <v>6.4067484521057441E-2</v>
      </c>
      <c r="F38" s="21">
        <v>3.1983656573868875</v>
      </c>
      <c r="G38" s="21">
        <v>2.5499176053536847</v>
      </c>
      <c r="H38" s="21">
        <v>2.8741416313702861</v>
      </c>
    </row>
    <row r="39" spans="1:8" s="2" customFormat="1" ht="16.5" customHeight="1">
      <c r="A39" s="19">
        <v>38078</v>
      </c>
      <c r="B39" s="20">
        <v>97.599049521814578</v>
      </c>
      <c r="C39" s="3">
        <v>1.5087216703799716E-3</v>
      </c>
      <c r="D39" s="3">
        <v>6.7051125209263596E-2</v>
      </c>
      <c r="E39" s="3">
        <v>6.4813394693108983E-2</v>
      </c>
      <c r="F39" s="21">
        <v>2.4275487674223091</v>
      </c>
      <c r="G39" s="21">
        <v>2.2766766003843117</v>
      </c>
      <c r="H39" s="21">
        <v>2.3521126839033104</v>
      </c>
    </row>
    <row r="40" spans="1:8" s="2" customFormat="1" ht="16.5" customHeight="1">
      <c r="A40" s="19">
        <v>38108</v>
      </c>
      <c r="B40" s="20">
        <v>97.930934614550225</v>
      </c>
      <c r="C40" s="3">
        <v>3.4004951314763883E-3</v>
      </c>
      <c r="D40" s="3">
        <v>6.8334286949475853E-2</v>
      </c>
      <c r="E40" s="3">
        <v>6.5517573144382363E-2</v>
      </c>
      <c r="F40" s="21">
        <v>2.280477961687601</v>
      </c>
      <c r="G40" s="21">
        <v>1.9404284485399621</v>
      </c>
      <c r="H40" s="21">
        <v>2.1104532051137816</v>
      </c>
    </row>
    <row r="41" spans="1:8" s="2" customFormat="1" ht="16.5" customHeight="1">
      <c r="A41" s="19">
        <v>38139</v>
      </c>
      <c r="B41" s="20">
        <v>98.518313139298513</v>
      </c>
      <c r="C41" s="3">
        <v>5.9978854185366547E-3</v>
      </c>
      <c r="D41" s="3">
        <v>7.2784897338871835E-2</v>
      </c>
      <c r="E41" s="3">
        <v>6.6728793843463932E-2</v>
      </c>
      <c r="F41" s="21">
        <v>2.5695162998578374</v>
      </c>
      <c r="G41" s="21">
        <v>1.9697277580041719</v>
      </c>
      <c r="H41" s="21">
        <v>2.2696220289310047</v>
      </c>
    </row>
    <row r="42" spans="1:8" s="2" customFormat="1" ht="16.5" customHeight="1">
      <c r="A42" s="19">
        <v>38169</v>
      </c>
      <c r="B42" s="20">
        <v>98.912879000139043</v>
      </c>
      <c r="C42" s="3">
        <v>4.0050001696908099E-3</v>
      </c>
      <c r="D42" s="3">
        <v>6.8131796107793852E-2</v>
      </c>
      <c r="E42" s="3">
        <v>6.692922273836821E-2</v>
      </c>
      <c r="F42" s="21">
        <v>2.5077575186311507</v>
      </c>
      <c r="G42" s="21">
        <v>2.1072575016620698</v>
      </c>
      <c r="H42" s="21">
        <v>2.3075075101466105</v>
      </c>
    </row>
    <row r="43" spans="1:8" s="2" customFormat="1" ht="16.5" customHeight="1">
      <c r="A43" s="19">
        <v>38200</v>
      </c>
      <c r="B43" s="20">
        <v>99.496185374152532</v>
      </c>
      <c r="C43" s="3">
        <v>5.8971731478229565E-3</v>
      </c>
      <c r="D43" s="3">
        <v>7.0149779777663346E-2</v>
      </c>
      <c r="E43" s="3">
        <v>6.7331792368280102E-2</v>
      </c>
      <c r="F43" s="21">
        <v>2.5968654995654541</v>
      </c>
      <c r="G43" s="21">
        <v>2.0071481847831585</v>
      </c>
      <c r="H43" s="21">
        <v>2.3020068421743063</v>
      </c>
    </row>
    <row r="44" spans="1:8" s="2" customFormat="1" ht="16.5" customHeight="1">
      <c r="A44" s="19">
        <v>38231</v>
      </c>
      <c r="B44" s="20">
        <v>100.08468398092077</v>
      </c>
      <c r="C44" s="3">
        <v>5.9147856227372841E-3</v>
      </c>
      <c r="D44" s="3">
        <v>6.7380460785685381E-2</v>
      </c>
      <c r="E44" s="3">
        <v>6.7337199970214021E-2</v>
      </c>
      <c r="F44" s="21">
        <v>2.4306152498485809</v>
      </c>
      <c r="G44" s="21">
        <v>1.8391366875748525</v>
      </c>
      <c r="H44" s="21">
        <v>2.1348759687117167</v>
      </c>
    </row>
    <row r="45" spans="1:8" s="2" customFormat="1" ht="16.5" customHeight="1">
      <c r="A45" s="19">
        <v>38261</v>
      </c>
      <c r="B45" s="20">
        <v>100.77217492095841</v>
      </c>
      <c r="C45" s="3">
        <v>6.8690923794962264E-3</v>
      </c>
      <c r="D45" s="3">
        <v>6.8056412441801939E-2</v>
      </c>
      <c r="E45" s="3">
        <v>6.7409121217372817E-2</v>
      </c>
      <c r="F45" s="21">
        <v>2.5773916792125315</v>
      </c>
      <c r="G45" s="21">
        <v>1.8904824412629089</v>
      </c>
      <c r="H45" s="21">
        <v>2.2339370602377202</v>
      </c>
    </row>
    <row r="46" spans="1:8" s="2" customFormat="1" ht="16.5" customHeight="1">
      <c r="A46" s="19">
        <v>38292</v>
      </c>
      <c r="B46" s="20">
        <v>101.78394508955381</v>
      </c>
      <c r="C46" s="3">
        <v>1.0040173980456342E-2</v>
      </c>
      <c r="D46" s="3">
        <v>6.8776054662513131E-2</v>
      </c>
      <c r="E46" s="3">
        <v>6.7533387894203753E-2</v>
      </c>
      <c r="F46" s="21">
        <v>3.0019667118590099</v>
      </c>
      <c r="G46" s="21">
        <v>1.9979493138133755</v>
      </c>
      <c r="H46" s="21">
        <v>2.4999580128361929</v>
      </c>
    </row>
    <row r="47" spans="1:8" s="2" customFormat="1" ht="16.5" customHeight="1">
      <c r="A47" s="19">
        <v>38322</v>
      </c>
      <c r="B47" s="20">
        <v>102.49515115213003</v>
      </c>
      <c r="C47" s="3">
        <v>6.9874090845120744E-3</v>
      </c>
      <c r="D47" s="3">
        <v>6.7648946694562229E-2</v>
      </c>
      <c r="E47" s="3">
        <v>6.754301779423362E-2</v>
      </c>
      <c r="F47" s="21">
        <v>3.1188059253106877</v>
      </c>
      <c r="G47" s="21">
        <v>2.4200650168594802</v>
      </c>
      <c r="H47" s="21">
        <v>2.7694354710850839</v>
      </c>
    </row>
    <row r="48" spans="1:8" s="2" customFormat="1" ht="16.5" customHeight="1">
      <c r="A48" s="19">
        <v>38353</v>
      </c>
      <c r="B48" s="20">
        <v>102.6921902315013</v>
      </c>
      <c r="C48" s="3">
        <v>1.9224234235121094E-3</v>
      </c>
      <c r="D48" s="3">
        <v>6.6588751956510261E-2</v>
      </c>
      <c r="E48" s="3">
        <v>6.6588751956510261E-2</v>
      </c>
      <c r="F48" s="21">
        <v>2.9063017767710462</v>
      </c>
      <c r="G48" s="21">
        <v>2.714059434419835</v>
      </c>
      <c r="H48" s="21">
        <v>2.8101806055954404</v>
      </c>
    </row>
    <row r="49" spans="1:8" s="2" customFormat="1" ht="16.5" customHeight="1">
      <c r="A49" s="19">
        <v>38384</v>
      </c>
      <c r="B49" s="20">
        <v>103.35951027013409</v>
      </c>
      <c r="C49" s="3">
        <v>6.4982549999999997E-3</v>
      </c>
      <c r="D49" s="3">
        <v>6.7497024194017818E-2</v>
      </c>
      <c r="E49" s="3">
        <v>6.704288807526404E-2</v>
      </c>
      <c r="F49" s="21">
        <v>2.8762270000000001</v>
      </c>
      <c r="G49" s="21">
        <v>2.2264020000000002</v>
      </c>
      <c r="H49" s="21">
        <v>2.5513140000000001</v>
      </c>
    </row>
    <row r="50" spans="1:8" s="2" customFormat="1" ht="16.5" customHeight="1">
      <c r="A50" s="19">
        <v>38412</v>
      </c>
      <c r="B50" s="20">
        <v>104.83255590186565</v>
      </c>
      <c r="C50" s="3">
        <v>1.4251670000000001E-2</v>
      </c>
      <c r="D50" s="3">
        <v>7.5735056489965258E-2</v>
      </c>
      <c r="E50" s="3">
        <v>6.9940277546831117E-2</v>
      </c>
      <c r="F50" s="21">
        <v>4.2602520000000004</v>
      </c>
      <c r="G50" s="21">
        <v>2.8350840000000002</v>
      </c>
      <c r="H50" s="21">
        <v>3.5476679999999998</v>
      </c>
    </row>
    <row r="51" spans="1:8" s="2" customFormat="1" ht="16.5" customHeight="1">
      <c r="A51" s="19">
        <v>38443</v>
      </c>
      <c r="B51" s="20">
        <v>105.91681281941966</v>
      </c>
      <c r="C51" s="3">
        <v>1.0342750000000001E-2</v>
      </c>
      <c r="D51" s="3">
        <v>8.5223814559238775E-2</v>
      </c>
      <c r="E51" s="3">
        <v>7.3761161799933028E-2</v>
      </c>
      <c r="F51" s="21">
        <v>3.4603449999999998</v>
      </c>
      <c r="G51" s="21">
        <v>2.426069</v>
      </c>
      <c r="H51" s="21">
        <v>2.9432070000000001</v>
      </c>
    </row>
    <row r="52" spans="1:8" s="2" customFormat="1" ht="16.5" customHeight="1">
      <c r="A52" s="19">
        <v>38473</v>
      </c>
      <c r="B52" s="20">
        <v>106.74802053397194</v>
      </c>
      <c r="C52" s="3">
        <v>7.8477410000000001E-3</v>
      </c>
      <c r="D52" s="3">
        <v>9.0033715639753487E-2</v>
      </c>
      <c r="E52" s="3">
        <v>7.7015672567897125E-2</v>
      </c>
      <c r="F52" s="21">
        <v>3.271782</v>
      </c>
      <c r="G52" s="21">
        <v>2.4870079999999999</v>
      </c>
      <c r="H52" s="21">
        <v>2.8793950000000001</v>
      </c>
    </row>
    <row r="53" spans="1:8" s="2" customFormat="1" ht="16.5" customHeight="1">
      <c r="A53" s="19">
        <v>38504</v>
      </c>
      <c r="B53" s="20">
        <v>107.28473911991072</v>
      </c>
      <c r="C53" s="3">
        <v>5.0279019999999999E-3</v>
      </c>
      <c r="D53" s="3">
        <v>8.8982704852214267E-2</v>
      </c>
      <c r="E53" s="3">
        <v>7.9010177948616644E-2</v>
      </c>
      <c r="F53" s="21">
        <v>2.877631</v>
      </c>
      <c r="G53" s="21">
        <v>2.374841</v>
      </c>
      <c r="H53" s="21">
        <v>2.626236</v>
      </c>
    </row>
    <row r="54" spans="1:8" s="2" customFormat="1" ht="16.5" customHeight="1">
      <c r="A54" s="19">
        <v>38534</v>
      </c>
      <c r="B54" s="20">
        <v>107.85210512897406</v>
      </c>
      <c r="C54" s="3">
        <v>5.2884129999999996E-3</v>
      </c>
      <c r="D54" s="3">
        <v>9.0374744110142124E-2</v>
      </c>
      <c r="E54" s="3">
        <v>8.0633687400263138E-2</v>
      </c>
      <c r="F54" s="21">
        <v>3.0175390000000002</v>
      </c>
      <c r="G54" s="21">
        <v>2.4886979999999999</v>
      </c>
      <c r="H54" s="21">
        <v>2.7531180000000002</v>
      </c>
    </row>
    <row r="55" spans="1:8" s="2" customFormat="1" ht="16.5" customHeight="1">
      <c r="A55" s="19">
        <v>38565</v>
      </c>
      <c r="B55" s="20">
        <v>109.05373288714222</v>
      </c>
      <c r="C55" s="3">
        <v>1.1141440000000001E-2</v>
      </c>
      <c r="D55" s="3">
        <v>9.6059436621100724E-2</v>
      </c>
      <c r="E55" s="3">
        <v>8.2561906052867839E-2</v>
      </c>
      <c r="F55" s="21">
        <v>3.7191480000000001</v>
      </c>
      <c r="G55" s="21">
        <v>2.605003</v>
      </c>
      <c r="H55" s="21">
        <v>3.1620750000000002</v>
      </c>
    </row>
    <row r="56" spans="1:8" s="2" customFormat="1" ht="16.5" customHeight="1">
      <c r="A56" s="19">
        <v>38596</v>
      </c>
      <c r="B56" s="20">
        <v>110.3489826117774</v>
      </c>
      <c r="C56" s="3">
        <v>1.1877169999999999E-2</v>
      </c>
      <c r="D56" s="3">
        <v>0.10255613768849314</v>
      </c>
      <c r="E56" s="3">
        <v>8.47834873457151E-2</v>
      </c>
      <c r="F56" s="21">
        <v>3.6061489999999998</v>
      </c>
      <c r="G56" s="21">
        <v>2.4184320000000001</v>
      </c>
      <c r="H56" s="21">
        <v>3.0122900000000001</v>
      </c>
    </row>
    <row r="57" spans="1:8" s="2" customFormat="1" ht="16.5" customHeight="1">
      <c r="A57" s="19">
        <v>38626</v>
      </c>
      <c r="B57" s="20">
        <v>110.95523274956264</v>
      </c>
      <c r="C57" s="3">
        <v>5.4939350000000001E-3</v>
      </c>
      <c r="D57" s="3">
        <v>0.10105029326390347</v>
      </c>
      <c r="E57" s="3">
        <v>8.6410167937533935E-2</v>
      </c>
      <c r="F57" s="21">
        <v>3.3771040000000001</v>
      </c>
      <c r="G57" s="21">
        <v>2.8277100000000002</v>
      </c>
      <c r="H57" s="21">
        <v>3.1024069999999999</v>
      </c>
    </row>
    <row r="58" spans="1:8" s="2" customFormat="1" ht="16.5" customHeight="1">
      <c r="A58" s="19">
        <v>38657</v>
      </c>
      <c r="B58" s="20">
        <v>112.42426893564358</v>
      </c>
      <c r="C58" s="3">
        <v>1.3239900000000001E-2</v>
      </c>
      <c r="D58" s="3">
        <v>0.10453833202012319</v>
      </c>
      <c r="E58" s="3">
        <v>8.8058182854132958E-2</v>
      </c>
      <c r="F58" s="21">
        <v>4.0961809999999996</v>
      </c>
      <c r="G58" s="21">
        <v>2.7721909999999998</v>
      </c>
      <c r="H58" s="21">
        <v>3.434186</v>
      </c>
    </row>
    <row r="59" spans="1:8" s="2" customFormat="1" ht="16.5" customHeight="1">
      <c r="A59" s="19">
        <v>38687</v>
      </c>
      <c r="B59" s="20">
        <v>112.66764195758022</v>
      </c>
      <c r="C59" s="3">
        <v>2.164773E-3</v>
      </c>
      <c r="D59" s="3">
        <v>9.9248507769421179E-2</v>
      </c>
      <c r="E59" s="3">
        <v>8.8990709930406975E-2</v>
      </c>
      <c r="F59" s="21">
        <v>3.7703950000000002</v>
      </c>
      <c r="G59" s="21">
        <v>3.5539179999999999</v>
      </c>
      <c r="H59" s="21">
        <v>3.662156</v>
      </c>
    </row>
    <row r="60" spans="1:8" s="2" customFormat="1" ht="16.5" customHeight="1">
      <c r="A60" s="19">
        <v>38718</v>
      </c>
      <c r="B60" s="20">
        <v>113.06036462779306</v>
      </c>
      <c r="C60" s="3">
        <v>3.4856740000000002E-3</v>
      </c>
      <c r="D60" s="3">
        <v>0.10096361147735333</v>
      </c>
      <c r="E60" s="3">
        <v>0.10096361147735333</v>
      </c>
      <c r="F60" s="21">
        <v>3.9472239999999998</v>
      </c>
      <c r="G60" s="21">
        <v>3.5986560000000001</v>
      </c>
      <c r="H60" s="21">
        <v>3.7729400000000002</v>
      </c>
    </row>
    <row r="61" spans="1:8" s="2" customFormat="1" ht="16.5" customHeight="1">
      <c r="A61" s="19">
        <v>38749</v>
      </c>
      <c r="B61" s="20">
        <v>113.56532602126981</v>
      </c>
      <c r="C61" s="3">
        <v>4.466299E-3</v>
      </c>
      <c r="D61" s="3">
        <v>9.8740945312747908E-2</v>
      </c>
      <c r="E61" s="3">
        <v>9.985227839505062E-2</v>
      </c>
      <c r="F61" s="21">
        <v>3.7645490000000001</v>
      </c>
      <c r="G61" s="21">
        <v>3.3179189999999998</v>
      </c>
      <c r="H61" s="21">
        <v>3.5412340000000002</v>
      </c>
    </row>
    <row r="62" spans="1:8" s="2" customFormat="1" ht="16.5" customHeight="1">
      <c r="A62" s="19">
        <v>38777</v>
      </c>
      <c r="B62" s="20">
        <v>114.41450404623963</v>
      </c>
      <c r="C62" s="3">
        <v>7.4774410000000005E-3</v>
      </c>
      <c r="D62" s="3">
        <v>9.1402408936243962E-2</v>
      </c>
      <c r="E62" s="3">
        <v>9.7035655242115063E-2</v>
      </c>
      <c r="F62" s="21">
        <v>4.4199859999999997</v>
      </c>
      <c r="G62" s="21">
        <v>3.6722419999999998</v>
      </c>
      <c r="H62" s="21">
        <v>4.0461140000000002</v>
      </c>
    </row>
    <row r="63" spans="1:8" s="2" customFormat="1" ht="16.5" customHeight="1">
      <c r="A63" s="19">
        <v>38808</v>
      </c>
      <c r="B63" s="20">
        <v>115.14867606102644</v>
      </c>
      <c r="C63" s="3">
        <v>6.4167739999999992E-3</v>
      </c>
      <c r="D63" s="3">
        <v>8.7161452425370989E-2</v>
      </c>
      <c r="E63" s="3">
        <v>9.4567104537929048E-2</v>
      </c>
      <c r="F63" s="21">
        <v>4.2080270000000004</v>
      </c>
      <c r="G63" s="21">
        <v>3.5663499999999999</v>
      </c>
      <c r="H63" s="21">
        <v>3.8871889999999998</v>
      </c>
    </row>
    <row r="64" spans="1:8" s="2" customFormat="1" ht="16.5" customHeight="1">
      <c r="A64" s="19">
        <v>38838</v>
      </c>
      <c r="B64" s="20">
        <v>115.59597742636267</v>
      </c>
      <c r="C64" s="3">
        <v>3.884555E-3</v>
      </c>
      <c r="D64" s="3">
        <v>8.2886379046016367E-2</v>
      </c>
      <c r="E64" s="3">
        <v>9.2230959439546512E-2</v>
      </c>
      <c r="F64" s="21">
        <v>2.9714640000000001</v>
      </c>
      <c r="G64" s="21">
        <v>2.5830090000000001</v>
      </c>
      <c r="H64" s="21">
        <v>2.7772359999999998</v>
      </c>
    </row>
    <row r="65" spans="1:25" s="2" customFormat="1" ht="16.5" customHeight="1">
      <c r="A65" s="19">
        <v>38869</v>
      </c>
      <c r="B65" s="20">
        <v>115.72731630435874</v>
      </c>
      <c r="C65" s="3">
        <v>1.1361889999999999E-3</v>
      </c>
      <c r="D65" s="3">
        <v>7.8693179045827399E-2</v>
      </c>
      <c r="E65" s="3">
        <v>8.9974662707259997E-2</v>
      </c>
      <c r="F65" s="21">
        <v>2.717876</v>
      </c>
      <c r="G65" s="21">
        <v>2.604257</v>
      </c>
      <c r="H65" s="21">
        <v>2.6610670000000001</v>
      </c>
    </row>
    <row r="66" spans="1:25" s="2" customFormat="1" ht="16.5" customHeight="1">
      <c r="A66" s="19">
        <v>38899</v>
      </c>
      <c r="B66" s="20">
        <v>116.12848828669264</v>
      </c>
      <c r="C66" s="3">
        <v>3.466528E-3</v>
      </c>
      <c r="D66" s="3">
        <v>7.6738262529241652E-2</v>
      </c>
      <c r="E66" s="3">
        <v>8.808374839611452E-2</v>
      </c>
      <c r="F66" s="21">
        <v>2.625499</v>
      </c>
      <c r="G66" s="21">
        <v>2.2788460000000001</v>
      </c>
      <c r="H66" s="21">
        <v>2.4521730000000002</v>
      </c>
    </row>
    <row r="67" spans="1:25" s="2" customFormat="1" ht="16.5" customHeight="1">
      <c r="A67" s="19">
        <v>38930</v>
      </c>
      <c r="B67" s="20">
        <v>116.60576500667537</v>
      </c>
      <c r="C67" s="3">
        <v>4.079897325376316E-3</v>
      </c>
      <c r="D67" s="3">
        <v>6.9250560431054708E-2</v>
      </c>
      <c r="E67" s="3">
        <v>8.5739402540887105E-2</v>
      </c>
      <c r="F67" s="21">
        <v>3.2844081876680802</v>
      </c>
      <c r="G67" s="21">
        <v>2.8764184551304486</v>
      </c>
      <c r="H67" s="21">
        <v>3.0804133213992646</v>
      </c>
    </row>
    <row r="68" spans="1:25" s="2" customFormat="1" ht="16.5" customHeight="1">
      <c r="A68" s="19">
        <v>38961</v>
      </c>
      <c r="B68" s="20">
        <v>117.28282510497223</v>
      </c>
      <c r="C68" s="3">
        <v>5.8064032962530862E-3</v>
      </c>
      <c r="D68" s="3">
        <v>6.2835581525830797E-2</v>
      </c>
      <c r="E68" s="3">
        <v>8.3194533539214188E-2</v>
      </c>
      <c r="F68" s="21">
        <v>3.1858070984364959</v>
      </c>
      <c r="G68" s="21">
        <v>2.6051667688111873</v>
      </c>
      <c r="H68" s="21">
        <v>2.8954869336238414</v>
      </c>
    </row>
    <row r="69" spans="1:25" s="2" customFormat="1" ht="16.5" customHeight="1">
      <c r="A69" s="19">
        <v>38991</v>
      </c>
      <c r="B69" s="20">
        <v>118.05887545276573</v>
      </c>
      <c r="C69" s="3">
        <v>6.6169138328557742E-3</v>
      </c>
      <c r="D69" s="3">
        <v>6.4022601973507065E-2</v>
      </c>
      <c r="E69" s="3">
        <v>8.1277340382643476E-2</v>
      </c>
      <c r="F69" s="21">
        <v>3.1360000000000001</v>
      </c>
      <c r="G69" s="21">
        <v>2.4743086167144228</v>
      </c>
      <c r="H69" s="21">
        <v>2.8051543083572117</v>
      </c>
    </row>
    <row r="70" spans="1:25" s="2" customFormat="1" ht="16.5" customHeight="1">
      <c r="A70" s="19">
        <v>39022</v>
      </c>
      <c r="B70" s="20">
        <v>118.98418862561192</v>
      </c>
      <c r="C70" s="3">
        <v>7.8377264673878851E-3</v>
      </c>
      <c r="D70" s="3">
        <v>5.8337539017847773E-2</v>
      </c>
      <c r="E70" s="3">
        <v>7.9191903894934773E-2</v>
      </c>
      <c r="F70" s="21">
        <v>3.385999450645599</v>
      </c>
      <c r="G70" s="21">
        <v>2.6022268039068104</v>
      </c>
      <c r="H70" s="21">
        <v>2.9941131272762047</v>
      </c>
    </row>
    <row r="71" spans="1:25" ht="16.5" customHeight="1">
      <c r="A71" s="19">
        <v>39052</v>
      </c>
      <c r="B71" s="20">
        <v>119.3780277840373</v>
      </c>
      <c r="C71" s="3">
        <v>3.3100125569171792E-3</v>
      </c>
      <c r="D71" s="3">
        <v>5.9533663344234711E-2</v>
      </c>
      <c r="E71" s="3">
        <v>7.7553717182376428E-2</v>
      </c>
      <c r="F71" s="21">
        <v>3.4016224361852565</v>
      </c>
      <c r="G71" s="21">
        <v>3.0706211804935384</v>
      </c>
      <c r="H71" s="21">
        <v>3.2361218083393974</v>
      </c>
      <c r="I71" s="9"/>
      <c r="J71" s="9"/>
      <c r="K71" s="9"/>
      <c r="L71" s="9"/>
      <c r="M71" s="9"/>
      <c r="N71" s="9"/>
      <c r="O71" s="9"/>
      <c r="P71" s="9"/>
      <c r="Q71" s="9"/>
      <c r="R71" s="9"/>
      <c r="S71" s="9"/>
      <c r="T71" s="9"/>
      <c r="U71" s="9"/>
      <c r="V71" s="9"/>
      <c r="W71" s="9"/>
      <c r="X71" s="9"/>
      <c r="Y71" s="9"/>
    </row>
    <row r="72" spans="1:25" ht="16.5" customHeight="1">
      <c r="A72" s="19">
        <v>39083</v>
      </c>
      <c r="B72" s="20">
        <v>119.78466652552552</v>
      </c>
      <c r="C72" s="3">
        <v>3.4063114380131986E-3</v>
      </c>
      <c r="D72" s="3">
        <v>5.9452444205604138E-2</v>
      </c>
      <c r="E72" s="3">
        <v>5.9452444205604138E-2</v>
      </c>
      <c r="F72" s="21">
        <v>3.4294010752137964</v>
      </c>
      <c r="G72" s="21">
        <v>3.0590545284684048</v>
      </c>
      <c r="H72" s="21">
        <v>3.4561728223026495</v>
      </c>
      <c r="I72" s="9"/>
      <c r="J72" s="9"/>
      <c r="K72" s="9"/>
      <c r="L72" s="9"/>
      <c r="M72" s="9"/>
      <c r="N72" s="9"/>
      <c r="O72" s="9"/>
      <c r="P72" s="9"/>
      <c r="Q72" s="9"/>
      <c r="R72" s="9"/>
      <c r="S72" s="9"/>
      <c r="T72" s="9"/>
      <c r="U72" s="9"/>
      <c r="V72" s="9"/>
      <c r="W72" s="9"/>
      <c r="X72" s="9"/>
      <c r="Y72" s="9"/>
    </row>
    <row r="73" spans="1:25" ht="16.5" customHeight="1">
      <c r="A73" s="19">
        <v>39114</v>
      </c>
      <c r="B73" s="20">
        <v>120.31507898865543</v>
      </c>
      <c r="C73" s="3">
        <v>4.4280497539046504E-3</v>
      </c>
      <c r="D73" s="3">
        <v>5.9410792249635636E-2</v>
      </c>
      <c r="E73" s="3">
        <v>5.9431618227619887E-2</v>
      </c>
      <c r="F73" s="21">
        <v>2.8638393802389093</v>
      </c>
      <c r="G73" s="21">
        <v>2.4738414172249383</v>
      </c>
      <c r="H73" s="21">
        <v>2.9657450995087409</v>
      </c>
      <c r="I73" s="9"/>
      <c r="J73" s="9"/>
      <c r="K73" s="9"/>
      <c r="L73" s="9"/>
      <c r="M73" s="9"/>
      <c r="N73" s="9"/>
      <c r="O73" s="9"/>
      <c r="P73" s="9"/>
      <c r="Q73" s="9"/>
      <c r="R73" s="9"/>
      <c r="S73" s="9"/>
      <c r="T73" s="9"/>
      <c r="U73" s="9"/>
      <c r="V73" s="9"/>
      <c r="W73" s="9"/>
      <c r="X73" s="9"/>
      <c r="Y73" s="9"/>
    </row>
    <row r="74" spans="1:25" ht="16.5" customHeight="1">
      <c r="A74" s="19">
        <v>39142</v>
      </c>
      <c r="B74" s="20">
        <v>121.02061720303705</v>
      </c>
      <c r="C74" s="3">
        <v>5.8640880288010466E-3</v>
      </c>
      <c r="D74" s="3">
        <v>5.7755105099258186E-2</v>
      </c>
      <c r="E74" s="3">
        <v>5.8872780518165989E-2</v>
      </c>
      <c r="F74" s="21">
        <v>3.7972660904384608</v>
      </c>
      <c r="G74" s="21">
        <v>3.1964441426781889</v>
      </c>
      <c r="H74" s="21">
        <v>3.8376768819893821</v>
      </c>
      <c r="I74" s="9"/>
      <c r="J74" s="9"/>
      <c r="K74" s="9"/>
      <c r="L74" s="9"/>
      <c r="M74" s="9"/>
      <c r="N74" s="9"/>
      <c r="O74" s="9"/>
      <c r="P74" s="9"/>
      <c r="Q74" s="9"/>
      <c r="R74" s="9"/>
      <c r="S74" s="9"/>
      <c r="T74" s="9"/>
      <c r="U74" s="9"/>
      <c r="V74" s="9"/>
      <c r="W74" s="9"/>
      <c r="X74" s="9"/>
      <c r="Y74" s="9"/>
    </row>
    <row r="75" spans="1:25" ht="16.5" customHeight="1">
      <c r="A75" s="19">
        <v>39173</v>
      </c>
      <c r="B75" s="20">
        <v>121.34958807106864</v>
      </c>
      <c r="C75" s="3">
        <v>2.7183043322252763E-3</v>
      </c>
      <c r="D75" s="3">
        <v>5.386028152598632E-2</v>
      </c>
      <c r="E75" s="3">
        <v>5.761965577012107E-2</v>
      </c>
      <c r="F75" s="21">
        <v>3.4017029521596216</v>
      </c>
      <c r="G75" s="21">
        <v>3.1401955289108212</v>
      </c>
      <c r="H75" s="21">
        <v>3.2523533474748696</v>
      </c>
      <c r="I75" s="9"/>
      <c r="J75" s="9"/>
      <c r="K75" s="9"/>
      <c r="L75" s="9"/>
      <c r="M75" s="9"/>
      <c r="N75" s="9"/>
      <c r="O75" s="9"/>
      <c r="P75" s="9"/>
      <c r="Q75" s="9"/>
      <c r="R75" s="9"/>
      <c r="S75" s="9"/>
      <c r="T75" s="9"/>
      <c r="U75" s="9"/>
      <c r="V75" s="9"/>
      <c r="W75" s="9"/>
      <c r="X75" s="9"/>
      <c r="Y75" s="9"/>
    </row>
    <row r="76" spans="1:25" ht="16.5" customHeight="1">
      <c r="A76" s="19">
        <v>39203</v>
      </c>
      <c r="B76" s="20">
        <v>122.11361915017913</v>
      </c>
      <c r="C76" s="3">
        <v>6.2961159675552379E-3</v>
      </c>
      <c r="D76" s="3">
        <v>5.6369681978111208E-2</v>
      </c>
      <c r="E76" s="3">
        <v>5.73696610117191E-2</v>
      </c>
      <c r="F76" s="21">
        <v>3.4856956373309496</v>
      </c>
      <c r="G76" s="21">
        <v>2.9038123259993482</v>
      </c>
      <c r="H76" s="21">
        <v>3.1932700841332218</v>
      </c>
      <c r="I76" s="9"/>
      <c r="J76" s="9"/>
      <c r="K76" s="9"/>
      <c r="L76" s="9"/>
      <c r="M76" s="9"/>
      <c r="N76" s="9"/>
      <c r="O76" s="9"/>
      <c r="P76" s="9"/>
      <c r="Q76" s="9"/>
      <c r="R76" s="9"/>
      <c r="S76" s="9"/>
      <c r="T76" s="9"/>
      <c r="U76" s="9"/>
      <c r="V76" s="9"/>
      <c r="W76" s="9"/>
      <c r="X76" s="9"/>
      <c r="Y76" s="9"/>
    </row>
    <row r="77" spans="1:25" ht="16.5" customHeight="1">
      <c r="A77" s="19">
        <v>39234</v>
      </c>
      <c r="B77" s="20">
        <v>122.61024980232668</v>
      </c>
      <c r="C77" s="3">
        <v>4.0669554764137892E-3</v>
      </c>
      <c r="D77" s="3">
        <v>5.9465418651199586E-2</v>
      </c>
      <c r="E77" s="3">
        <v>5.7718953951632512E-2</v>
      </c>
      <c r="F77" s="21">
        <v>3.0621096537298964</v>
      </c>
      <c r="G77" s="21">
        <v>2.687305460234291</v>
      </c>
      <c r="H77" s="21">
        <v>2.8629438248484451</v>
      </c>
      <c r="I77" s="9"/>
      <c r="J77" s="9"/>
      <c r="K77" s="9"/>
      <c r="L77" s="9"/>
      <c r="M77" s="9"/>
      <c r="N77" s="9"/>
      <c r="O77" s="9"/>
      <c r="P77" s="9"/>
      <c r="Q77" s="9"/>
      <c r="R77" s="9"/>
      <c r="S77" s="9"/>
      <c r="T77" s="9"/>
      <c r="U77" s="9"/>
      <c r="V77" s="9"/>
      <c r="W77" s="9"/>
      <c r="X77" s="9"/>
      <c r="Y77" s="9"/>
    </row>
    <row r="78" spans="1:25" ht="16.5" customHeight="1">
      <c r="A78" s="19">
        <v>39264</v>
      </c>
      <c r="B78" s="20">
        <v>123.19458907214057</v>
      </c>
      <c r="C78" s="3">
        <v>4.7658272514408484E-3</v>
      </c>
      <c r="D78" s="3">
        <v>6.0815563788938709E-2</v>
      </c>
      <c r="E78" s="3">
        <v>5.8161326785533395E-2</v>
      </c>
      <c r="F78" s="21">
        <v>3.2873849593287159</v>
      </c>
      <c r="G78" s="21">
        <v>2.8135468220803341</v>
      </c>
      <c r="H78" s="21">
        <v>3.0492768643564152</v>
      </c>
      <c r="I78" s="9"/>
      <c r="J78" s="9"/>
      <c r="K78" s="9"/>
      <c r="L78" s="9"/>
      <c r="M78" s="9"/>
      <c r="N78" s="9"/>
      <c r="O78" s="9"/>
      <c r="P78" s="9"/>
      <c r="Q78" s="9"/>
      <c r="R78" s="9"/>
      <c r="S78" s="9"/>
      <c r="T78" s="9"/>
      <c r="U78" s="9"/>
      <c r="V78" s="9"/>
      <c r="W78" s="9"/>
      <c r="X78" s="9"/>
      <c r="Y78" s="9"/>
    </row>
    <row r="79" spans="1:25" ht="16.5" customHeight="1">
      <c r="A79" s="19">
        <v>39295</v>
      </c>
      <c r="B79" s="20">
        <v>123.44540921610592</v>
      </c>
      <c r="C79" s="3">
        <v>2.0359672113396867E-3</v>
      </c>
      <c r="D79" s="3">
        <v>5.8656141135380313E-2</v>
      </c>
      <c r="E79" s="3">
        <v>5.8223178579264262E-2</v>
      </c>
      <c r="F79" s="21">
        <v>3.0257074526870391</v>
      </c>
      <c r="G79" s="21">
        <v>2.8221107315530705</v>
      </c>
      <c r="H79" s="21">
        <v>2.9239090921200548</v>
      </c>
      <c r="I79" s="9"/>
      <c r="J79" s="9"/>
      <c r="K79" s="9"/>
      <c r="L79" s="9"/>
      <c r="M79" s="9"/>
      <c r="N79" s="9"/>
      <c r="O79" s="9"/>
      <c r="P79" s="9"/>
      <c r="Q79" s="9"/>
      <c r="R79" s="9"/>
      <c r="S79" s="9"/>
      <c r="T79" s="9"/>
      <c r="U79" s="9"/>
      <c r="V79" s="9"/>
      <c r="W79" s="9"/>
      <c r="X79" s="9"/>
      <c r="Y79" s="9"/>
    </row>
    <row r="80" spans="1:25" ht="16.5" customHeight="1">
      <c r="A80" s="19">
        <v>39326</v>
      </c>
      <c r="B80" s="20">
        <v>124.03731677021128</v>
      </c>
      <c r="C80" s="3">
        <v>4.7948932071596624E-3</v>
      </c>
      <c r="D80" s="3">
        <v>5.759148161031713E-2</v>
      </c>
      <c r="E80" s="3">
        <v>5.8152990027159027E-2</v>
      </c>
      <c r="F80" s="21">
        <v>3.1739407080426418</v>
      </c>
      <c r="G80" s="21">
        <v>2.6944513873266756</v>
      </c>
      <c r="H80" s="21">
        <v>2.9341960476846589</v>
      </c>
      <c r="I80" s="9"/>
      <c r="J80" s="9"/>
      <c r="K80" s="9"/>
      <c r="L80" s="9"/>
      <c r="M80" s="9"/>
      <c r="N80" s="9"/>
      <c r="O80" s="9"/>
      <c r="P80" s="9"/>
      <c r="Q80" s="9"/>
      <c r="R80" s="9"/>
      <c r="S80" s="9"/>
      <c r="T80" s="9"/>
      <c r="U80" s="9"/>
      <c r="V80" s="9"/>
      <c r="W80" s="9"/>
      <c r="X80" s="9"/>
      <c r="Y80" s="9"/>
    </row>
    <row r="81" spans="1:25" ht="16.5" customHeight="1">
      <c r="A81" s="19">
        <v>39356</v>
      </c>
      <c r="B81" s="20">
        <v>124.95241316905226</v>
      </c>
      <c r="C81" s="3">
        <v>7.3775894437983873E-3</v>
      </c>
      <c r="D81" s="3">
        <v>5.8390677446733541E-2</v>
      </c>
      <c r="E81" s="3">
        <v>5.8176758769116474E-2</v>
      </c>
      <c r="F81" s="21">
        <v>3.5727712472838604</v>
      </c>
      <c r="G81" s="21">
        <v>2.8350123029040217</v>
      </c>
      <c r="H81" s="21">
        <v>3.2038917750939411</v>
      </c>
      <c r="I81" s="9"/>
      <c r="J81" s="9"/>
      <c r="K81" s="9"/>
      <c r="L81" s="9"/>
      <c r="M81" s="9"/>
      <c r="N81" s="9"/>
      <c r="O81" s="9"/>
      <c r="P81" s="9"/>
      <c r="Q81" s="9"/>
      <c r="R81" s="9"/>
      <c r="S81" s="9"/>
      <c r="T81" s="9"/>
      <c r="U81" s="9"/>
      <c r="V81" s="9"/>
      <c r="W81" s="9"/>
      <c r="X81" s="9"/>
      <c r="Y81" s="9"/>
    </row>
    <row r="82" spans="1:25" ht="16.5" customHeight="1">
      <c r="A82" s="19">
        <v>39387</v>
      </c>
      <c r="B82" s="20">
        <v>126.03373421260656</v>
      </c>
      <c r="C82" s="3">
        <v>8.6538628276936706E-3</v>
      </c>
      <c r="D82" s="3">
        <v>5.9247751053514319E-2</v>
      </c>
      <c r="E82" s="3">
        <v>5.8274121704061738E-2</v>
      </c>
      <c r="F82" s="21">
        <v>4.4364101930344715</v>
      </c>
      <c r="G82" s="21">
        <v>3.5710239102651045</v>
      </c>
      <c r="H82" s="21">
        <v>4.0037170516497884</v>
      </c>
      <c r="I82" s="9"/>
      <c r="J82" s="9"/>
      <c r="K82" s="9"/>
      <c r="L82" s="9"/>
      <c r="M82" s="9"/>
      <c r="N82" s="9"/>
      <c r="O82" s="9"/>
      <c r="P82" s="9"/>
      <c r="Q82" s="9"/>
      <c r="R82" s="9"/>
      <c r="S82" s="9"/>
      <c r="T82" s="9"/>
      <c r="U82" s="9"/>
      <c r="V82" s="9"/>
      <c r="W82" s="9"/>
      <c r="X82" s="9"/>
      <c r="Y82" s="9"/>
    </row>
    <row r="83" spans="1:25" ht="16.5" customHeight="1">
      <c r="A83" s="19">
        <v>39417</v>
      </c>
      <c r="B83" s="20">
        <v>125.84508588346509</v>
      </c>
      <c r="C83" s="3">
        <v>-1.496808218212693E-3</v>
      </c>
      <c r="D83" s="3">
        <v>5.4172934663714756E-2</v>
      </c>
      <c r="E83" s="3">
        <v>5.7932356117366156E-2</v>
      </c>
      <c r="F83" s="21">
        <v>2.8038888390506411</v>
      </c>
      <c r="G83" s="21">
        <v>2.9535696608719104</v>
      </c>
      <c r="H83" s="21">
        <v>2.8787292499612755</v>
      </c>
      <c r="I83" s="9"/>
      <c r="J83" s="9"/>
      <c r="K83" s="9"/>
      <c r="L83" s="9"/>
      <c r="M83" s="9"/>
      <c r="N83" s="9"/>
      <c r="O83" s="9"/>
      <c r="P83" s="9"/>
      <c r="Q83" s="9"/>
      <c r="R83" s="9"/>
      <c r="S83" s="9"/>
      <c r="T83" s="9"/>
      <c r="U83" s="9"/>
      <c r="V83" s="9"/>
      <c r="W83" s="9"/>
      <c r="X83" s="9"/>
      <c r="Y83" s="9"/>
    </row>
    <row r="84" spans="1:25" ht="16.5" customHeight="1">
      <c r="A84" s="19">
        <v>39448</v>
      </c>
      <c r="B84" s="20">
        <v>126.22144964641133</v>
      </c>
      <c r="C84" s="3">
        <v>2.9906909777529566E-3</v>
      </c>
      <c r="D84" s="3">
        <v>5.3736286184126625E-2</v>
      </c>
      <c r="E84" s="3">
        <v>5.3736286184126625E-2</v>
      </c>
      <c r="F84" s="21">
        <v>3.3456531543505723</v>
      </c>
      <c r="G84" s="21">
        <v>3.0465840565752766</v>
      </c>
      <c r="H84" s="21">
        <v>3.1961186054629245</v>
      </c>
      <c r="I84" s="9"/>
      <c r="J84" s="9"/>
      <c r="K84" s="9"/>
      <c r="L84" s="9"/>
      <c r="M84" s="9"/>
      <c r="N84" s="9"/>
      <c r="O84" s="9"/>
      <c r="P84" s="9"/>
      <c r="Q84" s="9"/>
      <c r="R84" s="9"/>
      <c r="S84" s="9"/>
      <c r="T84" s="9"/>
      <c r="U84" s="9"/>
      <c r="V84" s="9"/>
      <c r="W84" s="9"/>
      <c r="X84" s="9"/>
      <c r="Y84" s="9"/>
    </row>
    <row r="85" spans="1:25" ht="16.5" customHeight="1">
      <c r="A85" s="19">
        <v>39479</v>
      </c>
      <c r="B85" s="20">
        <v>126.83698037062284</v>
      </c>
      <c r="C85" s="3">
        <v>4.8765936846377842E-3</v>
      </c>
      <c r="D85" s="3">
        <v>5.4206849522015155E-2</v>
      </c>
      <c r="E85" s="3">
        <v>5.397156785307089E-2</v>
      </c>
      <c r="F85" s="21">
        <v>3.5170145073694044</v>
      </c>
      <c r="G85" s="21">
        <v>3.0293551389056259</v>
      </c>
      <c r="H85" s="21">
        <v>3.2731848231375151</v>
      </c>
      <c r="I85" s="9"/>
      <c r="J85" s="9"/>
      <c r="K85" s="9"/>
      <c r="L85" s="9"/>
      <c r="M85" s="9"/>
      <c r="N85" s="9"/>
      <c r="O85" s="9"/>
      <c r="P85" s="9"/>
      <c r="Q85" s="9"/>
      <c r="R85" s="9"/>
      <c r="S85" s="9"/>
      <c r="T85" s="9"/>
      <c r="U85" s="9"/>
      <c r="V85" s="9"/>
      <c r="W85" s="9"/>
      <c r="X85" s="9"/>
      <c r="Y85" s="9"/>
    </row>
    <row r="86" spans="1:25" ht="16.5" customHeight="1">
      <c r="A86" s="22">
        <v>39508</v>
      </c>
      <c r="B86" s="20">
        <v>127.16399628928285</v>
      </c>
      <c r="C86" s="3">
        <v>2.5782379689618207E-3</v>
      </c>
      <c r="D86" s="3">
        <v>5.0763078459094446E-2</v>
      </c>
      <c r="E86" s="3">
        <v>5.2902071388412075E-2</v>
      </c>
      <c r="F86" s="21">
        <v>3.7898871206269358</v>
      </c>
      <c r="G86" s="21">
        <v>3.5320633237307537</v>
      </c>
      <c r="H86" s="21">
        <v>3.6609752221788447</v>
      </c>
      <c r="I86" s="9"/>
      <c r="J86" s="9"/>
      <c r="K86" s="9"/>
      <c r="L86" s="9"/>
      <c r="M86" s="9"/>
      <c r="N86" s="9"/>
      <c r="O86" s="9"/>
      <c r="P86" s="9"/>
      <c r="Q86" s="9"/>
      <c r="R86" s="9"/>
      <c r="S86" s="9"/>
      <c r="T86" s="9"/>
      <c r="U86" s="9"/>
      <c r="V86" s="9"/>
      <c r="W86" s="9"/>
      <c r="X86" s="9"/>
      <c r="Y86" s="9"/>
    </row>
    <row r="87" spans="1:25" ht="16.5" customHeight="1">
      <c r="A87" s="22">
        <v>39539</v>
      </c>
      <c r="B87" s="20">
        <v>128.11511614416435</v>
      </c>
      <c r="C87" s="3">
        <v>7.4794744002682819E-3</v>
      </c>
      <c r="D87" s="3">
        <v>5.5752377743000459E-2</v>
      </c>
      <c r="E87" s="3">
        <v>5.3614647977059171E-2</v>
      </c>
      <c r="F87" s="21">
        <v>3.9851322991003051</v>
      </c>
      <c r="G87" s="21">
        <v>3.2371848590734769</v>
      </c>
      <c r="H87" s="21">
        <v>3.611158579086891</v>
      </c>
      <c r="I87" s="9"/>
      <c r="J87" s="9"/>
      <c r="K87" s="9"/>
      <c r="L87" s="9"/>
      <c r="M87" s="9"/>
      <c r="N87" s="9"/>
      <c r="O87" s="9"/>
      <c r="P87" s="9"/>
      <c r="Q87" s="9"/>
      <c r="R87" s="9"/>
      <c r="S87" s="9"/>
      <c r="T87" s="9"/>
      <c r="U87" s="9"/>
      <c r="V87" s="9"/>
      <c r="W87" s="9"/>
      <c r="X87" s="9"/>
      <c r="Y87" s="9"/>
    </row>
    <row r="88" spans="1:25" ht="16.5" customHeight="1">
      <c r="A88" s="22">
        <v>39569</v>
      </c>
      <c r="B88" s="20">
        <v>128.86392030026943</v>
      </c>
      <c r="C88" s="3">
        <v>5.8447760002220718E-3</v>
      </c>
      <c r="D88" s="3">
        <v>5.5278855848081676E-2</v>
      </c>
      <c r="E88" s="3">
        <v>5.3947489551263675E-2</v>
      </c>
      <c r="F88" s="21">
        <v>3.4452164054359495</v>
      </c>
      <c r="G88" s="21">
        <v>2.8607388054137424</v>
      </c>
      <c r="H88" s="21">
        <v>3.1529776054248462</v>
      </c>
      <c r="I88" s="9"/>
      <c r="J88" s="9"/>
      <c r="K88" s="9"/>
      <c r="L88" s="9"/>
      <c r="M88" s="9"/>
      <c r="N88" s="9"/>
      <c r="O88" s="9"/>
      <c r="P88" s="9"/>
      <c r="Q88" s="9"/>
      <c r="R88" s="9"/>
      <c r="S88" s="9"/>
      <c r="T88" s="9"/>
      <c r="U88" s="9"/>
      <c r="V88" s="9"/>
      <c r="W88" s="9"/>
      <c r="X88" s="9"/>
      <c r="Y88" s="9"/>
    </row>
    <row r="89" spans="1:25" ht="16.5" customHeight="1">
      <c r="A89" s="22">
        <v>39600</v>
      </c>
      <c r="B89" s="20">
        <v>129.09382817459129</v>
      </c>
      <c r="C89" s="3">
        <v>1.7841136121432698E-3</v>
      </c>
      <c r="D89" s="3">
        <v>5.2879578850198117E-2</v>
      </c>
      <c r="E89" s="3">
        <v>5.3769504434419413E-2</v>
      </c>
      <c r="F89" s="21">
        <v>2.8256037292035852</v>
      </c>
      <c r="G89" s="21">
        <v>2.6471923679892582</v>
      </c>
      <c r="H89" s="21">
        <v>2.7363980485964214</v>
      </c>
      <c r="I89" s="9"/>
      <c r="J89" s="9"/>
      <c r="K89" s="9"/>
      <c r="L89" s="9"/>
      <c r="M89" s="9"/>
      <c r="N89" s="9"/>
      <c r="O89" s="9"/>
      <c r="P89" s="9"/>
      <c r="Q89" s="9"/>
      <c r="R89" s="9"/>
      <c r="S89" s="9"/>
      <c r="T89" s="9"/>
      <c r="U89" s="9"/>
      <c r="V89" s="9"/>
      <c r="W89" s="9"/>
      <c r="X89" s="9"/>
      <c r="Y89" s="9"/>
    </row>
    <row r="90" spans="1:25" ht="16.5" customHeight="1">
      <c r="A90" s="22">
        <v>39630</v>
      </c>
      <c r="B90" s="20">
        <v>129.58677126708329</v>
      </c>
      <c r="C90" s="3">
        <v>3.8184869057050364E-3</v>
      </c>
      <c r="D90" s="3">
        <v>5.1886874602906197E-2</v>
      </c>
      <c r="E90" s="3">
        <v>5.350055731563181E-2</v>
      </c>
      <c r="F90" s="21">
        <v>3.2532998026327289</v>
      </c>
      <c r="G90" s="21">
        <v>2.8714511120622253</v>
      </c>
      <c r="H90" s="21">
        <v>3.0623754573474771</v>
      </c>
      <c r="I90" s="9"/>
      <c r="J90" s="9"/>
      <c r="K90" s="9"/>
      <c r="L90" s="9"/>
      <c r="M90" s="9"/>
      <c r="N90" s="9"/>
      <c r="O90" s="9"/>
      <c r="P90" s="9"/>
      <c r="Q90" s="9"/>
      <c r="R90" s="9"/>
      <c r="S90" s="9"/>
      <c r="T90" s="9"/>
      <c r="U90" s="9"/>
      <c r="V90" s="9"/>
      <c r="W90" s="9"/>
      <c r="X90" s="9"/>
      <c r="Y90" s="9"/>
    </row>
    <row r="91" spans="1:25" ht="16.5" customHeight="1">
      <c r="A91" s="22">
        <v>39661</v>
      </c>
      <c r="B91" s="20">
        <v>129.65741154036149</v>
      </c>
      <c r="C91" s="3">
        <v>5.4511947930720335E-4</v>
      </c>
      <c r="D91" s="3">
        <v>5.0321857764517919E-2</v>
      </c>
      <c r="E91" s="3">
        <v>5.3103219871742574E-2</v>
      </c>
      <c r="F91" s="21">
        <v>2.702798225058598</v>
      </c>
      <c r="G91" s="21">
        <v>2.6482862771278777</v>
      </c>
      <c r="H91" s="21">
        <v>2.6755422510932378</v>
      </c>
      <c r="I91" s="9"/>
      <c r="J91" s="9"/>
      <c r="K91" s="9"/>
      <c r="L91" s="9"/>
      <c r="M91" s="9"/>
      <c r="N91" s="9"/>
      <c r="O91" s="9"/>
      <c r="P91" s="9"/>
      <c r="Q91" s="9"/>
      <c r="R91" s="9"/>
      <c r="S91" s="9"/>
      <c r="T91" s="9"/>
      <c r="U91" s="9"/>
      <c r="V91" s="9"/>
      <c r="W91" s="9"/>
      <c r="X91" s="9"/>
      <c r="Y91" s="9"/>
    </row>
    <row r="92" spans="1:25" ht="16.5" customHeight="1">
      <c r="A92" s="22">
        <v>39692</v>
      </c>
      <c r="B92" s="20">
        <v>129.84814405403367</v>
      </c>
      <c r="C92" s="3">
        <v>1.4710498336054467E-3</v>
      </c>
      <c r="D92" s="3">
        <v>4.6847412013816703E-2</v>
      </c>
      <c r="E92" s="3">
        <v>5.240813010975081E-2</v>
      </c>
      <c r="F92" s="21">
        <v>2.580015259199711</v>
      </c>
      <c r="G92" s="21">
        <v>2.4329102758391663</v>
      </c>
      <c r="H92" s="21">
        <v>2.5064627675194386</v>
      </c>
      <c r="I92" s="9"/>
      <c r="J92" s="9"/>
      <c r="K92" s="9"/>
      <c r="L92" s="9"/>
      <c r="M92" s="9"/>
      <c r="N92" s="9"/>
      <c r="O92" s="9"/>
      <c r="P92" s="9"/>
      <c r="Q92" s="9"/>
      <c r="R92" s="9"/>
      <c r="S92" s="9"/>
      <c r="T92" s="9"/>
      <c r="U92" s="9"/>
      <c r="V92" s="9"/>
      <c r="W92" s="9"/>
      <c r="X92" s="9"/>
      <c r="Y92" s="9"/>
    </row>
    <row r="93" spans="1:25" ht="16.5" customHeight="1">
      <c r="A93" s="22">
        <v>39722</v>
      </c>
      <c r="B93" s="20">
        <v>129.57409847876383</v>
      </c>
      <c r="C93" s="3">
        <v>-2.1105082191686273E-3</v>
      </c>
      <c r="D93" s="3">
        <v>3.6987563445123106E-2</v>
      </c>
      <c r="E93" s="3">
        <v>5.0866073443288043E-2</v>
      </c>
      <c r="F93" s="21">
        <v>2.5037755886451984</v>
      </c>
      <c r="G93" s="21">
        <v>2.7148264105620612</v>
      </c>
      <c r="H93" s="21">
        <v>2.6093009996036298</v>
      </c>
      <c r="I93" s="9"/>
      <c r="J93" s="9"/>
      <c r="K93" s="9"/>
      <c r="L93" s="9"/>
      <c r="M93" s="9"/>
      <c r="N93" s="9"/>
      <c r="O93" s="9"/>
      <c r="P93" s="9"/>
      <c r="Q93" s="9"/>
      <c r="R93" s="9"/>
      <c r="S93" s="9"/>
      <c r="T93" s="9"/>
      <c r="U93" s="9"/>
      <c r="V93" s="9"/>
      <c r="W93" s="9"/>
      <c r="X93" s="9"/>
      <c r="Y93" s="9"/>
    </row>
    <row r="94" spans="1:25" ht="16.5" customHeight="1">
      <c r="A94" s="22">
        <v>39753</v>
      </c>
      <c r="B94" s="20">
        <v>129.01041351845586</v>
      </c>
      <c r="C94" s="3">
        <v>-4.3502904278385083E-3</v>
      </c>
      <c r="D94" s="3">
        <v>2.3618115613617707E-2</v>
      </c>
      <c r="E94" s="3">
        <v>4.8388986367863464E-2</v>
      </c>
      <c r="F94" s="21">
        <v>2.3950539837255591</v>
      </c>
      <c r="G94" s="21">
        <v>2.8300830265094099</v>
      </c>
      <c r="H94" s="21">
        <v>2.6125685051174843</v>
      </c>
      <c r="I94" s="9"/>
      <c r="J94" s="9"/>
      <c r="K94" s="9"/>
      <c r="L94" s="9"/>
      <c r="M94" s="9"/>
      <c r="N94" s="9"/>
      <c r="O94" s="9"/>
      <c r="P94" s="9"/>
      <c r="Q94" s="9"/>
      <c r="R94" s="9"/>
      <c r="S94" s="9"/>
      <c r="T94" s="9"/>
      <c r="U94" s="9"/>
      <c r="V94" s="9"/>
      <c r="W94" s="9"/>
      <c r="X94" s="9"/>
      <c r="Y94" s="9"/>
    </row>
    <row r="95" spans="1:25" ht="16.5" customHeight="1">
      <c r="A95" s="22">
        <v>39783</v>
      </c>
      <c r="B95" s="20">
        <v>128.19470160648152</v>
      </c>
      <c r="C95" s="3">
        <v>-6.3228377440836562E-3</v>
      </c>
      <c r="D95" s="3">
        <v>1.8670699030649551E-2</v>
      </c>
      <c r="E95" s="3">
        <v>4.5912462423095636E-2</v>
      </c>
      <c r="F95" s="21">
        <v>2.026254742621993</v>
      </c>
      <c r="G95" s="21">
        <v>2.6585385170303586</v>
      </c>
      <c r="H95" s="21">
        <v>2.342396629826176</v>
      </c>
      <c r="I95" s="9"/>
      <c r="J95" s="9"/>
      <c r="K95" s="9"/>
      <c r="L95" s="9"/>
      <c r="M95" s="9"/>
      <c r="N95" s="9"/>
      <c r="O95" s="9"/>
      <c r="P95" s="9"/>
      <c r="Q95" s="9"/>
      <c r="R95" s="9"/>
      <c r="S95" s="9"/>
      <c r="T95" s="9"/>
      <c r="U95" s="9"/>
      <c r="V95" s="9"/>
      <c r="W95" s="9"/>
      <c r="X95" s="9"/>
      <c r="Y95" s="9"/>
    </row>
    <row r="96" spans="1:25" ht="16.5" customHeight="1">
      <c r="A96" s="22">
        <v>39814</v>
      </c>
      <c r="B96" s="20">
        <v>127.60088140874932</v>
      </c>
      <c r="C96" s="3">
        <v>-4.6321742653221247E-3</v>
      </c>
      <c r="D96" s="3">
        <v>1.0928663600380473E-2</v>
      </c>
      <c r="E96" s="3">
        <v>1.0928663600380473E-2</v>
      </c>
      <c r="F96" s="21">
        <v>2.0328419031850444</v>
      </c>
      <c r="G96" s="21">
        <v>2.4960593297172569</v>
      </c>
      <c r="H96" s="21">
        <v>2.2644506164511506</v>
      </c>
      <c r="I96" s="9"/>
      <c r="J96" s="9"/>
      <c r="K96" s="9"/>
      <c r="L96" s="9"/>
      <c r="M96" s="9"/>
      <c r="N96" s="9"/>
      <c r="O96" s="9"/>
      <c r="P96" s="9"/>
      <c r="Q96" s="9"/>
      <c r="R96" s="9"/>
      <c r="S96" s="9"/>
      <c r="T96" s="9"/>
      <c r="U96" s="9"/>
      <c r="V96" s="9"/>
      <c r="W96" s="9"/>
      <c r="X96" s="9"/>
      <c r="Y96" s="9"/>
    </row>
    <row r="97" spans="1:25" ht="16.5" customHeight="1">
      <c r="A97" s="22">
        <v>39845</v>
      </c>
      <c r="B97" s="20">
        <v>127.3011512802514</v>
      </c>
      <c r="C97" s="3">
        <v>-2.348965972560779E-3</v>
      </c>
      <c r="D97" s="3">
        <v>3.659586567515527E-3</v>
      </c>
      <c r="E97" s="3">
        <v>7.2941250839479999E-3</v>
      </c>
      <c r="F97" s="21">
        <v>2.0944715960274007</v>
      </c>
      <c r="G97" s="21">
        <v>2.3293681932834787</v>
      </c>
      <c r="H97" s="21">
        <v>2.2119198946554395</v>
      </c>
      <c r="I97" s="9"/>
      <c r="J97" s="9"/>
      <c r="K97" s="9"/>
      <c r="L97" s="9"/>
      <c r="M97" s="9"/>
      <c r="N97" s="9"/>
      <c r="O97" s="9"/>
      <c r="P97" s="9"/>
      <c r="Q97" s="9"/>
      <c r="R97" s="9"/>
      <c r="S97" s="9"/>
      <c r="T97" s="9"/>
      <c r="U97" s="9"/>
      <c r="V97" s="9"/>
      <c r="W97" s="9"/>
      <c r="X97" s="9"/>
      <c r="Y97" s="9"/>
    </row>
    <row r="98" spans="1:25" ht="16.5" customHeight="1">
      <c r="A98" s="22">
        <v>39873</v>
      </c>
      <c r="B98" s="20">
        <v>126.69355033108982</v>
      </c>
      <c r="C98" s="3">
        <v>-4.7729415095700565E-3</v>
      </c>
      <c r="D98" s="3">
        <v>-3.6995216564507105E-3</v>
      </c>
      <c r="E98" s="3">
        <v>3.6295761704817631E-3</v>
      </c>
      <c r="F98" s="21">
        <v>2.5055417224043341</v>
      </c>
      <c r="G98" s="21">
        <v>2.9828358733613398</v>
      </c>
      <c r="H98" s="21">
        <v>2.744188797882837</v>
      </c>
      <c r="I98" s="9"/>
      <c r="J98" s="9"/>
      <c r="K98" s="9"/>
      <c r="L98" s="9"/>
      <c r="M98" s="9"/>
      <c r="N98" s="9"/>
      <c r="O98" s="9"/>
      <c r="P98" s="9"/>
      <c r="Q98" s="9"/>
      <c r="R98" s="9"/>
      <c r="S98" s="9"/>
      <c r="T98" s="9"/>
      <c r="U98" s="9"/>
      <c r="V98" s="9"/>
      <c r="W98" s="9"/>
      <c r="X98" s="9"/>
      <c r="Y98" s="9"/>
    </row>
    <row r="99" spans="1:25" ht="16.5" customHeight="1">
      <c r="A99" s="22">
        <v>39904</v>
      </c>
      <c r="B99" s="20">
        <v>126.40380665390113</v>
      </c>
      <c r="C99" s="3">
        <v>-2.286964698925047E-3</v>
      </c>
      <c r="D99" s="3">
        <v>-1.3357592310477506E-2</v>
      </c>
      <c r="E99" s="3">
        <v>-6.1721594975805427E-4</v>
      </c>
      <c r="F99" s="21">
        <v>2.3975816633367621</v>
      </c>
      <c r="G99" s="21">
        <v>2.6262781332292668</v>
      </c>
      <c r="H99" s="21">
        <v>2.5119298982830145</v>
      </c>
      <c r="I99" s="9"/>
      <c r="J99" s="9"/>
      <c r="K99" s="9"/>
      <c r="L99" s="9"/>
      <c r="M99" s="9"/>
      <c r="N99" s="9"/>
      <c r="O99" s="9"/>
      <c r="P99" s="9"/>
      <c r="Q99" s="9"/>
      <c r="R99" s="9"/>
      <c r="S99" s="9"/>
      <c r="T99" s="9"/>
      <c r="U99" s="9"/>
      <c r="V99" s="9"/>
      <c r="W99" s="9"/>
      <c r="X99" s="9"/>
      <c r="Y99" s="9"/>
    </row>
    <row r="100" spans="1:25" ht="16.5" customHeight="1">
      <c r="A100" s="22">
        <v>39934</v>
      </c>
      <c r="B100" s="20">
        <v>126.04400707554753</v>
      </c>
      <c r="C100" s="3">
        <v>-2.8464299286393912E-3</v>
      </c>
      <c r="D100" s="3">
        <v>-2.1882876278722097E-2</v>
      </c>
      <c r="E100" s="3">
        <v>-4.8703480155508627E-3</v>
      </c>
      <c r="F100" s="21">
        <v>1.8709038266992939</v>
      </c>
      <c r="G100" s="21">
        <v>2.155546819563233</v>
      </c>
      <c r="H100" s="21">
        <v>2.0132253231312633</v>
      </c>
      <c r="I100" s="9"/>
      <c r="J100" s="9"/>
      <c r="K100" s="9"/>
      <c r="L100" s="9"/>
      <c r="M100" s="9"/>
      <c r="N100" s="9"/>
      <c r="O100" s="9"/>
      <c r="P100" s="9"/>
      <c r="Q100" s="9"/>
      <c r="R100" s="9"/>
      <c r="S100" s="9"/>
      <c r="T100" s="9"/>
      <c r="U100" s="9"/>
      <c r="V100" s="9"/>
      <c r="W100" s="9"/>
      <c r="X100" s="9"/>
      <c r="Y100" s="9"/>
    </row>
    <row r="101" spans="1:25" ht="16.5" customHeight="1">
      <c r="A101" s="22">
        <v>39965</v>
      </c>
      <c r="B101" s="20">
        <v>125.90598405243061</v>
      </c>
      <c r="C101" s="3">
        <v>-1.0950383625473003E-3</v>
      </c>
      <c r="D101" s="3">
        <v>-2.4694008747260354E-2</v>
      </c>
      <c r="E101" s="3">
        <v>-8.1742914708357785E-3</v>
      </c>
      <c r="F101" s="21">
        <v>1.7331066184245218</v>
      </c>
      <c r="G101" s="21">
        <v>1.8426104546792519</v>
      </c>
      <c r="H101" s="21">
        <v>1.7878585365518869</v>
      </c>
      <c r="I101" s="9"/>
      <c r="J101" s="9"/>
      <c r="K101" s="9"/>
      <c r="L101" s="9"/>
      <c r="M101" s="9"/>
      <c r="N101" s="9"/>
      <c r="O101" s="9"/>
      <c r="P101" s="9"/>
      <c r="Q101" s="9"/>
      <c r="R101" s="9"/>
      <c r="S101" s="9"/>
      <c r="T101" s="9"/>
      <c r="U101" s="9"/>
      <c r="V101" s="9"/>
      <c r="W101" s="9"/>
      <c r="X101" s="9"/>
      <c r="Y101" s="9"/>
    </row>
    <row r="102" spans="1:25" ht="16.5" customHeight="1">
      <c r="A102" s="22">
        <v>39995</v>
      </c>
      <c r="B102" s="20">
        <v>126.05319071905721</v>
      </c>
      <c r="C102" s="3">
        <v>1.1691792708222958E-3</v>
      </c>
      <c r="D102" s="3">
        <v>-2.7268065354782545E-2</v>
      </c>
      <c r="E102" s="3">
        <v>-1.0901973454256744E-2</v>
      </c>
      <c r="F102" s="21">
        <v>2.1018501906902411</v>
      </c>
      <c r="G102" s="21">
        <v>1.9849322636080116</v>
      </c>
      <c r="H102" s="21">
        <v>2.0433912271491264</v>
      </c>
      <c r="I102" s="9"/>
      <c r="J102" s="9"/>
      <c r="K102" s="9"/>
      <c r="L102" s="9"/>
      <c r="M102" s="9"/>
      <c r="N102" s="9"/>
      <c r="O102" s="9"/>
      <c r="P102" s="9"/>
      <c r="Q102" s="9"/>
      <c r="R102" s="9"/>
      <c r="S102" s="9"/>
      <c r="T102" s="9"/>
      <c r="U102" s="9"/>
      <c r="V102" s="9"/>
      <c r="W102" s="9"/>
      <c r="X102" s="9"/>
      <c r="Y102" s="9"/>
    </row>
    <row r="103" spans="1:25" ht="16.5" customHeight="1">
      <c r="A103" s="22">
        <v>40026</v>
      </c>
      <c r="B103" s="20">
        <v>125.92819253872131</v>
      </c>
      <c r="C103" s="3">
        <v>-9.9163043492095154E-4</v>
      </c>
      <c r="D103" s="3">
        <v>-2.876209664635565E-2</v>
      </c>
      <c r="E103" s="3">
        <v>-1.3134488853269108E-2</v>
      </c>
      <c r="F103" s="21">
        <v>2.1115203482966329</v>
      </c>
      <c r="G103" s="21">
        <v>2.2106833917887281</v>
      </c>
      <c r="H103" s="21">
        <v>2.1611018700426805</v>
      </c>
      <c r="I103" s="9"/>
      <c r="J103" s="9"/>
      <c r="K103" s="9"/>
      <c r="L103" s="9"/>
      <c r="M103" s="9"/>
      <c r="N103" s="9"/>
      <c r="O103" s="9"/>
      <c r="P103" s="9"/>
      <c r="Q103" s="9"/>
      <c r="R103" s="9"/>
      <c r="S103" s="9"/>
      <c r="T103" s="9"/>
      <c r="U103" s="9"/>
      <c r="V103" s="9"/>
      <c r="W103" s="9"/>
      <c r="X103" s="9"/>
      <c r="Y103" s="9"/>
    </row>
    <row r="104" spans="1:25" ht="16.5" customHeight="1">
      <c r="A104" s="22">
        <v>40057</v>
      </c>
      <c r="B104" s="20">
        <v>126.04253460407962</v>
      </c>
      <c r="C104" s="3">
        <v>9.0799417551525432E-4</v>
      </c>
      <c r="D104" s="3">
        <v>-2.9308154365074501E-2</v>
      </c>
      <c r="E104" s="3">
        <v>-1.4931562799025263E-2</v>
      </c>
      <c r="F104" s="21">
        <v>2.2783640217909933</v>
      </c>
      <c r="G104" s="21">
        <v>2.1875646042394679</v>
      </c>
      <c r="H104" s="21">
        <v>2.2329643130152306</v>
      </c>
      <c r="I104" s="9"/>
      <c r="J104" s="9"/>
      <c r="K104" s="9"/>
      <c r="L104" s="9"/>
      <c r="M104" s="9"/>
      <c r="N104" s="9"/>
      <c r="O104" s="9"/>
      <c r="P104" s="9"/>
      <c r="Q104" s="9"/>
      <c r="R104" s="9"/>
      <c r="S104" s="9"/>
      <c r="T104" s="9"/>
      <c r="U104" s="9"/>
      <c r="V104" s="9"/>
      <c r="W104" s="9"/>
      <c r="X104" s="9"/>
      <c r="Y104" s="9"/>
    </row>
    <row r="105" spans="1:25" ht="16.5" customHeight="1">
      <c r="A105" s="22">
        <v>40087</v>
      </c>
      <c r="B105" s="20">
        <v>126.5892981038576</v>
      </c>
      <c r="C105" s="3">
        <v>4.3379284738715908E-3</v>
      </c>
      <c r="D105" s="3">
        <v>-2.3035470900038102E-2</v>
      </c>
      <c r="E105" s="3">
        <v>-1.5741953609126547E-2</v>
      </c>
      <c r="F105" s="21">
        <v>2.4537869152438829</v>
      </c>
      <c r="G105" s="21">
        <v>2.0199940678567239</v>
      </c>
      <c r="H105" s="21">
        <v>2.2368904915503034</v>
      </c>
      <c r="I105" s="9"/>
      <c r="J105" s="9"/>
      <c r="K105" s="9"/>
      <c r="L105" s="9"/>
      <c r="M105" s="9"/>
      <c r="N105" s="9"/>
      <c r="O105" s="9"/>
      <c r="P105" s="9"/>
      <c r="Q105" s="9"/>
      <c r="R105" s="9"/>
      <c r="S105" s="9"/>
      <c r="T105" s="9"/>
      <c r="U105" s="9"/>
      <c r="V105" s="9"/>
      <c r="W105" s="9"/>
      <c r="X105" s="9"/>
      <c r="Y105" s="9"/>
    </row>
    <row r="106" spans="1:25" ht="16.5" customHeight="1">
      <c r="A106" s="22">
        <v>40118</v>
      </c>
      <c r="B106" s="20">
        <v>126.81977691566833</v>
      </c>
      <c r="C106" s="3">
        <v>1.8206816473667021E-3</v>
      </c>
      <c r="D106" s="3">
        <v>-1.6980308356845497E-2</v>
      </c>
      <c r="E106" s="3">
        <v>-1.5854531313464634E-2</v>
      </c>
      <c r="F106" s="21">
        <v>2.4470280630991708</v>
      </c>
      <c r="G106" s="21">
        <v>2.2649598983625006</v>
      </c>
      <c r="H106" s="21">
        <v>2.3559939807308359</v>
      </c>
      <c r="I106" s="9"/>
      <c r="J106" s="9"/>
      <c r="K106" s="9"/>
      <c r="L106" s="9"/>
      <c r="M106" s="9"/>
      <c r="N106" s="9"/>
      <c r="O106" s="9"/>
      <c r="P106" s="9"/>
      <c r="Q106" s="9"/>
      <c r="R106" s="9"/>
      <c r="S106" s="9"/>
      <c r="T106" s="9"/>
      <c r="U106" s="9"/>
      <c r="V106" s="9"/>
      <c r="W106" s="9"/>
      <c r="X106" s="9"/>
      <c r="Y106" s="9"/>
    </row>
    <row r="107" spans="1:25" ht="16.5" customHeight="1">
      <c r="A107" s="22">
        <v>40148</v>
      </c>
      <c r="B107" s="20">
        <v>126.72903044390068</v>
      </c>
      <c r="C107" s="3">
        <v>-7.1555457653887716E-4</v>
      </c>
      <c r="D107" s="3">
        <v>-1.1433164898499437E-2</v>
      </c>
      <c r="E107" s="3">
        <v>-1.5486084112217533E-2</v>
      </c>
      <c r="F107" s="21">
        <v>2.5359288916512637</v>
      </c>
      <c r="G107" s="21">
        <v>2.6074843493051514</v>
      </c>
      <c r="H107" s="21">
        <v>2.5717066204782073</v>
      </c>
      <c r="I107" s="9"/>
      <c r="J107" s="9"/>
      <c r="K107" s="9"/>
      <c r="L107" s="9"/>
      <c r="M107" s="9"/>
      <c r="N107" s="9"/>
      <c r="O107" s="9"/>
      <c r="P107" s="9"/>
      <c r="Q107" s="9"/>
      <c r="R107" s="9"/>
      <c r="S107" s="9"/>
      <c r="T107" s="9"/>
      <c r="U107" s="9"/>
      <c r="V107" s="9"/>
      <c r="W107" s="9"/>
      <c r="X107" s="9"/>
      <c r="Y107" s="9"/>
    </row>
    <row r="108" spans="1:25" ht="16.5" customHeight="1">
      <c r="A108" s="22">
        <v>40179</v>
      </c>
      <c r="B108" s="20">
        <v>127.20393987096837</v>
      </c>
      <c r="C108" s="3">
        <v>3.7474399149444392E-3</v>
      </c>
      <c r="D108" s="3">
        <v>-3.1108056104205417E-3</v>
      </c>
      <c r="E108" s="3">
        <v>-3.1108056104205417E-3</v>
      </c>
      <c r="F108" s="21">
        <v>2.6728403546700332</v>
      </c>
      <c r="G108" s="21">
        <v>2.2980963631755893</v>
      </c>
      <c r="H108" s="21">
        <v>2.4854683589228115</v>
      </c>
      <c r="I108" s="9"/>
      <c r="J108" s="9"/>
      <c r="K108" s="9"/>
      <c r="L108" s="9"/>
      <c r="M108" s="9"/>
      <c r="N108" s="9"/>
      <c r="O108" s="9"/>
      <c r="P108" s="9"/>
      <c r="Q108" s="9"/>
      <c r="R108" s="9"/>
      <c r="S108" s="9"/>
      <c r="T108" s="9"/>
      <c r="U108" s="9"/>
      <c r="V108" s="9"/>
      <c r="W108" s="9"/>
      <c r="X108" s="9"/>
      <c r="Y108" s="9"/>
    </row>
    <row r="109" spans="1:25" ht="16.5" customHeight="1">
      <c r="A109" s="22">
        <v>40210</v>
      </c>
      <c r="B109" s="20">
        <v>127.77101361517404</v>
      </c>
      <c r="C109" s="3">
        <v>4.4579888388747288E-3</v>
      </c>
      <c r="D109" s="3">
        <v>3.6909511830591768E-3</v>
      </c>
      <c r="E109" s="3">
        <v>2.9007278631931754E-4</v>
      </c>
      <c r="F109" s="21">
        <v>2.9864825603568996</v>
      </c>
      <c r="G109" s="21">
        <v>2.5406836764694267</v>
      </c>
      <c r="H109" s="21">
        <v>2.7635831184131634</v>
      </c>
      <c r="I109" s="9"/>
      <c r="J109" s="9"/>
      <c r="K109" s="9"/>
      <c r="L109" s="9"/>
      <c r="M109" s="9"/>
      <c r="N109" s="9"/>
      <c r="O109" s="9"/>
      <c r="P109" s="9"/>
      <c r="Q109" s="9"/>
      <c r="R109" s="9"/>
      <c r="S109" s="9"/>
      <c r="T109" s="9"/>
      <c r="U109" s="9"/>
      <c r="V109" s="9"/>
      <c r="W109" s="9"/>
      <c r="X109" s="9"/>
      <c r="Y109" s="9"/>
    </row>
    <row r="110" spans="1:25" ht="16.5" customHeight="1">
      <c r="A110" s="22">
        <v>40238</v>
      </c>
      <c r="B110" s="20">
        <v>128.08909969876504</v>
      </c>
      <c r="C110" s="3">
        <v>2.489501136376737E-3</v>
      </c>
      <c r="D110" s="3">
        <v>1.1015157156999855E-2</v>
      </c>
      <c r="E110" s="3">
        <v>3.8651009098794966E-3</v>
      </c>
      <c r="F110" s="21">
        <v>3.3430607951813607</v>
      </c>
      <c r="G110" s="21">
        <v>3.094110681543687</v>
      </c>
      <c r="H110" s="21">
        <v>3.218585738362524</v>
      </c>
      <c r="I110" s="9"/>
      <c r="J110" s="9"/>
      <c r="K110" s="9"/>
      <c r="L110" s="9"/>
      <c r="M110" s="9"/>
      <c r="N110" s="9"/>
      <c r="O110" s="9"/>
      <c r="P110" s="9"/>
      <c r="Q110" s="9"/>
      <c r="R110" s="9"/>
      <c r="S110" s="9"/>
      <c r="T110" s="9"/>
      <c r="U110" s="9"/>
      <c r="V110" s="9"/>
      <c r="W110" s="9"/>
      <c r="X110" s="9"/>
      <c r="Y110" s="9"/>
    </row>
    <row r="111" spans="1:25" ht="16.5" customHeight="1">
      <c r="A111" s="22">
        <v>40269</v>
      </c>
      <c r="B111" s="20">
        <v>128.62944353494947</v>
      </c>
      <c r="C111" s="3">
        <v>4.218499758802112E-3</v>
      </c>
      <c r="D111" s="3">
        <v>1.7607356455191514E-2</v>
      </c>
      <c r="E111" s="3">
        <v>7.3006647962075011E-3</v>
      </c>
      <c r="F111" s="21">
        <v>3.0856525917648208</v>
      </c>
      <c r="G111" s="21">
        <v>2.6638026158846095</v>
      </c>
      <c r="H111" s="21">
        <v>2.8747276038247151</v>
      </c>
      <c r="I111" s="9"/>
      <c r="J111" s="9"/>
      <c r="K111" s="9"/>
      <c r="L111" s="9"/>
      <c r="M111" s="9"/>
      <c r="N111" s="9"/>
      <c r="O111" s="9"/>
      <c r="P111" s="9"/>
      <c r="Q111" s="9"/>
      <c r="R111" s="9"/>
      <c r="S111" s="9"/>
      <c r="T111" s="9"/>
      <c r="U111" s="9"/>
      <c r="V111" s="9"/>
      <c r="W111" s="9"/>
      <c r="X111" s="9"/>
      <c r="Y111" s="9"/>
    </row>
    <row r="112" spans="1:25" ht="16.5" customHeight="1">
      <c r="A112" s="22">
        <v>40299</v>
      </c>
      <c r="B112" s="20">
        <v>128.8047351494514</v>
      </c>
      <c r="C112" s="3">
        <v>1.3627643071805907E-3</v>
      </c>
      <c r="D112" s="3">
        <v>2.1902890410721243E-2</v>
      </c>
      <c r="E112" s="3">
        <v>1.0221109919110249E-2</v>
      </c>
      <c r="F112" s="21">
        <v>2.6944250379866261</v>
      </c>
      <c r="G112" s="21">
        <v>2.5581486072685671</v>
      </c>
      <c r="H112" s="21">
        <v>2.6262868226275966</v>
      </c>
      <c r="I112" s="9"/>
      <c r="J112" s="9"/>
      <c r="K112" s="9"/>
      <c r="L112" s="9"/>
      <c r="M112" s="9"/>
      <c r="N112" s="9"/>
      <c r="O112" s="9"/>
      <c r="P112" s="9"/>
      <c r="Q112" s="9"/>
      <c r="R112" s="9"/>
      <c r="S112" s="9"/>
      <c r="T112" s="9"/>
      <c r="U112" s="9"/>
      <c r="V112" s="9"/>
      <c r="W112" s="9"/>
      <c r="X112" s="9"/>
      <c r="Y112" s="9"/>
    </row>
    <row r="113" spans="1:25" ht="16.5" customHeight="1">
      <c r="A113" s="22">
        <v>40330</v>
      </c>
      <c r="B113" s="20">
        <v>129.43489045109951</v>
      </c>
      <c r="C113" s="3">
        <v>4.8923302463759425E-3</v>
      </c>
      <c r="D113" s="3">
        <v>2.8028107045328099E-2</v>
      </c>
      <c r="E113" s="3">
        <v>1.3188942773479892E-2</v>
      </c>
      <c r="F113" s="21">
        <v>2.7678759796481502</v>
      </c>
      <c r="G113" s="21">
        <v>2.278642955010556</v>
      </c>
      <c r="H113" s="21">
        <v>2.5232594673293534</v>
      </c>
      <c r="I113" s="9"/>
      <c r="J113" s="9"/>
      <c r="K113" s="9"/>
      <c r="L113" s="9"/>
      <c r="M113" s="9"/>
      <c r="N113" s="9"/>
      <c r="O113" s="9"/>
      <c r="P113" s="9"/>
      <c r="Q113" s="9"/>
      <c r="R113" s="9"/>
      <c r="S113" s="9"/>
      <c r="T113" s="9"/>
      <c r="U113" s="9"/>
      <c r="V113" s="9"/>
      <c r="W113" s="9"/>
      <c r="X113" s="9"/>
      <c r="Y113" s="9"/>
    </row>
    <row r="114" spans="1:25" ht="16.5" customHeight="1">
      <c r="A114" s="22">
        <v>40360</v>
      </c>
      <c r="B114" s="20">
        <v>129.50409922882162</v>
      </c>
      <c r="C114" s="3">
        <v>5.346995503368834E-4</v>
      </c>
      <c r="D114" s="3">
        <v>2.7376605781091801E-2</v>
      </c>
      <c r="E114" s="3">
        <v>1.5215751774567307E-2</v>
      </c>
      <c r="F114" s="21">
        <v>2.6463597372773675</v>
      </c>
      <c r="G114" s="21">
        <v>2.5928897822436792</v>
      </c>
      <c r="H114" s="21">
        <v>2.6196247597605233</v>
      </c>
      <c r="I114" s="9"/>
      <c r="J114" s="9"/>
      <c r="K114" s="9"/>
      <c r="L114" s="9"/>
      <c r="M114" s="9"/>
      <c r="N114" s="9"/>
      <c r="O114" s="9"/>
      <c r="P114" s="9"/>
      <c r="Q114" s="9"/>
      <c r="R114" s="9"/>
      <c r="S114" s="9"/>
      <c r="T114" s="9"/>
      <c r="U114" s="9"/>
      <c r="V114" s="9"/>
      <c r="W114" s="9"/>
      <c r="X114" s="9"/>
      <c r="Y114" s="9"/>
    </row>
    <row r="115" spans="1:25" s="12" customFormat="1" ht="16.5" customHeight="1">
      <c r="A115" s="22">
        <v>40391</v>
      </c>
      <c r="B115" s="20">
        <v>129.93640590219962</v>
      </c>
      <c r="C115" s="3">
        <v>3.3381698027500706E-3</v>
      </c>
      <c r="D115" s="3">
        <v>3.1829356736346792E-2</v>
      </c>
      <c r="E115" s="3">
        <v>1.7292452394789742E-2</v>
      </c>
      <c r="F115" s="21">
        <v>3.0509727387982175</v>
      </c>
      <c r="G115" s="21">
        <v>2.7171557585232105</v>
      </c>
      <c r="H115" s="21">
        <v>2.8840642486607138</v>
      </c>
      <c r="I115" s="11"/>
      <c r="J115" s="11"/>
      <c r="K115" s="11"/>
      <c r="L115" s="11"/>
      <c r="M115" s="11"/>
      <c r="N115" s="11"/>
      <c r="O115" s="11"/>
      <c r="P115" s="11"/>
      <c r="Q115" s="11"/>
      <c r="R115" s="11"/>
      <c r="S115" s="11"/>
      <c r="T115" s="11"/>
      <c r="U115" s="11"/>
      <c r="V115" s="11"/>
      <c r="W115" s="11"/>
      <c r="X115" s="11"/>
      <c r="Y115" s="11"/>
    </row>
    <row r="116" spans="1:25" ht="16.5" customHeight="1">
      <c r="A116" s="22">
        <v>40422</v>
      </c>
      <c r="B116" s="20">
        <v>130.53461005202169</v>
      </c>
      <c r="C116" s="3">
        <v>4.6038225058519624E-3</v>
      </c>
      <c r="D116" s="3">
        <v>3.5639361442963757E-2</v>
      </c>
      <c r="E116" s="3">
        <v>1.9330997844586854E-2</v>
      </c>
      <c r="F116" s="21">
        <v>2.8325749938200371</v>
      </c>
      <c r="G116" s="21">
        <v>2.3721927432348409</v>
      </c>
      <c r="H116" s="21">
        <v>2.602383868527439</v>
      </c>
      <c r="I116" s="9"/>
      <c r="J116" s="9"/>
      <c r="K116" s="9"/>
      <c r="L116" s="9"/>
      <c r="M116" s="9"/>
      <c r="N116" s="9"/>
      <c r="O116" s="9"/>
      <c r="P116" s="9"/>
      <c r="Q116" s="9"/>
      <c r="R116" s="9"/>
      <c r="S116" s="9"/>
      <c r="T116" s="9"/>
      <c r="U116" s="9"/>
      <c r="V116" s="9"/>
      <c r="W116" s="9"/>
      <c r="X116" s="9"/>
      <c r="Y116" s="9"/>
    </row>
    <row r="117" spans="1:25" ht="16.5" customHeight="1">
      <c r="A117" s="22">
        <v>40452</v>
      </c>
      <c r="B117" s="20">
        <v>130.86884531148942</v>
      </c>
      <c r="C117" s="3">
        <v>2.5605106518072993E-3</v>
      </c>
      <c r="D117" s="3">
        <v>3.3806548197468977E-2</v>
      </c>
      <c r="E117" s="3">
        <v>2.0778552879875067E-2</v>
      </c>
      <c r="F117" s="21">
        <v>2.8432108109067999</v>
      </c>
      <c r="G117" s="21">
        <v>2.58715974572607</v>
      </c>
      <c r="H117" s="21">
        <v>2.7151852783164347</v>
      </c>
    </row>
    <row r="118" spans="1:25" ht="16.5" customHeight="1">
      <c r="A118" s="22">
        <v>40483</v>
      </c>
      <c r="B118" s="20">
        <v>131.4925785380857</v>
      </c>
      <c r="C118" s="3">
        <v>4.7660940624307856E-3</v>
      </c>
      <c r="D118" s="3">
        <v>3.6846000963435266E-2</v>
      </c>
      <c r="E118" s="3">
        <v>2.2239229978380539E-2</v>
      </c>
      <c r="F118" s="21">
        <v>3.0997575248769396</v>
      </c>
      <c r="G118" s="21">
        <v>2.623148118633861</v>
      </c>
      <c r="H118" s="21">
        <v>2.8614528217554005</v>
      </c>
    </row>
    <row r="119" spans="1:25" ht="16.5" customHeight="1">
      <c r="A119" s="22">
        <v>40513</v>
      </c>
      <c r="B119" s="20">
        <v>131.50667868535115</v>
      </c>
      <c r="C119" s="3">
        <v>1.0723150631184896E-4</v>
      </c>
      <c r="D119" s="3">
        <v>3.7699714301573595E-2</v>
      </c>
      <c r="E119" s="3">
        <v>2.3527603671979962E-2</v>
      </c>
      <c r="F119" s="21">
        <v>2.9773529205805298</v>
      </c>
      <c r="G119" s="21">
        <v>2.9666297699493449</v>
      </c>
      <c r="H119" s="21">
        <v>2.9719913452649376</v>
      </c>
    </row>
    <row r="120" spans="1:25" ht="16.5" customHeight="1">
      <c r="A120" s="22">
        <v>40544</v>
      </c>
      <c r="B120" s="20">
        <v>131.80387949270056</v>
      </c>
      <c r="C120" s="3">
        <v>2.259967404853418E-3</v>
      </c>
      <c r="D120" s="3">
        <v>3.6161927267333249E-2</v>
      </c>
      <c r="E120" s="3">
        <v>3.6161927267333249E-2</v>
      </c>
      <c r="F120" s="21">
        <v>3.2731726540975461</v>
      </c>
      <c r="G120" s="21">
        <v>3.0471759136122043</v>
      </c>
      <c r="H120" s="21">
        <v>3.1601742838548752</v>
      </c>
    </row>
    <row r="121" spans="1:25" ht="16.5" customHeight="1">
      <c r="A121" s="22">
        <v>40575</v>
      </c>
      <c r="B121" s="20">
        <v>132.61283279100385</v>
      </c>
      <c r="C121" s="3">
        <v>6.1375530175354683E-3</v>
      </c>
      <c r="D121" s="3">
        <v>3.7894503916299893E-2</v>
      </c>
      <c r="E121" s="3">
        <v>3.7028215591816571E-2</v>
      </c>
      <c r="F121" s="21">
        <v>3.0568548481305999</v>
      </c>
      <c r="G121" s="21">
        <v>2.4430995463770531</v>
      </c>
      <c r="H121" s="21">
        <v>2.7499771972538265</v>
      </c>
    </row>
    <row r="122" spans="1:25" ht="16.5" customHeight="1">
      <c r="A122" s="22">
        <v>40603</v>
      </c>
      <c r="B122" s="20">
        <v>132.75871285828646</v>
      </c>
      <c r="C122" s="3">
        <v>1.1000448765959804E-3</v>
      </c>
      <c r="D122" s="3">
        <v>3.645597611743101E-2</v>
      </c>
      <c r="E122" s="3">
        <v>3.6837469100354715E-2</v>
      </c>
      <c r="F122" s="21">
        <v>3.219378141564492</v>
      </c>
      <c r="G122" s="21">
        <v>3.109373653904894</v>
      </c>
      <c r="H122" s="21">
        <v>3.164375897734693</v>
      </c>
    </row>
    <row r="123" spans="1:25" ht="16.5" customHeight="1">
      <c r="A123" s="22">
        <v>40634</v>
      </c>
      <c r="B123" s="20">
        <v>132.88459644510826</v>
      </c>
      <c r="C123" s="3">
        <v>9.4821337230176716E-4</v>
      </c>
      <c r="D123" s="3">
        <v>3.3080706821239092E-2</v>
      </c>
      <c r="E123" s="3">
        <v>3.5898278530575811E-2</v>
      </c>
      <c r="F123" s="21">
        <v>2.9307284126809452</v>
      </c>
      <c r="G123" s="21">
        <v>2.8359070754507685</v>
      </c>
      <c r="H123" s="21">
        <v>2.8833177440658568</v>
      </c>
    </row>
    <row r="124" spans="1:25" ht="16.5" customHeight="1">
      <c r="A124" s="22">
        <v>40664</v>
      </c>
      <c r="B124" s="20">
        <v>133.27714935157644</v>
      </c>
      <c r="C124" s="3">
        <v>2.9540888633419727E-3</v>
      </c>
      <c r="D124" s="3">
        <v>3.4722436228262321E-2</v>
      </c>
      <c r="E124" s="3">
        <v>3.5663110070113115E-2</v>
      </c>
      <c r="F124" s="21">
        <v>3.0024740344597758</v>
      </c>
      <c r="G124" s="21">
        <v>2.7070651481255785</v>
      </c>
      <c r="H124" s="21">
        <v>2.8547695912926772</v>
      </c>
    </row>
    <row r="125" spans="1:25" ht="16.5" customHeight="1">
      <c r="A125" s="22">
        <v>40695</v>
      </c>
      <c r="B125" s="20">
        <v>133.63345883874854</v>
      </c>
      <c r="C125" s="3">
        <v>2.6734476908128581E-3</v>
      </c>
      <c r="D125" s="3">
        <v>3.2437686415281108E-2</v>
      </c>
      <c r="E125" s="3">
        <v>3.5125539460974443E-2</v>
      </c>
      <c r="F125" s="21">
        <v>3.0542123814567508</v>
      </c>
      <c r="G125" s="21">
        <v>2.786867612375465</v>
      </c>
      <c r="H125" s="21">
        <v>2.9205399969161077</v>
      </c>
    </row>
    <row r="126" spans="1:25" ht="16.5" customHeight="1">
      <c r="A126" s="22">
        <v>40725</v>
      </c>
      <c r="B126" s="20">
        <v>134.17188253799358</v>
      </c>
      <c r="C126" s="3">
        <v>4.0291084577460442E-3</v>
      </c>
      <c r="D126" s="3">
        <v>3.6043517826601201E-2</v>
      </c>
      <c r="E126" s="3">
        <v>3.5256679227492552E-2</v>
      </c>
      <c r="F126" s="21">
        <v>3.1258835263208331</v>
      </c>
      <c r="G126" s="21">
        <v>2.7229726805462287</v>
      </c>
      <c r="H126" s="21">
        <v>2.9244281034335309</v>
      </c>
    </row>
    <row r="127" spans="1:25" ht="16.5" customHeight="1">
      <c r="A127" s="22">
        <v>40756</v>
      </c>
      <c r="B127" s="20">
        <v>134.42283551787824</v>
      </c>
      <c r="C127" s="3">
        <v>1.8703842797584346E-3</v>
      </c>
      <c r="D127" s="3">
        <v>3.4527887581063732E-2</v>
      </c>
      <c r="E127" s="3">
        <v>3.5165580271688951E-2</v>
      </c>
      <c r="F127" s="21">
        <v>2.8859758196825611</v>
      </c>
      <c r="G127" s="21">
        <v>2.6989373917067176</v>
      </c>
      <c r="H127" s="21">
        <v>2.7924566056946394</v>
      </c>
    </row>
    <row r="128" spans="1:25" ht="16.5" customHeight="1">
      <c r="A128" s="22">
        <v>40787</v>
      </c>
      <c r="B128" s="20">
        <v>134.91556258926366</v>
      </c>
      <c r="C128" s="3">
        <v>3.6655012482598483E-3</v>
      </c>
      <c r="D128" s="3">
        <v>3.3561616612605816E-2</v>
      </c>
      <c r="E128" s="3">
        <v>3.4987362087346381E-2</v>
      </c>
      <c r="F128" s="21">
        <v>2.7717980277342535</v>
      </c>
      <c r="G128" s="21">
        <v>2.4052479029082687</v>
      </c>
      <c r="H128" s="21">
        <v>2.5885229653212614</v>
      </c>
    </row>
    <row r="129" spans="1:8" ht="16.5" customHeight="1">
      <c r="A129" s="22">
        <v>40817</v>
      </c>
      <c r="B129" s="20">
        <v>135.26581768179003</v>
      </c>
      <c r="C129" s="3">
        <v>2.6260663860403224E-3</v>
      </c>
      <c r="D129" s="3">
        <v>3.3629199456665759E-2</v>
      </c>
      <c r="E129" s="3">
        <v>3.4851545824278386E-2</v>
      </c>
      <c r="F129" s="21">
        <v>2.6430697984734093</v>
      </c>
      <c r="G129" s="21">
        <v>2.3804631598693771</v>
      </c>
      <c r="H129" s="21">
        <v>2.511766479171393</v>
      </c>
    </row>
    <row r="130" spans="1:8" ht="16.5" customHeight="1">
      <c r="A130" s="22">
        <v>40848</v>
      </c>
      <c r="B130" s="20">
        <v>135.79831747400536</v>
      </c>
      <c r="C130" s="3">
        <v>3.936691481568921E-3</v>
      </c>
      <c r="D130" s="3">
        <v>3.2775971296649331E-2</v>
      </c>
      <c r="E130" s="3">
        <v>3.4662857230857561E-2</v>
      </c>
      <c r="F130" s="21">
        <v>3.0461693531806446</v>
      </c>
      <c r="G130" s="21">
        <v>2.6525002050237525</v>
      </c>
      <c r="H130" s="21">
        <v>2.8493347791021986</v>
      </c>
    </row>
    <row r="131" spans="1:8" ht="16.5" customHeight="1">
      <c r="A131" s="22">
        <v>40878</v>
      </c>
      <c r="B131" s="20">
        <v>135.77038528525787</v>
      </c>
      <c r="C131" s="3">
        <v>-2.0568876895561859E-4</v>
      </c>
      <c r="D131" s="3">
        <v>3.2452829406413253E-2</v>
      </c>
      <c r="E131" s="3">
        <v>3.44786882454872E-2</v>
      </c>
      <c r="F131" s="21">
        <v>3.3653415685382471</v>
      </c>
      <c r="G131" s="21">
        <v>3.3859104454338089</v>
      </c>
      <c r="H131" s="21">
        <v>3.3756260069860282</v>
      </c>
    </row>
    <row r="132" spans="1:8" ht="16.5" customHeight="1">
      <c r="A132" s="22">
        <v>40909</v>
      </c>
      <c r="B132" s="20">
        <v>135.39987104303663</v>
      </c>
      <c r="C132" s="3">
        <v>-2.728976878446563E-3</v>
      </c>
      <c r="D132" s="3">
        <v>2.7313594269265273E-2</v>
      </c>
      <c r="E132" s="3">
        <v>2.7313594269265273E-2</v>
      </c>
      <c r="F132" s="21">
        <v>3.0274409897941603</v>
      </c>
      <c r="G132" s="21">
        <v>3.3003386776388166</v>
      </c>
      <c r="H132" s="21">
        <v>3.1638898337164885</v>
      </c>
    </row>
    <row r="133" spans="1:8" ht="16.5" customHeight="1">
      <c r="A133" s="22">
        <v>40940</v>
      </c>
      <c r="B133" s="20">
        <v>135.31447606340637</v>
      </c>
      <c r="C133" s="3">
        <v>-6.3068730400128725E-4</v>
      </c>
      <c r="D133" s="3">
        <v>2.0402903707380515E-2</v>
      </c>
      <c r="E133" s="3">
        <v>2.3858248988322894E-2</v>
      </c>
      <c r="F133" s="21">
        <v>2.6255425386831481</v>
      </c>
      <c r="G133" s="21">
        <v>2.6886112690832769</v>
      </c>
      <c r="H133" s="21">
        <v>2.6570769038832127</v>
      </c>
    </row>
    <row r="134" spans="1:8" ht="16.5" customHeight="1">
      <c r="A134" s="22">
        <v>40969</v>
      </c>
      <c r="B134" s="20">
        <v>135.35381374288752</v>
      </c>
      <c r="C134" s="3">
        <v>2.9071301626821812E-4</v>
      </c>
      <c r="D134" s="3">
        <v>1.9577966594883423E-2</v>
      </c>
      <c r="E134" s="3">
        <v>2.2431488190509736E-2</v>
      </c>
      <c r="F134" s="21">
        <v>3.1207347077433001</v>
      </c>
      <c r="G134" s="21">
        <v>3.0916634061164783</v>
      </c>
      <c r="H134" s="21">
        <v>3.1061990569298894</v>
      </c>
    </row>
    <row r="135" spans="1:8" ht="16.5" customHeight="1">
      <c r="A135" s="22">
        <v>41000</v>
      </c>
      <c r="B135" s="20">
        <v>135.08529549889414</v>
      </c>
      <c r="C135" s="3">
        <v>-1.9838247373172857E-3</v>
      </c>
      <c r="D135" s="3">
        <v>1.659135708417514E-2</v>
      </c>
      <c r="E135" s="3">
        <v>2.0971455413926088E-2</v>
      </c>
      <c r="F135" s="21">
        <v>2.2467932000440696</v>
      </c>
      <c r="G135" s="21">
        <v>2.4451756737757981</v>
      </c>
      <c r="H135" s="21">
        <v>2.3459844369099336</v>
      </c>
    </row>
    <row r="136" spans="1:8" ht="16.5" customHeight="1">
      <c r="A136" s="22">
        <v>41030</v>
      </c>
      <c r="B136" s="20">
        <v>134.70235848953558</v>
      </c>
      <c r="C136" s="3">
        <v>-2.8347793736121173E-3</v>
      </c>
      <c r="D136" s="3">
        <v>1.0723777020110514E-2</v>
      </c>
      <c r="E136" s="3">
        <v>1.8921919735162974E-2</v>
      </c>
      <c r="F136" s="21">
        <v>2.1546813846022528</v>
      </c>
      <c r="G136" s="21">
        <v>2.4381593219634645</v>
      </c>
      <c r="H136" s="21">
        <v>2.2964203532828584</v>
      </c>
    </row>
    <row r="137" spans="1:8" ht="16.5" customHeight="1">
      <c r="A137" s="22">
        <v>41061</v>
      </c>
      <c r="B137" s="20">
        <v>134.66194113130555</v>
      </c>
      <c r="C137" s="3">
        <v>-3.000493731753373E-4</v>
      </c>
      <c r="D137" s="3">
        <v>7.7264061508670601E-3</v>
      </c>
      <c r="E137" s="3">
        <v>1.7056000804446986E-2</v>
      </c>
      <c r="F137" s="21">
        <v>2.4992790969633703</v>
      </c>
      <c r="G137" s="21">
        <v>2.529284034280904</v>
      </c>
      <c r="H137" s="21">
        <v>2.5142815656221371</v>
      </c>
    </row>
    <row r="138" spans="1:8" ht="16.5" customHeight="1">
      <c r="A138" s="22">
        <v>41091</v>
      </c>
      <c r="B138" s="20">
        <v>134.26691275311228</v>
      </c>
      <c r="C138" s="3">
        <v>-2.9334819836592495E-3</v>
      </c>
      <c r="D138" s="3">
        <v>7.3817624407146454E-4</v>
      </c>
      <c r="E138" s="3">
        <v>1.4724883010107628E-2</v>
      </c>
      <c r="F138" s="21">
        <v>2.4033921021091986</v>
      </c>
      <c r="G138" s="21">
        <v>2.6967403004751236</v>
      </c>
      <c r="H138" s="21">
        <v>2.5500662012921609</v>
      </c>
    </row>
    <row r="139" spans="1:8" ht="16.5" customHeight="1">
      <c r="A139" s="22">
        <v>41122</v>
      </c>
      <c r="B139" s="20">
        <v>133.84030281094437</v>
      </c>
      <c r="C139" s="3">
        <v>-3.1773274101591655E-3</v>
      </c>
      <c r="D139" s="3">
        <v>-4.3038310555109094E-3</v>
      </c>
      <c r="E139" s="3">
        <v>1.234629375190531E-2</v>
      </c>
      <c r="F139" s="21">
        <v>2.1557663519671899</v>
      </c>
      <c r="G139" s="21">
        <v>2.4734990929831064</v>
      </c>
      <c r="H139" s="21">
        <v>2.3146327224751482</v>
      </c>
    </row>
    <row r="140" spans="1:8" ht="16.5" customHeight="1">
      <c r="A140" s="22">
        <v>41153</v>
      </c>
      <c r="B140" s="20">
        <v>133.91262408865239</v>
      </c>
      <c r="C140" s="3">
        <v>5.4035500659448403E-4</v>
      </c>
      <c r="D140" s="3">
        <v>-7.4041629253892571E-3</v>
      </c>
      <c r="E140" s="3">
        <v>1.0151798565539247E-2</v>
      </c>
      <c r="F140" s="21">
        <v>2.4739775780608833</v>
      </c>
      <c r="G140" s="21">
        <v>2.4199420774014349</v>
      </c>
      <c r="H140" s="21">
        <v>2.4469598277311588</v>
      </c>
    </row>
    <row r="141" spans="1:8" ht="16.5" customHeight="1">
      <c r="A141" s="22">
        <v>41183</v>
      </c>
      <c r="B141" s="20">
        <v>133.84472456488507</v>
      </c>
      <c r="C141" s="3">
        <v>-5.0704348622406133E-4</v>
      </c>
      <c r="D141" s="3">
        <v>-1.0505929297289662E-2</v>
      </c>
      <c r="E141" s="3">
        <v>8.0860257792563558E-3</v>
      </c>
      <c r="F141" s="21">
        <v>2.2485653166744557</v>
      </c>
      <c r="G141" s="21">
        <v>2.2992696652968618</v>
      </c>
      <c r="H141" s="21">
        <v>2.2739174909856588</v>
      </c>
    </row>
    <row r="142" spans="1:8" ht="16.5" customHeight="1">
      <c r="A142" s="22">
        <v>41214</v>
      </c>
      <c r="B142" s="20">
        <v>134.24055660339198</v>
      </c>
      <c r="C142" s="3">
        <v>2.9573973856175774E-3</v>
      </c>
      <c r="D142" s="3">
        <v>-1.1471135280535116E-2</v>
      </c>
      <c r="E142" s="3">
        <v>6.3081020465480401E-3</v>
      </c>
      <c r="F142" s="21">
        <v>2.5940667162200488</v>
      </c>
      <c r="G142" s="21">
        <v>2.2983269776582911</v>
      </c>
      <c r="H142" s="21">
        <v>2.4461968469391699</v>
      </c>
    </row>
    <row r="143" spans="1:8" ht="16.5" customHeight="1">
      <c r="A143" s="22">
        <v>41244</v>
      </c>
      <c r="B143" s="20">
        <v>133.85686732681989</v>
      </c>
      <c r="C143" s="3">
        <v>-2.8582217347747595E-3</v>
      </c>
      <c r="D143" s="3">
        <v>-1.4093780130457922E-2</v>
      </c>
      <c r="E143" s="3">
        <v>4.6079451984642099E-3</v>
      </c>
      <c r="F143" s="21">
        <v>2.2591066560452688</v>
      </c>
      <c r="G143" s="21">
        <v>2.5449288295227448</v>
      </c>
      <c r="H143" s="21">
        <v>2.4020177427840066</v>
      </c>
    </row>
    <row r="144" spans="1:8" ht="16.5" customHeight="1">
      <c r="A144" s="22">
        <v>41275</v>
      </c>
      <c r="B144" s="20">
        <v>134.14067005407085</v>
      </c>
      <c r="C144" s="3">
        <v>2.1201954962686287E-3</v>
      </c>
      <c r="D144" s="3">
        <v>-9.2998684508757146E-3</v>
      </c>
      <c r="E144" s="3">
        <v>-9.2998684508757146E-3</v>
      </c>
      <c r="F144" s="21">
        <v>2.5250491416256611</v>
      </c>
      <c r="G144" s="21">
        <v>2.3130295919987982</v>
      </c>
      <c r="H144" s="21">
        <v>2.4190393668122296</v>
      </c>
    </row>
    <row r="145" spans="1:8" ht="16.5" customHeight="1">
      <c r="A145" s="22">
        <v>41306</v>
      </c>
      <c r="B145" s="20">
        <v>134.31540962207285</v>
      </c>
      <c r="C145" s="3">
        <v>1.302659125912875E-3</v>
      </c>
      <c r="D145" s="3">
        <v>-7.3832931287068915E-3</v>
      </c>
      <c r="E145" s="3">
        <v>-8.341580789791303E-3</v>
      </c>
      <c r="F145" s="21">
        <v>2.2550422026356673</v>
      </c>
      <c r="G145" s="21">
        <v>2.1247762900443798</v>
      </c>
      <c r="H145" s="21">
        <v>2.1899092463400236</v>
      </c>
    </row>
    <row r="146" spans="1:8" ht="16.5" customHeight="1">
      <c r="A146" s="22">
        <v>41334</v>
      </c>
      <c r="B146" s="20">
        <v>134.11517686358434</v>
      </c>
      <c r="C146" s="3">
        <v>-1.4907653489045901E-3</v>
      </c>
      <c r="D146" s="3">
        <v>-9.1511043911629564E-3</v>
      </c>
      <c r="E146" s="3">
        <v>-8.6114219902485214E-3</v>
      </c>
      <c r="F146" s="21">
        <v>2.4455281515899525</v>
      </c>
      <c r="G146" s="21">
        <v>2.5946046864804115</v>
      </c>
      <c r="H146" s="21">
        <v>2.520066419035182</v>
      </c>
    </row>
    <row r="147" spans="1:8" ht="16.5" customHeight="1">
      <c r="A147" s="22">
        <v>41365</v>
      </c>
      <c r="B147" s="20">
        <v>134.09431196672745</v>
      </c>
      <c r="C147" s="3">
        <v>-1.5557446476114568E-4</v>
      </c>
      <c r="D147" s="3">
        <v>-7.3359837464678224E-3</v>
      </c>
      <c r="E147" s="3">
        <v>-8.2925624293033462E-3</v>
      </c>
      <c r="F147" s="21">
        <v>2.8768587516949555</v>
      </c>
      <c r="G147" s="21">
        <v>2.8924161981710701</v>
      </c>
      <c r="H147" s="21">
        <v>2.8846374749330126</v>
      </c>
    </row>
    <row r="148" spans="1:8" ht="16.5" customHeight="1">
      <c r="A148" s="22">
        <v>41395</v>
      </c>
      <c r="B148" s="20">
        <v>133.68193938354716</v>
      </c>
      <c r="C148" s="3">
        <v>-3.0752429177056807E-3</v>
      </c>
      <c r="D148" s="3">
        <v>-7.5753618379866827E-3</v>
      </c>
      <c r="E148" s="3">
        <v>-8.1491223110400132E-3</v>
      </c>
      <c r="F148" s="21">
        <v>2.1884132576642403</v>
      </c>
      <c r="G148" s="21">
        <v>2.4959375494348084</v>
      </c>
      <c r="H148" s="21">
        <v>2.3421754035495246</v>
      </c>
    </row>
    <row r="149" spans="1:8" ht="16.5" customHeight="1">
      <c r="A149" s="22">
        <v>41426</v>
      </c>
      <c r="B149" s="20">
        <v>133.79062088100591</v>
      </c>
      <c r="C149" s="3">
        <v>8.1298564308634363E-4</v>
      </c>
      <c r="D149" s="3">
        <v>-6.4704269296849137E-3</v>
      </c>
      <c r="E149" s="3">
        <v>-7.8693397474808302E-3</v>
      </c>
      <c r="F149" s="21">
        <v>2.1876979025793308</v>
      </c>
      <c r="G149" s="21">
        <v>2.1063993382706965</v>
      </c>
      <c r="H149" s="21">
        <v>2.1470486204250134</v>
      </c>
    </row>
    <row r="150" spans="1:8" ht="16.5" customHeight="1">
      <c r="A150" s="22">
        <v>41456</v>
      </c>
      <c r="B150" s="20">
        <v>134.58807891434537</v>
      </c>
      <c r="C150" s="3">
        <v>5.9604928065080821E-3</v>
      </c>
      <c r="D150" s="3">
        <v>2.3919978097928229E-3</v>
      </c>
      <c r="E150" s="3">
        <v>-6.4034343821560225E-3</v>
      </c>
      <c r="F150" s="21">
        <v>3.1689358025825167</v>
      </c>
      <c r="G150" s="21">
        <v>2.5728865219317085</v>
      </c>
      <c r="H150" s="21">
        <v>2.8709111622571126</v>
      </c>
    </row>
    <row r="151" spans="1:8" ht="16.5" customHeight="1">
      <c r="A151" s="22">
        <v>41487</v>
      </c>
      <c r="B151" s="20">
        <v>134.20104893623611</v>
      </c>
      <c r="C151" s="3">
        <v>-2.875663143654741E-3</v>
      </c>
      <c r="D151" s="3">
        <v>2.6953474978408387E-3</v>
      </c>
      <c r="E151" s="3">
        <v>-5.2660866471564149E-3</v>
      </c>
      <c r="F151" s="21">
        <v>2.3574499034182872</v>
      </c>
      <c r="G151" s="21">
        <v>2.6450162177837613</v>
      </c>
      <c r="H151" s="21">
        <v>2.5012330606010242</v>
      </c>
    </row>
    <row r="152" spans="1:8" ht="16.5" customHeight="1">
      <c r="A152" s="22">
        <v>41518</v>
      </c>
      <c r="B152" s="20">
        <v>134.42363776450762</v>
      </c>
      <c r="C152" s="3">
        <v>1.6586221198410555E-3</v>
      </c>
      <c r="D152" s="3">
        <v>3.8160231668444844E-3</v>
      </c>
      <c r="E152" s="3">
        <v>-4.2569633344896485E-3</v>
      </c>
      <c r="F152" s="21">
        <v>2.2437635414789323</v>
      </c>
      <c r="G152" s="21">
        <v>2.0779013294948268</v>
      </c>
      <c r="H152" s="21">
        <v>2.1608324354868795</v>
      </c>
    </row>
    <row r="153" spans="1:8" ht="16.5" customHeight="1">
      <c r="A153" s="22">
        <v>41548</v>
      </c>
      <c r="B153" s="20">
        <v>134.67431454268996</v>
      </c>
      <c r="C153" s="3">
        <v>1.86482662090651E-3</v>
      </c>
      <c r="D153" s="3">
        <v>6.1981522282763546E-3</v>
      </c>
      <c r="E153" s="3">
        <v>-3.211451778213048E-3</v>
      </c>
      <c r="F153" s="21">
        <v>2.6255024512125242</v>
      </c>
      <c r="G153" s="21">
        <v>2.4390197891218732</v>
      </c>
      <c r="H153" s="21">
        <v>2.532261120167199</v>
      </c>
    </row>
    <row r="154" spans="1:8" ht="16.5" customHeight="1">
      <c r="A154" s="22">
        <v>41579</v>
      </c>
      <c r="B154" s="20">
        <v>135.18291417043005</v>
      </c>
      <c r="C154" s="3">
        <v>3.7765154362741971E-3</v>
      </c>
      <c r="D154" s="3">
        <v>7.019917012279997E-3</v>
      </c>
      <c r="E154" s="3">
        <v>-2.2813273427136804E-3</v>
      </c>
      <c r="F154" s="21">
        <v>2.8682621032863698</v>
      </c>
      <c r="G154" s="21">
        <v>2.4906105596589501</v>
      </c>
      <c r="H154" s="21">
        <v>2.6794363314726599</v>
      </c>
    </row>
    <row r="155" spans="1:8" ht="16.5" customHeight="1">
      <c r="A155" s="22">
        <v>41609</v>
      </c>
      <c r="B155" s="20">
        <v>134.95743730754467</v>
      </c>
      <c r="C155" s="3">
        <v>-1.6679390607094336E-3</v>
      </c>
      <c r="D155" s="3">
        <v>8.2219911664125345E-3</v>
      </c>
      <c r="E155" s="3">
        <v>-1.4060508002864958E-3</v>
      </c>
      <c r="F155" s="21">
        <v>2.4593726832115799</v>
      </c>
      <c r="G155" s="21">
        <v>2.6261665892825232</v>
      </c>
      <c r="H155" s="21">
        <v>2.5427696362470513</v>
      </c>
    </row>
    <row r="156" spans="1:8" ht="16.5" customHeight="1">
      <c r="A156" s="22">
        <v>41640</v>
      </c>
      <c r="B156" s="20">
        <v>135.01997195461374</v>
      </c>
      <c r="C156" s="3">
        <v>4.6336569748701707E-4</v>
      </c>
      <c r="D156" s="3">
        <v>6.5550731197960843E-3</v>
      </c>
      <c r="E156" s="3">
        <v>6.5550731197960843E-3</v>
      </c>
      <c r="F156" s="21">
        <v>2.5028505497436426</v>
      </c>
      <c r="G156" s="21">
        <v>2.4565139799949409</v>
      </c>
      <c r="H156" s="21">
        <v>2.4796822648692918</v>
      </c>
    </row>
    <row r="157" spans="1:8" ht="16.5" customHeight="1">
      <c r="A157" s="22">
        <v>41671</v>
      </c>
      <c r="B157" s="20">
        <v>134.88474383555737</v>
      </c>
      <c r="C157" s="3">
        <v>-1.0015416023180989E-3</v>
      </c>
      <c r="D157" s="3">
        <v>4.2387855204883973E-3</v>
      </c>
      <c r="E157" s="3">
        <v>5.3969293201422408E-3</v>
      </c>
      <c r="F157" s="21">
        <v>2.1489775565278078</v>
      </c>
      <c r="G157" s="21">
        <v>2.2491317167596176</v>
      </c>
      <c r="H157" s="21">
        <v>2.1990546366437127</v>
      </c>
    </row>
    <row r="158" spans="1:8" ht="16.5" customHeight="1">
      <c r="A158" s="22">
        <v>41699</v>
      </c>
      <c r="B158" s="20">
        <v>134.80091659363774</v>
      </c>
      <c r="C158" s="3">
        <v>-6.2147311501602241E-4</v>
      </c>
      <c r="D158" s="3">
        <v>5.1130658445233124E-3</v>
      </c>
      <c r="E158" s="3">
        <v>5.302308161602598E-3</v>
      </c>
      <c r="F158" s="21">
        <v>2.6747286608490355</v>
      </c>
      <c r="G158" s="21">
        <v>2.7368759723506377</v>
      </c>
      <c r="H158" s="21">
        <v>2.7058023165998364</v>
      </c>
    </row>
    <row r="159" spans="1:8" ht="16.5" customHeight="1">
      <c r="A159" s="22">
        <v>41730</v>
      </c>
      <c r="B159" s="20">
        <v>134.693501964787</v>
      </c>
      <c r="C159" s="3">
        <v>-7.968390094447741E-4</v>
      </c>
      <c r="D159" s="3">
        <v>4.4684221819060177E-3</v>
      </c>
      <c r="E159" s="3">
        <v>5.0938366666784529E-3</v>
      </c>
      <c r="F159" s="21">
        <v>2.419154700673035</v>
      </c>
      <c r="G159" s="21">
        <v>2.4988386016175124</v>
      </c>
      <c r="H159" s="21">
        <v>2.4589966511452737</v>
      </c>
    </row>
    <row r="160" spans="1:8" ht="16.5" customHeight="1">
      <c r="A160" s="22">
        <v>41760</v>
      </c>
      <c r="B160" s="20">
        <v>134.35044702493633</v>
      </c>
      <c r="C160" s="3">
        <v>-2.5469301402554056E-3</v>
      </c>
      <c r="D160" s="3">
        <v>5.0007326679422093E-3</v>
      </c>
      <c r="E160" s="3">
        <v>5.075215866931204E-3</v>
      </c>
      <c r="F160" s="21">
        <v>1.7555588916570348</v>
      </c>
      <c r="G160" s="21">
        <v>2.0102519056825754</v>
      </c>
      <c r="H160" s="21">
        <v>1.8829053986698052</v>
      </c>
    </row>
    <row r="161" spans="1:8" ht="16.5" customHeight="1">
      <c r="A161" s="22">
        <v>41791</v>
      </c>
      <c r="B161" s="20">
        <v>134.5761731490125</v>
      </c>
      <c r="C161" s="3">
        <v>1.6801293116223582E-3</v>
      </c>
      <c r="D161" s="3">
        <v>5.8715047649362528E-3</v>
      </c>
      <c r="E161" s="3">
        <v>5.2079306832653787E-3</v>
      </c>
      <c r="F161" s="21">
        <v>2.1098947481786028</v>
      </c>
      <c r="G161" s="21">
        <v>1.941881817016367</v>
      </c>
      <c r="H161" s="21">
        <v>2.0258882825974851</v>
      </c>
    </row>
    <row r="162" spans="1:8" ht="16.5" customHeight="1">
      <c r="A162" s="22">
        <v>41821</v>
      </c>
      <c r="B162" s="20">
        <v>134.43496324941486</v>
      </c>
      <c r="C162" s="3">
        <v>-1.0492934692182087E-3</v>
      </c>
      <c r="D162" s="3">
        <v>-1.1376614196860757E-3</v>
      </c>
      <c r="E162" s="3">
        <v>4.3014175257008857E-3</v>
      </c>
      <c r="F162" s="21">
        <v>2.2971100224101892</v>
      </c>
      <c r="G162" s="21">
        <v>2.4020393693320101</v>
      </c>
      <c r="H162" s="21">
        <v>2.3495746958710999</v>
      </c>
    </row>
    <row r="163" spans="1:8" ht="16.5" customHeight="1">
      <c r="A163" s="22">
        <v>41852</v>
      </c>
      <c r="B163" s="20">
        <v>134.28010059983055</v>
      </c>
      <c r="C163" s="3">
        <v>-1.1519521844700553E-3</v>
      </c>
      <c r="D163" s="3">
        <v>5.8905399191022667E-4</v>
      </c>
      <c r="E163" s="3">
        <v>3.8373720839770531E-3</v>
      </c>
      <c r="F163" s="21">
        <v>1.8506681295969971</v>
      </c>
      <c r="G163" s="21">
        <v>1.9658633480440026</v>
      </c>
      <c r="H163" s="21">
        <v>1.9082657388205</v>
      </c>
    </row>
    <row r="164" spans="1:8" ht="16.5" customHeight="1">
      <c r="A164" s="22">
        <v>41883</v>
      </c>
      <c r="B164" s="20">
        <v>134.38164848787673</v>
      </c>
      <c r="C164" s="3">
        <v>7.5623929080006927E-4</v>
      </c>
      <c r="D164" s="3">
        <v>-3.1236527540223769E-4</v>
      </c>
      <c r="E164" s="3">
        <v>3.376290155157132E-3</v>
      </c>
      <c r="F164" s="21">
        <v>2.3385342432032541</v>
      </c>
      <c r="G164" s="21">
        <v>2.2629103141232472</v>
      </c>
      <c r="H164" s="21">
        <v>2.3007222786632506</v>
      </c>
    </row>
    <row r="165" spans="1:8" ht="16.5" customHeight="1">
      <c r="A165" s="22">
        <v>41913</v>
      </c>
      <c r="B165" s="20">
        <v>134.40398631170299</v>
      </c>
      <c r="C165" s="3">
        <v>1.6622674358886423E-4</v>
      </c>
      <c r="D165" s="3">
        <v>-2.0072738584555605E-3</v>
      </c>
      <c r="E165" s="3">
        <v>2.8379337537958625E-3</v>
      </c>
      <c r="F165" s="21">
        <v>2.4862451400605092</v>
      </c>
      <c r="G165" s="21">
        <v>2.4696224657016228</v>
      </c>
      <c r="H165" s="21">
        <v>2.4779338028810658</v>
      </c>
    </row>
    <row r="166" spans="1:8" ht="16.5" customHeight="1">
      <c r="A166" s="22">
        <v>41944</v>
      </c>
      <c r="B166" s="20">
        <v>134.55611727226392</v>
      </c>
      <c r="C166" s="3">
        <v>1.1318932178701901E-3</v>
      </c>
      <c r="D166" s="3">
        <v>-4.6366576871978982E-3</v>
      </c>
      <c r="E166" s="3">
        <v>2.1584254409782481E-3</v>
      </c>
      <c r="F166" s="21">
        <v>2.3110614656134727</v>
      </c>
      <c r="G166" s="21">
        <v>2.1978721438264537</v>
      </c>
      <c r="H166" s="21">
        <v>2.2544668047199634</v>
      </c>
    </row>
    <row r="167" spans="1:8" ht="16.5" customHeight="1">
      <c r="A167" s="22">
        <v>41974</v>
      </c>
      <c r="B167" s="20">
        <v>134.34171512288762</v>
      </c>
      <c r="C167" s="3">
        <v>-1.5934032114085772E-3</v>
      </c>
      <c r="D167" s="3">
        <v>-4.5623434835526666E-3</v>
      </c>
      <c r="E167" s="3">
        <v>1.5983613639340051E-3</v>
      </c>
      <c r="F167" s="21">
        <v>2.705001220927771</v>
      </c>
      <c r="G167" s="21">
        <v>2.8643415420686287</v>
      </c>
      <c r="H167" s="21">
        <v>2.7846713814981996</v>
      </c>
    </row>
    <row r="168" spans="1:8" ht="16.5" customHeight="1">
      <c r="A168" s="22">
        <v>42005</v>
      </c>
      <c r="B168" s="20">
        <v>134.76001953831945</v>
      </c>
      <c r="C168" s="3">
        <v>3.1137343679822969E-3</v>
      </c>
      <c r="D168" s="3">
        <v>-1.9252886260535673E-3</v>
      </c>
      <c r="E168" s="3">
        <v>-1.9252886260535673E-3</v>
      </c>
      <c r="F168" s="21">
        <v>2.4383275939586628</v>
      </c>
      <c r="G168" s="21">
        <v>2.1269541571604331</v>
      </c>
      <c r="H168" s="21">
        <v>2.2826408755595482</v>
      </c>
    </row>
    <row r="169" spans="1:8" ht="16.5" customHeight="1">
      <c r="A169" s="22">
        <v>42036</v>
      </c>
      <c r="B169" s="20">
        <v>134.59415270090844</v>
      </c>
      <c r="C169" s="3">
        <v>-1.2308312063122107E-3</v>
      </c>
      <c r="D169" s="3">
        <v>-2.1543662121137341E-3</v>
      </c>
      <c r="E169" s="3">
        <v>-2.0398274190836507E-3</v>
      </c>
      <c r="F169" s="21">
        <v>1.9787757679430691</v>
      </c>
      <c r="G169" s="21">
        <v>2.1018588885742902</v>
      </c>
      <c r="H169" s="21">
        <v>2.0403173282586797</v>
      </c>
    </row>
    <row r="170" spans="1:8" ht="16.5" customHeight="1">
      <c r="A170" s="22">
        <v>42064</v>
      </c>
      <c r="B170" s="20">
        <v>134.44271505530693</v>
      </c>
      <c r="C170" s="3">
        <v>-1.1251428279949894E-3</v>
      </c>
      <c r="D170" s="3">
        <v>-2.6572633731462014E-3</v>
      </c>
      <c r="E170" s="3">
        <v>-2.2456394037711678E-3</v>
      </c>
      <c r="F170" s="21">
        <v>2.8622008752875003</v>
      </c>
      <c r="G170" s="21">
        <v>2.9747151580869993</v>
      </c>
      <c r="H170" s="21">
        <v>2.91845801668725</v>
      </c>
    </row>
    <row r="171" spans="1:8" ht="16.5" customHeight="1">
      <c r="A171" s="22">
        <v>42095</v>
      </c>
      <c r="B171" s="20">
        <v>134.2045944870996</v>
      </c>
      <c r="C171" s="3">
        <v>-1.7711675051293519E-3</v>
      </c>
      <c r="D171" s="3">
        <v>-3.6297777588054636E-3</v>
      </c>
      <c r="E171" s="3">
        <v>-2.5916739925297416E-3</v>
      </c>
      <c r="F171" s="21">
        <v>2.3101393245282416</v>
      </c>
      <c r="G171" s="21">
        <v>2.4872560750411767</v>
      </c>
      <c r="H171" s="21">
        <v>2.3986976997847091</v>
      </c>
    </row>
    <row r="172" spans="1:8" ht="16.5" customHeight="1">
      <c r="A172" s="22">
        <v>42125</v>
      </c>
      <c r="B172" s="20">
        <v>134.4508846998749</v>
      </c>
      <c r="C172" s="3">
        <v>1.8351846575489761E-3</v>
      </c>
      <c r="D172" s="3">
        <v>7.4757975996853077E-4</v>
      </c>
      <c r="E172" s="3">
        <v>-1.9238232420300872E-3</v>
      </c>
      <c r="F172" s="21">
        <v>2.2567002438121628</v>
      </c>
      <c r="G172" s="21">
        <v>2.0731817780572652</v>
      </c>
      <c r="H172" s="21">
        <v>2.1649410109347142</v>
      </c>
    </row>
    <row r="173" spans="1:8" ht="16.5" customHeight="1">
      <c r="A173" s="22">
        <v>42156</v>
      </c>
      <c r="B173" s="20">
        <v>134.58358245924492</v>
      </c>
      <c r="C173" s="3">
        <v>9.8696084943026728E-4</v>
      </c>
      <c r="D173" s="3">
        <v>5.5056627477512166E-5</v>
      </c>
      <c r="E173" s="3">
        <v>-1.5940099304454873E-3</v>
      </c>
      <c r="F173" s="21">
        <v>2.2782470871121769</v>
      </c>
      <c r="G173" s="21">
        <v>2.1795510021691502</v>
      </c>
      <c r="H173" s="21">
        <v>2.2288990446406638</v>
      </c>
    </row>
    <row r="174" spans="1:8" ht="16.5" customHeight="1">
      <c r="A174" s="22">
        <v>42186</v>
      </c>
      <c r="B174" s="20">
        <v>134.96400408251745</v>
      </c>
      <c r="C174" s="3">
        <v>2.8266569838688539E-3</v>
      </c>
      <c r="D174" s="3">
        <v>3.9352919829425126E-3</v>
      </c>
      <c r="E174" s="3">
        <v>-8.0410965710434447E-4</v>
      </c>
      <c r="F174" s="21">
        <v>2.28154416046634</v>
      </c>
      <c r="G174" s="21">
        <v>1.9988784620794546</v>
      </c>
      <c r="H174" s="21">
        <v>2.1402113112728971</v>
      </c>
    </row>
    <row r="175" spans="1:8" ht="16.5" customHeight="1">
      <c r="A175" s="22">
        <v>42217</v>
      </c>
      <c r="B175" s="20">
        <v>135.06349778239178</v>
      </c>
      <c r="C175" s="3">
        <v>7.3718693032765793E-4</v>
      </c>
      <c r="D175" s="3">
        <v>5.8340526933013948E-3</v>
      </c>
      <c r="E175" s="3">
        <v>2.5660636696372974E-5</v>
      </c>
      <c r="F175" s="21">
        <v>2.0587212615679631</v>
      </c>
      <c r="G175" s="21">
        <v>1.9850025685351973</v>
      </c>
      <c r="H175" s="21">
        <v>2.0218619150515802</v>
      </c>
    </row>
    <row r="176" spans="1:8" ht="16.5" customHeight="1">
      <c r="A176" s="22">
        <v>42248</v>
      </c>
      <c r="B176" s="20">
        <v>135.29202460600325</v>
      </c>
      <c r="C176" s="3">
        <v>1.6919954492786936E-3</v>
      </c>
      <c r="D176" s="3">
        <v>6.7745568563155611E-3</v>
      </c>
      <c r="E176" s="3">
        <v>7.7553799443183828E-4</v>
      </c>
      <c r="F176" s="21">
        <v>2.174665247088583</v>
      </c>
      <c r="G176" s="21">
        <v>2.0054657021607136</v>
      </c>
      <c r="H176" s="21">
        <v>2.0900654746246481</v>
      </c>
    </row>
    <row r="177" spans="1:9" ht="16.5" customHeight="1">
      <c r="A177" s="22">
        <v>42278</v>
      </c>
      <c r="B177" s="20">
        <v>135.45424555512048</v>
      </c>
      <c r="C177" s="3">
        <v>1.1990429560770589E-3</v>
      </c>
      <c r="D177" s="3">
        <v>7.8141971249408027E-3</v>
      </c>
      <c r="E177" s="3">
        <v>1.4794039074827348E-3</v>
      </c>
      <c r="F177" s="21">
        <v>2.2456374719887791</v>
      </c>
      <c r="G177" s="21">
        <v>2.1257331763810732</v>
      </c>
      <c r="H177" s="21">
        <v>2.1856853241849263</v>
      </c>
    </row>
    <row r="178" spans="1:9" ht="16.5" customHeight="1">
      <c r="A178" s="22">
        <v>42309</v>
      </c>
      <c r="B178" s="20">
        <v>135.55290569893015</v>
      </c>
      <c r="C178" s="3">
        <v>7.2836509040619113E-4</v>
      </c>
      <c r="D178" s="3">
        <v>7.4079755485907395E-3</v>
      </c>
      <c r="E178" s="3">
        <v>2.0183649657652806E-3</v>
      </c>
      <c r="F178" s="21">
        <v>2.0968580993057677</v>
      </c>
      <c r="G178" s="21">
        <v>2.0240215902651486</v>
      </c>
      <c r="H178" s="21">
        <v>2.0604398447854582</v>
      </c>
    </row>
    <row r="179" spans="1:9" ht="16.5" customHeight="1">
      <c r="A179" s="22">
        <v>42339</v>
      </c>
      <c r="B179" s="20">
        <v>134.99324230256485</v>
      </c>
      <c r="C179" s="3">
        <v>-4.1287451086318462E-3</v>
      </c>
      <c r="D179" s="3">
        <v>4.8497756566621142E-3</v>
      </c>
      <c r="E179" s="3">
        <v>2.2543158566733501E-3</v>
      </c>
      <c r="F179" s="21">
        <v>2.1463216179124776</v>
      </c>
      <c r="G179" s="21">
        <v>2.5591961287756622</v>
      </c>
      <c r="H179" s="21">
        <v>2.3527588733440696</v>
      </c>
    </row>
    <row r="180" spans="1:9" ht="16.5" customHeight="1">
      <c r="A180" s="22">
        <v>42370</v>
      </c>
      <c r="B180" s="20">
        <v>135.32713158176733</v>
      </c>
      <c r="C180" s="3">
        <v>2.4733777299318447E-3</v>
      </c>
      <c r="D180" s="3">
        <v>4.2083107837975753E-3</v>
      </c>
      <c r="E180" s="3">
        <v>4.2083107837975753E-3</v>
      </c>
      <c r="F180" s="21">
        <v>2.2957676899528074</v>
      </c>
      <c r="G180" s="21">
        <v>2.048429916959623</v>
      </c>
      <c r="H180" s="21">
        <v>2.1720988034562154</v>
      </c>
      <c r="I180" s="28"/>
    </row>
    <row r="181" spans="1:9" ht="16.5" customHeight="1">
      <c r="A181" s="22">
        <v>42401</v>
      </c>
      <c r="B181" s="20">
        <v>135.40613224006037</v>
      </c>
      <c r="C181" s="3">
        <v>5.8377545854743302E-4</v>
      </c>
      <c r="D181" s="3">
        <v>6.0327995151192582E-3</v>
      </c>
      <c r="E181" s="3">
        <v>5.1205551494584167E-3</v>
      </c>
      <c r="F181" s="21">
        <v>2.1553710355330433</v>
      </c>
      <c r="G181" s="21">
        <v>2.0969934896783</v>
      </c>
      <c r="H181" s="21">
        <v>2.1261822626056714</v>
      </c>
      <c r="I181" s="28"/>
    </row>
    <row r="182" spans="1:9" ht="16.5" customHeight="1">
      <c r="A182" s="22">
        <v>42430</v>
      </c>
      <c r="B182" s="20">
        <v>135.11368836318564</v>
      </c>
      <c r="C182" s="3">
        <v>-2.159753565342668E-3</v>
      </c>
      <c r="D182" s="3">
        <v>4.9907747519282175E-3</v>
      </c>
      <c r="E182" s="3">
        <v>5.0772950169483506E-3</v>
      </c>
      <c r="F182" s="21">
        <v>2.3220794529313769</v>
      </c>
      <c r="G182" s="21">
        <v>2.5380548094656437</v>
      </c>
      <c r="H182" s="21">
        <v>2.43006713119851</v>
      </c>
      <c r="I182" s="28"/>
    </row>
    <row r="183" spans="1:9" ht="16.5" customHeight="1">
      <c r="A183" s="22">
        <v>42461</v>
      </c>
      <c r="B183" s="20">
        <v>134.80288324714604</v>
      </c>
      <c r="C183" s="3">
        <v>-2.3003229340033205E-3</v>
      </c>
      <c r="D183" s="3">
        <v>4.4580348559075667E-3</v>
      </c>
      <c r="E183" s="3">
        <v>4.9224799766881544E-3</v>
      </c>
      <c r="F183" s="21">
        <v>2.1315805704640365</v>
      </c>
      <c r="G183" s="21">
        <v>2.3616128638643685</v>
      </c>
      <c r="H183" s="21">
        <v>2.2465967171642025</v>
      </c>
      <c r="I183" s="28"/>
    </row>
    <row r="184" spans="1:9" ht="16.5" customHeight="1">
      <c r="A184" s="22">
        <v>42491</v>
      </c>
      <c r="B184" s="20">
        <v>134.49283483780189</v>
      </c>
      <c r="C184" s="3">
        <v>-2.300013188706913E-3</v>
      </c>
      <c r="D184" s="3">
        <v>3.1201087312027198E-4</v>
      </c>
      <c r="E184" s="3">
        <v>4.0003861559745777E-3</v>
      </c>
      <c r="F184" s="21">
        <v>1.9673879468162743</v>
      </c>
      <c r="G184" s="21">
        <v>2.1973892656869656</v>
      </c>
      <c r="H184" s="21">
        <v>2.0823886062516199</v>
      </c>
      <c r="I184" s="28"/>
    </row>
    <row r="185" spans="1:9" ht="16.5" customHeight="1">
      <c r="A185" s="22">
        <v>42522</v>
      </c>
      <c r="B185" s="20">
        <v>134.32329803963006</v>
      </c>
      <c r="C185" s="3">
        <v>-1.2605637941701974E-3</v>
      </c>
      <c r="D185" s="3">
        <v>-1.9339982994855953E-3</v>
      </c>
      <c r="E185" s="3">
        <v>3.011322080064549E-3</v>
      </c>
      <c r="F185" s="21">
        <v>1.8872597891733038</v>
      </c>
      <c r="G185" s="21">
        <v>2.0133161685903236</v>
      </c>
      <c r="H185" s="21">
        <v>1.9502879788818137</v>
      </c>
      <c r="I185" s="28"/>
    </row>
    <row r="186" spans="1:9" ht="16.5" customHeight="1">
      <c r="A186" s="22">
        <v>42552</v>
      </c>
      <c r="B186" s="20">
        <v>134.39952328961351</v>
      </c>
      <c r="C186" s="3">
        <v>5.6747601567189946E-4</v>
      </c>
      <c r="D186" s="3">
        <v>-4.1824544013884246E-3</v>
      </c>
      <c r="E186" s="3">
        <v>1.9836397255712673E-3</v>
      </c>
      <c r="F186" s="21">
        <v>2.1078714394409173</v>
      </c>
      <c r="G186" s="21">
        <v>2.0511238378737273</v>
      </c>
      <c r="H186" s="21">
        <v>2.0794976386573225</v>
      </c>
      <c r="I186" s="28"/>
    </row>
    <row r="187" spans="1:9" ht="16.5" customHeight="1">
      <c r="A187" s="22">
        <v>42583</v>
      </c>
      <c r="B187" s="20">
        <v>134.16626446073883</v>
      </c>
      <c r="C187" s="3">
        <v>-1.7355629184192E-3</v>
      </c>
      <c r="D187" s="3">
        <v>-6.6430481690806786E-3</v>
      </c>
      <c r="E187" s="3">
        <v>9.0530373873977388E-4</v>
      </c>
      <c r="F187" s="21">
        <v>2.1713380458516776</v>
      </c>
      <c r="G187" s="21">
        <v>2.3448943376935976</v>
      </c>
      <c r="H187" s="21">
        <v>2.2581161917726376</v>
      </c>
      <c r="I187" s="28"/>
    </row>
    <row r="188" spans="1:9" ht="16.5" customHeight="1">
      <c r="A188" s="22">
        <v>42614</v>
      </c>
      <c r="B188" s="20">
        <v>134.33876625293036</v>
      </c>
      <c r="C188" s="3">
        <v>1.285731498040006E-3</v>
      </c>
      <c r="D188" s="3">
        <v>-7.0459316123694382E-3</v>
      </c>
      <c r="E188" s="3">
        <v>2.1833144172083647E-5</v>
      </c>
      <c r="F188" s="21">
        <v>2.2236661661278556</v>
      </c>
      <c r="G188" s="21">
        <v>2.095093016323855</v>
      </c>
      <c r="H188" s="21">
        <v>2.1593795912258553</v>
      </c>
      <c r="I188" s="28"/>
    </row>
    <row r="189" spans="1:9" ht="16.5" customHeight="1">
      <c r="A189" s="22">
        <v>42644</v>
      </c>
      <c r="B189" s="20">
        <v>134.4807779324268</v>
      </c>
      <c r="C189" s="3">
        <v>1.0571161508886727E-3</v>
      </c>
      <c r="D189" s="3">
        <v>-7.1866896360774923E-3</v>
      </c>
      <c r="E189" s="3">
        <v>-6.9901913385287393E-4</v>
      </c>
      <c r="F189" s="21">
        <v>2.2334012761381214</v>
      </c>
      <c r="G189" s="21">
        <v>2.1276896610492542</v>
      </c>
      <c r="H189" s="21">
        <v>2.1805454685936878</v>
      </c>
      <c r="I189" s="28"/>
    </row>
    <row r="190" spans="1:9" ht="16.5" customHeight="1">
      <c r="A190" s="22">
        <v>42675</v>
      </c>
      <c r="B190" s="20">
        <v>134.83898870958822</v>
      </c>
      <c r="C190" s="3">
        <v>2.6636578302766931E-3</v>
      </c>
      <c r="D190" s="3">
        <v>-5.2667036952167567E-3</v>
      </c>
      <c r="E190" s="3">
        <v>-1.1142631848859543E-3</v>
      </c>
      <c r="F190" s="21">
        <v>2.4072691117757823</v>
      </c>
      <c r="G190" s="21">
        <v>2.140903328748113</v>
      </c>
      <c r="H190" s="21">
        <v>2.2740862202619478</v>
      </c>
      <c r="I190" s="28"/>
    </row>
    <row r="191" spans="1:9" ht="16.5" customHeight="1">
      <c r="A191" s="22">
        <v>42705</v>
      </c>
      <c r="B191" s="20">
        <v>134.33032183815797</v>
      </c>
      <c r="C191" s="3">
        <v>-3.7724020055192797E-3</v>
      </c>
      <c r="D191" s="3">
        <v>-4.910767776960645E-3</v>
      </c>
      <c r="E191" s="3">
        <v>-1.4306385675588451E-3</v>
      </c>
      <c r="F191" s="21">
        <v>2.1673225137761225</v>
      </c>
      <c r="G191" s="21">
        <v>2.5445627143280505</v>
      </c>
      <c r="H191" s="21">
        <v>2.3559426140520863</v>
      </c>
      <c r="I191" s="28"/>
    </row>
    <row r="192" spans="1:9" ht="16.5" customHeight="1">
      <c r="A192" s="22">
        <v>42736</v>
      </c>
      <c r="B192" s="20">
        <v>134.90866287818517</v>
      </c>
      <c r="C192" s="3">
        <v>4.3053648060487146E-3</v>
      </c>
      <c r="D192" s="3">
        <v>-3.0922749835226027E-3</v>
      </c>
      <c r="E192" s="3">
        <v>-3.0922749835226027E-3</v>
      </c>
      <c r="F192" s="21">
        <v>2.6505909232922438</v>
      </c>
      <c r="G192" s="21">
        <v>2.2200544426873723</v>
      </c>
      <c r="H192" s="21">
        <v>2.435322682989808</v>
      </c>
      <c r="I192" s="28"/>
    </row>
    <row r="193" spans="1:9" ht="16.5" customHeight="1">
      <c r="A193" s="22">
        <v>42767</v>
      </c>
      <c r="B193" s="20">
        <v>135.19132860897633</v>
      </c>
      <c r="C193" s="3">
        <v>2.0952378057916632E-3</v>
      </c>
      <c r="D193" s="3">
        <v>-1.5863656064203369E-3</v>
      </c>
      <c r="E193" s="3">
        <v>-2.3393202949714698E-3</v>
      </c>
      <c r="F193" s="21">
        <v>2.1987169451196045</v>
      </c>
      <c r="G193" s="21">
        <v>1.9891931645404382</v>
      </c>
      <c r="H193" s="21">
        <v>2.0939550548300212</v>
      </c>
      <c r="I193" s="28"/>
    </row>
    <row r="194" spans="1:9" ht="16.5" customHeight="1">
      <c r="A194" s="22">
        <v>42795</v>
      </c>
      <c r="B194" s="20">
        <v>135.26156784160074</v>
      </c>
      <c r="C194" s="3">
        <v>5.1955427428008961E-4</v>
      </c>
      <c r="D194" s="3">
        <v>1.094481841229733E-3</v>
      </c>
      <c r="E194" s="3">
        <v>-1.1947195829044022E-3</v>
      </c>
      <c r="F194" s="21">
        <v>2.8618979268708817</v>
      </c>
      <c r="G194" s="21">
        <v>2.8099424994428728</v>
      </c>
      <c r="H194" s="21">
        <v>2.8359202131568773</v>
      </c>
      <c r="I194" s="28"/>
    </row>
    <row r="195" spans="1:9" ht="16.5" customHeight="1">
      <c r="A195" s="22">
        <v>42826</v>
      </c>
      <c r="B195" s="20">
        <v>135.30547055492707</v>
      </c>
      <c r="C195" s="3">
        <v>3.2457640427271175E-4</v>
      </c>
      <c r="D195" s="3">
        <v>3.7283127458007659E-3</v>
      </c>
      <c r="E195" s="3">
        <v>3.6038499271889846E-5</v>
      </c>
      <c r="F195" s="21">
        <v>2.3974682610875648</v>
      </c>
      <c r="G195" s="21">
        <v>2.3650106206602937</v>
      </c>
      <c r="H195" s="21">
        <v>2.3812394408739292</v>
      </c>
      <c r="I195" s="28"/>
    </row>
    <row r="196" spans="1:9" ht="16.5" customHeight="1">
      <c r="A196" s="22">
        <v>42856</v>
      </c>
      <c r="B196" s="20">
        <v>135.28746077634867</v>
      </c>
      <c r="C196" s="3">
        <v>-1.3310458553186244E-4</v>
      </c>
      <c r="D196" s="3">
        <v>5.9083142942528699E-3</v>
      </c>
      <c r="E196" s="3">
        <v>1.2104936582680859E-3</v>
      </c>
      <c r="F196" s="21">
        <v>2.2066474292745366</v>
      </c>
      <c r="G196" s="21">
        <v>2.2199578878277229</v>
      </c>
      <c r="H196" s="21">
        <v>2.2133026585511297</v>
      </c>
      <c r="I196" s="28"/>
    </row>
    <row r="197" spans="1:9" ht="16.5" customHeight="1">
      <c r="A197" s="22">
        <v>42887</v>
      </c>
      <c r="B197" s="20">
        <v>135.61346133772938</v>
      </c>
      <c r="C197" s="3">
        <v>2.4096879304994576E-3</v>
      </c>
      <c r="D197" s="3">
        <v>9.6049108153870577E-3</v>
      </c>
      <c r="E197" s="3">
        <v>2.609563184454581E-3</v>
      </c>
      <c r="F197" s="21">
        <v>2.1574738540280616</v>
      </c>
      <c r="G197" s="21">
        <v>1.9165050609781158</v>
      </c>
      <c r="H197" s="21">
        <v>2.0369894575030889</v>
      </c>
      <c r="I197" s="28"/>
    </row>
    <row r="198" spans="1:9" ht="16.5" customHeight="1">
      <c r="A198" s="22">
        <v>42917</v>
      </c>
      <c r="B198" s="20">
        <v>135.84325388672465</v>
      </c>
      <c r="C198" s="3">
        <v>1.6944671032547065E-3</v>
      </c>
      <c r="D198" s="3">
        <v>1.0742081234917045E-2</v>
      </c>
      <c r="E198" s="3">
        <v>3.7713514773777901E-3</v>
      </c>
      <c r="F198" s="21">
        <v>2.0773521706601366</v>
      </c>
      <c r="G198" s="21">
        <v>1.9079054603346659</v>
      </c>
      <c r="H198" s="21">
        <v>1.9926288154974012</v>
      </c>
      <c r="I198" s="28"/>
    </row>
    <row r="199" spans="1:9" ht="16.5" customHeight="1">
      <c r="A199" s="22">
        <v>42948</v>
      </c>
      <c r="B199" s="20">
        <v>135.86103498488077</v>
      </c>
      <c r="C199" s="3">
        <v>1.3089423027901504E-4</v>
      </c>
      <c r="D199" s="3">
        <v>1.2631867861521151E-2</v>
      </c>
      <c r="E199" s="3">
        <v>4.8789160253957103E-3</v>
      </c>
      <c r="F199" s="21">
        <v>2.4316525214130063</v>
      </c>
      <c r="G199" s="21">
        <v>2.4185630983851047</v>
      </c>
      <c r="H199" s="21">
        <v>2.4251078098990555</v>
      </c>
      <c r="I199" s="28"/>
    </row>
    <row r="200" spans="1:9" ht="16.5" customHeight="1">
      <c r="A200" s="22">
        <v>42979</v>
      </c>
      <c r="B200" s="20">
        <v>136.11488452795217</v>
      </c>
      <c r="C200" s="3">
        <v>1.8684499429851842E-3</v>
      </c>
      <c r="D200" s="3">
        <v>1.3221189419573509E-2</v>
      </c>
      <c r="E200" s="3">
        <v>5.8058352914154661E-3</v>
      </c>
      <c r="F200" s="21">
        <v>2.1491248127616243</v>
      </c>
      <c r="G200" s="21">
        <v>1.9622798184631058</v>
      </c>
      <c r="H200" s="21">
        <v>2.0557023156123648</v>
      </c>
      <c r="I200" s="28"/>
    </row>
    <row r="201" spans="1:9" ht="16.5" customHeight="1">
      <c r="A201" s="22">
        <v>43009</v>
      </c>
      <c r="B201" s="20">
        <v>136.70366367419763</v>
      </c>
      <c r="C201" s="3">
        <v>4.3256044207609203E-3</v>
      </c>
      <c r="D201" s="3">
        <v>1.6529393835658546E-2</v>
      </c>
      <c r="E201" s="3">
        <v>6.8781911458397739E-3</v>
      </c>
      <c r="F201" s="21">
        <v>2.3357937992654723</v>
      </c>
      <c r="G201" s="21">
        <v>1.9032333571893802</v>
      </c>
      <c r="H201" s="21">
        <v>2.1195135782274264</v>
      </c>
      <c r="I201" s="28"/>
    </row>
    <row r="202" spans="1:9" ht="16.5" customHeight="1">
      <c r="A202" s="22">
        <v>43040</v>
      </c>
      <c r="B202" s="20">
        <v>137.06494723394107</v>
      </c>
      <c r="C202" s="3">
        <v>2.6428228039627388E-3</v>
      </c>
      <c r="D202" s="3">
        <v>1.6508270683837978E-2</v>
      </c>
      <c r="E202" s="3">
        <v>7.7536529220214286E-3</v>
      </c>
      <c r="F202" s="21">
        <v>2.4443403068085825</v>
      </c>
      <c r="G202" s="21">
        <v>2.1800580264123086</v>
      </c>
      <c r="H202" s="21">
        <v>2.3121991666104456</v>
      </c>
      <c r="I202" s="28"/>
    </row>
    <row r="203" spans="1:9" ht="16.5" customHeight="1">
      <c r="A203" s="22">
        <v>43070</v>
      </c>
      <c r="B203" s="20">
        <v>136.7793477265478</v>
      </c>
      <c r="C203" s="3">
        <v>-2.0836801323521749E-3</v>
      </c>
      <c r="D203" s="3">
        <v>1.8231370660604984E-2</v>
      </c>
      <c r="E203" s="3">
        <v>8.6267960669033916E-3</v>
      </c>
      <c r="F203" s="21">
        <v>2.2835137828796181</v>
      </c>
      <c r="G203" s="21">
        <v>2.4918817961148356</v>
      </c>
      <c r="H203" s="21">
        <v>2.3876977894972269</v>
      </c>
    </row>
    <row r="204" spans="1:9" ht="16.5" customHeight="1">
      <c r="A204" s="22">
        <v>43101</v>
      </c>
      <c r="B204" s="20">
        <v>136.96536508221337</v>
      </c>
      <c r="C204" s="3">
        <v>1.3599813038839414E-3</v>
      </c>
      <c r="D204" s="3">
        <v>1.5245145568489438E-2</v>
      </c>
      <c r="E204" s="3">
        <v>1.5245145568489438E-2</v>
      </c>
      <c r="F204" s="21">
        <v>2.4128795938271943</v>
      </c>
      <c r="G204" s="21">
        <v>2.2768814634388002</v>
      </c>
      <c r="H204" s="21">
        <v>2.3448805286329972</v>
      </c>
    </row>
    <row r="205" spans="1:9" ht="16.5" customHeight="1">
      <c r="A205" s="22">
        <v>43132</v>
      </c>
      <c r="B205" s="20">
        <v>136.87210819024895</v>
      </c>
      <c r="C205" s="3">
        <v>-6.8087937347110833E-4</v>
      </c>
      <c r="D205" s="3">
        <v>1.2432599032546454E-2</v>
      </c>
      <c r="E205" s="3">
        <v>1.3838872300517946E-2</v>
      </c>
      <c r="F205" s="21">
        <v>2.214259374429334</v>
      </c>
      <c r="G205" s="21">
        <v>2.2823473117764448</v>
      </c>
      <c r="H205" s="21">
        <v>2.2483033431028892</v>
      </c>
    </row>
    <row r="206" spans="1:9" ht="16.5" customHeight="1">
      <c r="A206" s="22">
        <v>43160</v>
      </c>
      <c r="B206" s="20">
        <v>136.67348263361112</v>
      </c>
      <c r="C206" s="3">
        <v>-1.4511762788205606E-3</v>
      </c>
      <c r="D206" s="3">
        <v>1.0438403269610319E-2</v>
      </c>
      <c r="E206" s="3">
        <v>1.2705382623548736E-2</v>
      </c>
      <c r="F206" s="21">
        <v>2.570930361091754</v>
      </c>
      <c r="G206" s="21">
        <v>2.7160479889738101</v>
      </c>
      <c r="H206" s="21">
        <v>2.6434891750327818</v>
      </c>
    </row>
    <row r="207" spans="1:9" ht="16.5" customHeight="1">
      <c r="A207" s="22">
        <v>43191</v>
      </c>
      <c r="B207" s="20">
        <v>136.38614172751278</v>
      </c>
      <c r="C207" s="3">
        <v>-2.1023895825397366E-3</v>
      </c>
      <c r="D207" s="3">
        <v>7.9868993334384353E-3</v>
      </c>
      <c r="E207" s="3">
        <v>1.1525761801021162E-2</v>
      </c>
      <c r="F207" s="21">
        <v>1.8701301499802832</v>
      </c>
      <c r="G207" s="21">
        <v>2.0803691082342568</v>
      </c>
      <c r="H207" s="21">
        <v>1.9752496291072701</v>
      </c>
    </row>
    <row r="208" spans="1:9" ht="16.5" customHeight="1">
      <c r="A208" s="22">
        <v>43221</v>
      </c>
      <c r="B208" s="20">
        <v>136.18113647028846</v>
      </c>
      <c r="C208" s="3">
        <v>-1.5031238117571054E-3</v>
      </c>
      <c r="D208" s="3">
        <v>6.6057540647996849E-3</v>
      </c>
      <c r="E208" s="3">
        <v>1.0541760253776867E-2</v>
      </c>
      <c r="F208" s="20">
        <v>1.8129537276155048</v>
      </c>
      <c r="G208" s="20">
        <v>1.9632661087912153</v>
      </c>
      <c r="H208" s="20">
        <v>1.88810991820336</v>
      </c>
    </row>
    <row r="209" spans="1:8" ht="16.5" customHeight="1">
      <c r="A209" s="22">
        <v>43252</v>
      </c>
      <c r="B209" s="20">
        <v>135.98169301786615</v>
      </c>
      <c r="C209" s="3">
        <v>-1.4645453665004494E-3</v>
      </c>
      <c r="D209" s="3">
        <v>2.7153033076836586E-3</v>
      </c>
      <c r="E209" s="3">
        <v>9.2373507627613316E-3</v>
      </c>
      <c r="F209" s="20">
        <v>1.6417616140155078</v>
      </c>
      <c r="G209" s="20">
        <v>1.7882161506655527</v>
      </c>
      <c r="H209" s="26">
        <v>1.7149888823405304</v>
      </c>
    </row>
    <row r="210" spans="1:8" ht="16.5" customHeight="1">
      <c r="A210" s="22">
        <v>43282</v>
      </c>
      <c r="B210" s="20">
        <v>135.60572844879053</v>
      </c>
      <c r="C210" s="3">
        <v>-2.7648175333882486E-3</v>
      </c>
      <c r="D210" s="3">
        <v>-1.7485258276586091E-3</v>
      </c>
      <c r="E210" s="3">
        <v>7.6679398212727689E-3</v>
      </c>
      <c r="F210" s="20">
        <v>1.5551032312865352</v>
      </c>
      <c r="G210" s="20">
        <v>1.83158498462536</v>
      </c>
      <c r="H210" s="26">
        <v>1.6933441079559475</v>
      </c>
    </row>
    <row r="211" spans="1:8" ht="16.5" customHeight="1">
      <c r="A211" s="22">
        <v>43313</v>
      </c>
      <c r="B211" s="20">
        <v>135.177675343678</v>
      </c>
      <c r="C211" s="3">
        <v>-3.1566004623038799E-3</v>
      </c>
      <c r="D211" s="3">
        <v>-5.0298427454112948E-3</v>
      </c>
      <c r="E211" s="3">
        <v>6.0807170004372607E-3</v>
      </c>
      <c r="F211" s="20">
        <v>1.6493661388625644</v>
      </c>
      <c r="G211" s="20">
        <v>1.9650261850929525</v>
      </c>
      <c r="H211" s="26">
        <v>1.8071961619777586</v>
      </c>
    </row>
    <row r="212" spans="1:8" ht="16.5" customHeight="1">
      <c r="A212" s="22">
        <v>43344</v>
      </c>
      <c r="B212" s="20">
        <v>134.83131128323291</v>
      </c>
      <c r="C212" s="3">
        <v>-2.5622874455007907E-3</v>
      </c>
      <c r="D212" s="3">
        <v>-9.4300726123429657E-3</v>
      </c>
      <c r="E212" s="3">
        <v>4.3572959323505689E-3</v>
      </c>
      <c r="F212" s="20">
        <v>1.474047178800973</v>
      </c>
      <c r="G212" s="20">
        <v>1.7302759233510521</v>
      </c>
      <c r="H212" s="26">
        <v>1.6021615510760125</v>
      </c>
    </row>
    <row r="213" spans="1:8" ht="16.5" customHeight="1">
      <c r="A213" s="22">
        <v>43374</v>
      </c>
      <c r="B213" s="20">
        <v>134.45108916974226</v>
      </c>
      <c r="C213" s="3">
        <v>-2.8199837995489907E-3</v>
      </c>
      <c r="D213" s="3">
        <v>-1.6477791771725037E-2</v>
      </c>
      <c r="E213" s="3">
        <v>2.2737871619430083E-3</v>
      </c>
      <c r="F213" s="20">
        <v>1.6619149721140172</v>
      </c>
      <c r="G213" s="20">
        <v>1.9439133520689162</v>
      </c>
      <c r="H213" s="26">
        <v>1.8029141620914668</v>
      </c>
    </row>
    <row r="214" spans="1:8" ht="16.5" customHeight="1">
      <c r="A214" s="22">
        <v>43405</v>
      </c>
      <c r="B214" s="20">
        <v>134.33989287246541</v>
      </c>
      <c r="C214" s="3">
        <v>-8.2703902187413641E-4</v>
      </c>
      <c r="D214" s="3">
        <v>-1.9881482585219712E-2</v>
      </c>
      <c r="E214" s="3">
        <v>2.5967173038276105E-4</v>
      </c>
      <c r="F214" s="20">
        <v>1.6357612280890943</v>
      </c>
      <c r="G214" s="20">
        <v>1.7184651302765079</v>
      </c>
      <c r="H214" s="26">
        <v>1.6771131791828011</v>
      </c>
    </row>
    <row r="215" spans="1:8" ht="16.5" customHeight="1">
      <c r="A215" s="22">
        <v>43435</v>
      </c>
      <c r="B215" s="20">
        <v>133.58707529353305</v>
      </c>
      <c r="C215" s="3">
        <v>-5.6038274471981089E-3</v>
      </c>
      <c r="D215" s="3">
        <v>-2.3338848196562623E-2</v>
      </c>
      <c r="E215" s="3">
        <v>-1.7068715968626875E-3</v>
      </c>
      <c r="F215" s="20">
        <v>1.3963489989642621</v>
      </c>
      <c r="G215" s="20">
        <v>1.956731743684073</v>
      </c>
      <c r="H215" s="26">
        <v>1.6765403713241676</v>
      </c>
    </row>
    <row r="216" spans="1:8" ht="16.5" customHeight="1">
      <c r="A216" s="22">
        <v>43466</v>
      </c>
      <c r="B216" s="20">
        <v>133.83697092161992</v>
      </c>
      <c r="C216" s="3">
        <v>1.8706572289107503E-3</v>
      </c>
      <c r="D216" s="3">
        <v>-2.2840768238858278E-2</v>
      </c>
      <c r="E216" s="3">
        <v>-3.3325559539392714E-3</v>
      </c>
      <c r="F216" s="20">
        <v>2.1152399555964543</v>
      </c>
      <c r="G216" s="20">
        <v>1.9281742327053792</v>
      </c>
      <c r="H216" s="26">
        <v>2.0217070941509165</v>
      </c>
    </row>
    <row r="217" spans="1:8" ht="16.5" customHeight="1">
      <c r="A217" s="22">
        <v>43497</v>
      </c>
      <c r="B217" s="20">
        <v>133.56543801363469</v>
      </c>
      <c r="C217" s="3">
        <v>-2.0288333344322452E-3</v>
      </c>
      <c r="D217" s="3">
        <v>-2.415883133777752E-2</v>
      </c>
      <c r="E217" s="3">
        <v>-2.3499799788317899E-2</v>
      </c>
      <c r="F217" s="20">
        <v>1.8548757142206687</v>
      </c>
      <c r="G217" s="20">
        <v>2.0577590476638932</v>
      </c>
      <c r="H217" s="26">
        <v>1.9563173809422809</v>
      </c>
    </row>
    <row r="218" spans="1:8" ht="16.5" customHeight="1">
      <c r="A218" s="22">
        <v>43525</v>
      </c>
      <c r="B218" s="20">
        <v>133.41594256622898</v>
      </c>
      <c r="C218" s="3">
        <v>-1.1192674514379686E-3</v>
      </c>
      <c r="D218" s="3">
        <v>-2.3834470334781921E-2</v>
      </c>
      <c r="E218" s="3">
        <v>-2.3611356637139241E-2</v>
      </c>
      <c r="F218" s="20">
        <v>2.2926375085561346</v>
      </c>
      <c r="G218" s="20">
        <v>2.4045642536999314</v>
      </c>
      <c r="H218" s="26">
        <v>2.348600881128033</v>
      </c>
    </row>
    <row r="219" spans="1:8" ht="16.5" customHeight="1">
      <c r="A219" s="22">
        <v>43556</v>
      </c>
      <c r="B219" s="20">
        <v>132.85172408337388</v>
      </c>
      <c r="C219" s="3">
        <v>-4.2290184516367638E-3</v>
      </c>
      <c r="D219" s="3">
        <v>-2.5914785764673542E-2</v>
      </c>
      <c r="E219" s="3">
        <v>-2.4187213919022815E-2</v>
      </c>
      <c r="F219" s="20">
        <v>1.6661483337770506</v>
      </c>
      <c r="G219" s="20">
        <v>2.089050178940727</v>
      </c>
      <c r="H219" s="26">
        <v>1.8775992563588888</v>
      </c>
    </row>
    <row r="220" spans="1:8" ht="16.5" customHeight="1">
      <c r="A220" s="22">
        <v>43586</v>
      </c>
      <c r="B220" s="27">
        <v>132.41483983785784</v>
      </c>
      <c r="C220" s="3">
        <v>-3.2885101682374063E-3</v>
      </c>
      <c r="D220" s="3">
        <v>-2.7656522261821026E-2</v>
      </c>
      <c r="E220" s="3">
        <v>-2.4881075587582457E-2</v>
      </c>
      <c r="F220" s="27">
        <v>1.6432830852333724</v>
      </c>
      <c r="G220" s="27">
        <v>1.972134102057113</v>
      </c>
      <c r="H220" s="27">
        <v>1.5951665457710904</v>
      </c>
    </row>
    <row r="221" spans="1:8" ht="16.5" customHeight="1">
      <c r="A221" s="22">
        <v>43617</v>
      </c>
      <c r="B221" s="27">
        <v>132.25920901691691</v>
      </c>
      <c r="C221" s="3">
        <v>-1.1753276379861078E-3</v>
      </c>
      <c r="D221" s="3">
        <v>-2.7374890827842169E-2</v>
      </c>
      <c r="E221" s="3">
        <v>-2.5296711460959076E-2</v>
      </c>
      <c r="F221" s="27">
        <v>1.5733934303469328</v>
      </c>
      <c r="G221" s="27">
        <v>1.6909261941455436</v>
      </c>
      <c r="H221" s="27">
        <v>1.5951665457710904</v>
      </c>
    </row>
    <row r="222" spans="1:8" ht="16.5" customHeight="1">
      <c r="A222" s="22">
        <v>43647</v>
      </c>
      <c r="B222" s="27">
        <v>131.95204396783345</v>
      </c>
      <c r="C222" s="3">
        <v>-2.322447346892762E-3</v>
      </c>
      <c r="D222" s="3">
        <v>-2.6943437587423458E-2</v>
      </c>
      <c r="E222" s="3">
        <v>-2.5531958050453989E-2</v>
      </c>
      <c r="F222" s="27">
        <v>1.4909044280214951</v>
      </c>
      <c r="G222" s="27">
        <v>1.7231491627107713</v>
      </c>
      <c r="H222" s="27">
        <v>1.6070267953661332</v>
      </c>
    </row>
    <row r="223" spans="1:8" ht="16.5" customHeight="1">
      <c r="A223" s="22">
        <v>43678</v>
      </c>
      <c r="B223" s="27">
        <v>131.77492474242607</v>
      </c>
      <c r="C223" s="3">
        <v>-1.3422999756681354E-3</v>
      </c>
      <c r="D223" s="3">
        <v>-2.5172430230071097E-2</v>
      </c>
      <c r="E223" s="3">
        <v>-2.5487017072906126E-2</v>
      </c>
      <c r="F223" s="27">
        <v>1.7312355277876643</v>
      </c>
      <c r="G223" s="27">
        <v>1.8654655253544778</v>
      </c>
      <c r="H223" s="27">
        <v>1.7983505265710711</v>
      </c>
    </row>
    <row r="224" spans="1:8" ht="16.5" customHeight="1">
      <c r="A224" s="22">
        <v>43709</v>
      </c>
      <c r="B224" s="27">
        <v>131.39081985640189</v>
      </c>
      <c r="C224" s="3">
        <v>-2.9148556660149858E-3</v>
      </c>
      <c r="D224" s="3">
        <v>-2.5517006354731309E-2</v>
      </c>
      <c r="E224" s="3">
        <v>-2.5490349215331148E-2</v>
      </c>
      <c r="F224" s="27">
        <v>1.5612827526244604</v>
      </c>
      <c r="G224" s="27">
        <v>1.852768319225959</v>
      </c>
      <c r="H224" s="27">
        <v>1.7070255359252098</v>
      </c>
    </row>
    <row r="225" spans="1:8" ht="16.5" customHeight="1">
      <c r="A225" s="22">
        <v>43739</v>
      </c>
      <c r="B225" s="27">
        <v>130.91666377431505</v>
      </c>
      <c r="C225" s="3">
        <v>-3.6087458972023658E-3</v>
      </c>
      <c r="D225" s="3">
        <v>-2.6287815273590365E-2</v>
      </c>
      <c r="E225" s="3">
        <v>-2.5570095821157067E-2</v>
      </c>
      <c r="F225" s="27">
        <v>1.5756998652698715</v>
      </c>
      <c r="G225" s="27">
        <v>1.9365744549901081</v>
      </c>
      <c r="H225" s="27">
        <v>1.7561371601299898</v>
      </c>
    </row>
    <row r="226" spans="1:8" ht="16.5" customHeight="1">
      <c r="A226" s="22">
        <v>43770</v>
      </c>
      <c r="B226" s="27">
        <v>130.73915315365187</v>
      </c>
      <c r="C226" s="3">
        <v>-1.3559054710498653E-3</v>
      </c>
      <c r="D226" s="3">
        <v>-2.6803205226848537E-2</v>
      </c>
      <c r="E226" s="3">
        <v>-2.5682196676219928E-2</v>
      </c>
      <c r="F226" s="27">
        <v>1.6231521978201662</v>
      </c>
      <c r="G226" s="27">
        <v>1.7587427449251527</v>
      </c>
      <c r="H226" s="27">
        <v>1.6909474713726595</v>
      </c>
    </row>
    <row r="227" spans="1:8" ht="16.5" customHeight="1">
      <c r="A227" s="22">
        <v>43800</v>
      </c>
      <c r="B227" s="27">
        <v>130.14060074465564</v>
      </c>
      <c r="C227" s="3">
        <v>-4.5782184950577242E-3</v>
      </c>
      <c r="D227" s="3">
        <v>-2.5799461072894991E-2</v>
      </c>
      <c r="E227" s="3">
        <v>-2.5691968709276185E-2</v>
      </c>
      <c r="F227" s="27">
        <v>1.5144927045391507</v>
      </c>
      <c r="G227" s="27">
        <v>1.9723145540449232</v>
      </c>
      <c r="H227" s="27">
        <v>1.743403629292037</v>
      </c>
    </row>
    <row r="228" spans="1:8" ht="16.5" customHeight="1">
      <c r="A228" s="22">
        <v>43831</v>
      </c>
      <c r="B228" s="27">
        <v>130.06350886047056</v>
      </c>
      <c r="C228" s="3">
        <v>-5.9237381527343707E-4</v>
      </c>
      <c r="D228" s="3">
        <v>-2.8194467008366808E-2</v>
      </c>
      <c r="E228" s="3">
        <v>-2.8194467008366808E-2</v>
      </c>
      <c r="F228" s="27">
        <v>1.5449986680787819</v>
      </c>
      <c r="G228" s="27">
        <v>1.6042360496061256</v>
      </c>
      <c r="H228" s="27">
        <v>1.5746173588424539</v>
      </c>
    </row>
    <row r="229" spans="1:8" ht="16.5" customHeight="1">
      <c r="A229" s="22">
        <v>43862</v>
      </c>
      <c r="B229" s="27">
        <v>130.09291166928023</v>
      </c>
      <c r="C229" s="3">
        <v>2.2606501291003945E-4</v>
      </c>
      <c r="D229" s="3">
        <v>-2.5998689451383172E-2</v>
      </c>
      <c r="E229" s="3">
        <v>-2.709657822987499E-2</v>
      </c>
      <c r="F229" s="27">
        <v>1.5433966343590664</v>
      </c>
      <c r="G229" s="27">
        <v>1.5207901330680624</v>
      </c>
      <c r="H229" s="27">
        <v>1.5320933837135644</v>
      </c>
    </row>
    <row r="230" spans="1:8" ht="16.5" customHeight="1">
      <c r="A230" s="22">
        <v>43891</v>
      </c>
      <c r="B230" s="27">
        <v>129.46615309165645</v>
      </c>
      <c r="C230" s="3">
        <v>-4.8178400000000003E-3</v>
      </c>
      <c r="D230" s="3">
        <v>-2.9605140544165298E-2</v>
      </c>
      <c r="E230" s="3">
        <v>-2.7932765667971871E-2</v>
      </c>
      <c r="F230" s="27">
        <v>1.4170400000000001</v>
      </c>
      <c r="G230" s="27">
        <v>1.89882</v>
      </c>
      <c r="H230" s="27">
        <v>1.6579299999999999</v>
      </c>
    </row>
    <row r="231" spans="1:8" ht="16.5" customHeight="1">
      <c r="A231" s="22">
        <v>43922</v>
      </c>
      <c r="B231" s="27">
        <v>128.66833475382901</v>
      </c>
      <c r="C231" s="3">
        <v>-6.1623700000000003E-3</v>
      </c>
      <c r="D231" s="3">
        <v>-3.148922276670163E-2</v>
      </c>
      <c r="E231" s="3">
        <v>-2.882187994265431E-2</v>
      </c>
      <c r="F231" s="27">
        <v>0.42186699999999999</v>
      </c>
      <c r="G231" s="27">
        <v>1.0381</v>
      </c>
      <c r="H231" s="27">
        <v>0.72998600000000002</v>
      </c>
    </row>
    <row r="232" spans="1:8" ht="16.5" customHeight="1">
      <c r="A232" s="22">
        <v>43952</v>
      </c>
      <c r="B232" s="27">
        <v>128.12499048807231</v>
      </c>
      <c r="C232" s="3">
        <v>-4.2228281480152403E-3</v>
      </c>
      <c r="D232" s="3">
        <v>-3.2397105380686853E-2</v>
      </c>
      <c r="E232" s="3">
        <v>-2.953692503026082E-2</v>
      </c>
      <c r="F232" s="27">
        <v>0.37728476568304797</v>
      </c>
      <c r="G232" s="27">
        <v>0.79956758048457199</v>
      </c>
      <c r="H232" s="27">
        <v>0.58842617308380996</v>
      </c>
    </row>
    <row r="233" spans="1:8" ht="16.5" customHeight="1">
      <c r="A233" s="22">
        <v>43983</v>
      </c>
      <c r="B233" s="27">
        <v>128.03767379567665</v>
      </c>
      <c r="C233" s="3">
        <v>-6.8149618636486708E-4</v>
      </c>
      <c r="D233" s="3">
        <v>-3.1918710367763503E-2</v>
      </c>
      <c r="E233" s="3">
        <v>-2.9933889253177932E-2</v>
      </c>
      <c r="F233" s="27">
        <v>0.69995973181328297</v>
      </c>
      <c r="G233" s="27">
        <v>0.76810935044976902</v>
      </c>
      <c r="H233" s="27">
        <v>0.734034541131526</v>
      </c>
    </row>
    <row r="234" spans="1:8" ht="16.5" customHeight="1">
      <c r="A234" s="22">
        <v>44044</v>
      </c>
      <c r="B234" s="27">
        <v>127.87363410128957</v>
      </c>
      <c r="C234" s="3">
        <v>-6.8751477151105E-4</v>
      </c>
      <c r="D234" s="3">
        <v>-2.9605775174159299E-2</v>
      </c>
      <c r="E234" s="3">
        <v>-2.9931340349410238E-2</v>
      </c>
      <c r="F234" s="27">
        <v>0.84953326875124602</v>
      </c>
      <c r="G234" s="27">
        <v>0.91828474590235099</v>
      </c>
      <c r="H234" s="27">
        <v>0.883909007326798</v>
      </c>
    </row>
    <row r="235" spans="1:8" ht="16.5" customHeight="1">
      <c r="A235" s="22">
        <v>44075</v>
      </c>
      <c r="B235" s="27">
        <v>127.65015969890592</v>
      </c>
      <c r="C235" s="3">
        <v>-1.7476190768663899E-3</v>
      </c>
      <c r="D235" s="3">
        <v>-2.8469784279548271E-2</v>
      </c>
      <c r="E235" s="3">
        <v>-2.9768945230536685E-2</v>
      </c>
      <c r="F235" s="27">
        <v>0.921571498284532</v>
      </c>
      <c r="G235" s="27">
        <v>1.09633340597117</v>
      </c>
      <c r="H235" s="27">
        <v>1.0089524521278499</v>
      </c>
    </row>
    <row r="236" spans="1:8" ht="16.5" customHeight="1">
      <c r="A236" s="22">
        <v>44105</v>
      </c>
      <c r="B236" s="27">
        <v>127.58387873870097</v>
      </c>
      <c r="C236" s="3">
        <v>-5.1923914831981705E-4</v>
      </c>
      <c r="D236" s="3">
        <v>-2.5457364062236754E-2</v>
      </c>
      <c r="E236" s="3">
        <v>-2.9337787113706694E-2</v>
      </c>
      <c r="F236" s="27">
        <v>1.0468282576585499</v>
      </c>
      <c r="G236" s="27">
        <v>1.09875217249053</v>
      </c>
      <c r="H236" s="27">
        <v>1.0727902150745401</v>
      </c>
    </row>
    <row r="237" spans="1:8" ht="16.5" customHeight="1">
      <c r="A237" s="22">
        <v>44136</v>
      </c>
      <c r="B237" s="27">
        <v>127.74153278356205</v>
      </c>
      <c r="C237" s="3">
        <v>1.23568938661873E-3</v>
      </c>
      <c r="D237" s="3">
        <v>-2.2928315227209617E-2</v>
      </c>
      <c r="E237" s="3">
        <v>-2.8755107851297868E-2</v>
      </c>
      <c r="F237" s="27">
        <v>1.25313531997718</v>
      </c>
      <c r="G237" s="27">
        <v>1.1295663813153101</v>
      </c>
      <c r="H237" s="27">
        <v>1.19135085064625</v>
      </c>
    </row>
    <row r="238" spans="1:8" ht="16.5" customHeight="1">
      <c r="A238" s="22">
        <v>44166</v>
      </c>
      <c r="B238" s="27">
        <v>127.51552458535355</v>
      </c>
      <c r="C238" s="3">
        <v>-1.7692616745991299E-3</v>
      </c>
      <c r="D238" s="3">
        <v>-2.0171140104047303E-2</v>
      </c>
      <c r="E238" s="3">
        <v>-2.8039777205693655E-2</v>
      </c>
      <c r="F238" s="27">
        <v>1.2743755616922601</v>
      </c>
      <c r="G238" s="27">
        <v>1.4513017291521799</v>
      </c>
      <c r="H238" s="27">
        <v>1.3628386454222201</v>
      </c>
    </row>
    <row r="239" spans="1:8" ht="16.5" customHeight="1">
      <c r="A239" s="22">
        <v>44197</v>
      </c>
      <c r="B239" s="27">
        <v>127.83907697617296</v>
      </c>
      <c r="C239" s="3">
        <v>2.5373568580886801E-3</v>
      </c>
      <c r="D239" s="3">
        <v>-1.7102722016056005E-2</v>
      </c>
      <c r="E239" s="3">
        <v>-1.7102722016056005E-2</v>
      </c>
      <c r="F239" s="27">
        <v>1.6018069036329601</v>
      </c>
      <c r="G239" s="27">
        <v>1.3480712178240899</v>
      </c>
      <c r="H239" s="27">
        <v>1.47493906072853</v>
      </c>
    </row>
    <row r="240" spans="1:8" ht="16.5" customHeight="1">
      <c r="A240" s="22">
        <v>44228</v>
      </c>
      <c r="B240" s="27">
        <v>127.88053740086266</v>
      </c>
      <c r="C240" s="3">
        <v>3.2431730320937901E-4</v>
      </c>
      <c r="D240" s="3">
        <v>-1.7006171933960479E-2</v>
      </c>
      <c r="E240" s="3">
        <v>-1.7054446975008242E-2</v>
      </c>
      <c r="F240" s="27">
        <v>1.5069574543266699</v>
      </c>
      <c r="G240" s="27">
        <v>1.4745257240057299</v>
      </c>
      <c r="H240" s="27">
        <v>1.4907415891661999</v>
      </c>
    </row>
    <row r="241" spans="1:8" ht="16.5" customHeight="1">
      <c r="A241" s="22">
        <v>44256</v>
      </c>
      <c r="B241" s="27">
        <v>128.20342192163625</v>
      </c>
      <c r="C241" s="3">
        <v>2.5248918039923003E-3</v>
      </c>
      <c r="D241" s="3">
        <v>-9.7533690456241828E-3</v>
      </c>
      <c r="E241" s="3">
        <v>-1.4620754331880223E-2</v>
      </c>
      <c r="F241" s="27">
        <v>2.12173018732177</v>
      </c>
      <c r="G241" s="27">
        <v>1.86924100692254</v>
      </c>
      <c r="H241" s="27">
        <v>1.9954855971221599</v>
      </c>
    </row>
    <row r="242" spans="1:8" ht="16.5" customHeight="1">
      <c r="A242" s="22">
        <v>44287</v>
      </c>
      <c r="B242" s="27">
        <v>128.11137387268872</v>
      </c>
      <c r="C242" s="3">
        <v>-7.17984337452309E-4</v>
      </c>
      <c r="D242" s="3">
        <v>-4.3286553929985372E-3</v>
      </c>
      <c r="E242" s="3">
        <v>-1.2047729597159801E-2</v>
      </c>
      <c r="F242" s="27">
        <v>1.7831177682191599</v>
      </c>
      <c r="G242" s="27">
        <v>1.8549162019643901</v>
      </c>
      <c r="H242" s="27">
        <v>1.8190169850917699</v>
      </c>
    </row>
    <row r="243" spans="1:8" ht="16.5" customHeight="1">
      <c r="A243" s="22">
        <v>44317</v>
      </c>
      <c r="B243" s="27">
        <v>127.81191259543061</v>
      </c>
      <c r="C243" s="3">
        <v>-2.3375073438498301E-3</v>
      </c>
      <c r="D243" s="3">
        <v>-2.4435349532443418E-3</v>
      </c>
      <c r="E243" s="3">
        <v>-1.0126890668376709E-2</v>
      </c>
      <c r="F243" s="27">
        <v>1.39405970252401</v>
      </c>
      <c r="G243" s="27">
        <v>1.6278104369089901</v>
      </c>
      <c r="H243" s="27">
        <v>1.5109350697165</v>
      </c>
    </row>
    <row r="244" spans="1:8" ht="16.5" customHeight="1">
      <c r="A244" s="22">
        <v>44348</v>
      </c>
      <c r="B244" s="27">
        <v>127.70182900176023</v>
      </c>
      <c r="C244" s="3">
        <v>-8.6129368878805194E-4</v>
      </c>
      <c r="D244" s="3">
        <v>-2.6230154294458741E-3</v>
      </c>
      <c r="E244" s="3">
        <v>-8.8762447952215693E-3</v>
      </c>
      <c r="F244" s="27">
        <v>1.4094185393976</v>
      </c>
      <c r="G244" s="27">
        <v>1.4955479082764001</v>
      </c>
      <c r="H244" s="27">
        <v>1.452483223837</v>
      </c>
    </row>
    <row r="245" spans="1:8" ht="16.5" customHeight="1">
      <c r="A245" s="22">
        <v>44378</v>
      </c>
      <c r="B245" s="27">
        <v>127.76086175784373</v>
      </c>
      <c r="C245" s="3">
        <v>4.6227024737976102E-4</v>
      </c>
      <c r="D245" s="3">
        <v>-1.5688130280745449E-3</v>
      </c>
      <c r="E245" s="3">
        <v>-7.8323259713434235E-3</v>
      </c>
      <c r="F245" s="27">
        <v>1.63590791199714</v>
      </c>
      <c r="G245" s="27">
        <v>1.5896808872591599</v>
      </c>
      <c r="H245" s="27">
        <v>1.61279439962815</v>
      </c>
    </row>
    <row r="246" spans="1:8" ht="16.5" customHeight="1">
      <c r="A246" s="22">
        <v>44409</v>
      </c>
      <c r="B246" s="27">
        <v>128.07613237721571</v>
      </c>
      <c r="C246" s="3">
        <v>2.4676619665383401E-3</v>
      </c>
      <c r="D246" s="3">
        <v>1.5835811451621051E-3</v>
      </c>
      <c r="E246" s="3">
        <v>-6.6553375817802324E-3</v>
      </c>
      <c r="F246" s="27">
        <v>2.00391844777781</v>
      </c>
      <c r="G246" s="27">
        <v>1.7571522511239801</v>
      </c>
      <c r="H246" s="27">
        <v>1.8805353494508901</v>
      </c>
    </row>
    <row r="247" spans="1:8" ht="16.5" customHeight="1">
      <c r="A247" s="22">
        <v>44440</v>
      </c>
      <c r="B247" s="27">
        <v>128.39428314328947</v>
      </c>
      <c r="C247" s="3">
        <v>2.4840753711763298E-3</v>
      </c>
      <c r="D247" s="3">
        <v>5.8293968933431639E-3</v>
      </c>
      <c r="E247" s="3">
        <v>-5.2681448623220772E-3</v>
      </c>
      <c r="F247" s="27">
        <v>2.16112143545788</v>
      </c>
      <c r="G247" s="27">
        <v>1.9127138983402501</v>
      </c>
      <c r="H247" s="27">
        <v>2.0369176668990701</v>
      </c>
    </row>
    <row r="248" spans="1:8" ht="16.5" customHeight="1">
      <c r="A248" s="22">
        <v>44470</v>
      </c>
      <c r="B248" s="27">
        <v>128.79383230293072</v>
      </c>
      <c r="C248" s="3">
        <v>3.1118921330426804E-3</v>
      </c>
      <c r="D248" s="3">
        <v>9.4835928817291748E-3</v>
      </c>
      <c r="E248" s="3">
        <v>-3.7929710879169519E-3</v>
      </c>
      <c r="F248" s="27">
        <v>2.23678645459586</v>
      </c>
      <c r="G248" s="27">
        <v>1.9255972412916</v>
      </c>
      <c r="H248" s="27">
        <v>2.0811918479437299</v>
      </c>
    </row>
    <row r="249" spans="1:8" ht="16.5" customHeight="1">
      <c r="A249" s="22">
        <v>44501</v>
      </c>
      <c r="B249" s="27">
        <v>129.30785816825423</v>
      </c>
      <c r="C249" s="3">
        <v>3.9910751635565799E-3</v>
      </c>
      <c r="D249" s="3">
        <v>1.2261676766835761E-2</v>
      </c>
      <c r="E249" s="3">
        <v>-2.3334576465757965E-3</v>
      </c>
      <c r="F249" s="27">
        <v>2.3525156430968801</v>
      </c>
      <c r="G249" s="27">
        <v>1.95340812674122</v>
      </c>
      <c r="H249" s="27">
        <v>2.1529618849190499</v>
      </c>
    </row>
    <row r="250" spans="1:8" ht="16.5" customHeight="1">
      <c r="A250" s="22">
        <v>44531</v>
      </c>
      <c r="B250" s="27">
        <v>129.07507242839981</v>
      </c>
      <c r="C250" s="3">
        <v>-1.8002443405373901E-3</v>
      </c>
      <c r="D250" s="3">
        <v>1.2230258614529532E-2</v>
      </c>
      <c r="E250" s="3">
        <v>-1.1198146248170189E-3</v>
      </c>
      <c r="F250" s="27">
        <v>2.0339995065116399</v>
      </c>
      <c r="G250" s="27">
        <v>2.2140239405653701</v>
      </c>
      <c r="H250" s="27">
        <v>2.1240117235385099</v>
      </c>
    </row>
    <row r="251" spans="1:8" ht="16.5" customHeight="1">
      <c r="A251" s="22">
        <v>44562</v>
      </c>
      <c r="B251" s="27">
        <v>129.52554269950508</v>
      </c>
      <c r="C251" s="3">
        <v>3.48998658401039E-3</v>
      </c>
      <c r="D251" s="3">
        <v>1.3192098716783285E-2</v>
      </c>
      <c r="E251" s="3">
        <v>-1.8898213924687891E-5</v>
      </c>
      <c r="F251" s="27">
        <v>2.4648695168291699</v>
      </c>
      <c r="G251" s="27">
        <v>2.1158708584281301</v>
      </c>
      <c r="H251" s="27">
        <v>2.2903701876286502</v>
      </c>
    </row>
    <row r="252" spans="1:8" ht="16.5" customHeight="1">
      <c r="A252" s="22">
        <v>44593</v>
      </c>
      <c r="B252" s="27">
        <v>129.89042917986586</v>
      </c>
      <c r="C252" s="3">
        <v>2.8171005714859197E-3</v>
      </c>
      <c r="D252" s="3">
        <v>1.5716948175646728E-2</v>
      </c>
      <c r="E252" s="3">
        <v>1.1050908139018417E-3</v>
      </c>
      <c r="F252" s="27">
        <v>2.3408967585960099</v>
      </c>
      <c r="G252" s="27">
        <v>2.0591867014474201</v>
      </c>
      <c r="H252" s="27">
        <v>2.2000417300217099</v>
      </c>
    </row>
    <row r="253" spans="1:8" ht="16.5" customHeight="1">
      <c r="A253" s="22">
        <v>44621</v>
      </c>
      <c r="B253" s="27">
        <v>130.26708738658536</v>
      </c>
      <c r="C253" s="3">
        <v>2.8998149370801202E-3</v>
      </c>
      <c r="D253" s="3">
        <v>1.6096804859159874E-2</v>
      </c>
      <c r="E253" s="3">
        <v>2.104538416919044E-3</v>
      </c>
      <c r="F253" s="27">
        <v>3.0163055461700998</v>
      </c>
      <c r="G253" s="27">
        <v>2.7263240524620902</v>
      </c>
      <c r="H253" s="27">
        <v>2.8713147993160901</v>
      </c>
    </row>
    <row r="254" spans="1:8" ht="16.5" customHeight="1">
      <c r="A254" s="22">
        <v>44652</v>
      </c>
      <c r="B254" s="27">
        <v>130.37256485844716</v>
      </c>
      <c r="C254" s="3">
        <v>8.0970162132204895E-4</v>
      </c>
      <c r="D254" s="3">
        <v>1.7650196991919831E-2</v>
      </c>
      <c r="E254" s="3">
        <v>3.0761420778565932E-3</v>
      </c>
      <c r="F254" s="27">
        <v>2.3819944315095301</v>
      </c>
      <c r="G254" s="27">
        <v>2.30102426937732</v>
      </c>
      <c r="H254" s="27">
        <v>2.3415093504434301</v>
      </c>
    </row>
    <row r="255" spans="1:8" ht="16.5" customHeight="1">
      <c r="A255" s="22">
        <v>44682</v>
      </c>
      <c r="B255" s="27">
        <v>130.5334923357818</v>
      </c>
      <c r="C255" s="3">
        <v>1.23436612226942E-3</v>
      </c>
      <c r="D255" s="3">
        <v>2.1293631282758074E-2</v>
      </c>
      <c r="E255" s="3">
        <v>4.1477590899096214E-3</v>
      </c>
      <c r="F255" s="27">
        <v>2.2975912572907502</v>
      </c>
      <c r="G255" s="27">
        <v>2.1741546450638101</v>
      </c>
      <c r="H255" s="27">
        <v>2.2358729511772801</v>
      </c>
    </row>
    <row r="256" spans="1:8" ht="16.5" customHeight="1">
      <c r="A256" s="22">
        <v>44713</v>
      </c>
      <c r="B256" s="27">
        <v>131.00998870161811</v>
      </c>
      <c r="C256" s="3">
        <v>3.6503762927799599E-3</v>
      </c>
      <c r="D256" s="3">
        <v>2.5905343139699832E-2</v>
      </c>
      <c r="E256" s="3">
        <v>5.3565137593424112E-3</v>
      </c>
      <c r="F256" s="27">
        <v>2.1729251018413001</v>
      </c>
      <c r="G256" s="27">
        <v>1.8078874725633101</v>
      </c>
      <c r="H256" s="27">
        <v>1.9904062872023101</v>
      </c>
    </row>
    <row r="257" spans="1:8" ht="16.5" customHeight="1">
      <c r="A257" s="22">
        <v>44743</v>
      </c>
      <c r="B257" s="27">
        <v>131.08205822449526</v>
      </c>
      <c r="C257" s="3">
        <v>5.5010708413445698E-4</v>
      </c>
      <c r="D257" s="3">
        <v>2.5995413782872623E-2</v>
      </c>
      <c r="E257" s="3">
        <v>6.4427716553176854E-3</v>
      </c>
      <c r="F257" s="27">
        <v>2.2788471891775899</v>
      </c>
      <c r="G257" s="27">
        <v>2.2238364807641502</v>
      </c>
      <c r="H257" s="27">
        <v>2.2513418349708698</v>
      </c>
    </row>
    <row r="258" spans="1:8" ht="16.5" customHeight="1">
      <c r="A258" s="22">
        <v>44774</v>
      </c>
      <c r="B258" s="27">
        <v>131.28829568432545</v>
      </c>
      <c r="C258" s="3">
        <v>1.5733462124693201E-3</v>
      </c>
      <c r="D258" s="3">
        <v>2.5080108584549787E-2</v>
      </c>
      <c r="E258" s="3">
        <v>7.3746385017792902E-3</v>
      </c>
      <c r="F258" s="27">
        <v>2.3747432398138999</v>
      </c>
      <c r="G258" s="27">
        <v>2.2174086185669601</v>
      </c>
      <c r="H258" s="27">
        <v>2.29607592919043</v>
      </c>
    </row>
    <row r="259" spans="1:8" ht="16.5" customHeight="1">
      <c r="A259" s="22">
        <v>44805</v>
      </c>
      <c r="B259" s="27">
        <v>131.49065190981221</v>
      </c>
      <c r="C259" s="3">
        <v>1.5413119991543201E-3</v>
      </c>
      <c r="D259" s="3">
        <v>2.4116095286479178E-2</v>
      </c>
      <c r="E259" s="3">
        <v>8.1718507296221418E-3</v>
      </c>
      <c r="F259" s="27">
        <v>2.1615972351766399</v>
      </c>
      <c r="G259" s="27">
        <v>2.0074660352612099</v>
      </c>
      <c r="H259" s="27">
        <v>2.08453163521893</v>
      </c>
    </row>
    <row r="260" spans="1:8" ht="16.5" customHeight="1">
      <c r="A260" s="22">
        <v>44835</v>
      </c>
      <c r="B260" s="27">
        <v>131.81622553924501</v>
      </c>
      <c r="C260" s="3">
        <v>2.4760211064744999E-3</v>
      </c>
      <c r="D260" s="3">
        <v>2.3466909729073393E-2</v>
      </c>
      <c r="E260" s="3">
        <v>2.0851355054894261E-2</v>
      </c>
      <c r="F260" s="27">
        <v>2.15489216979259</v>
      </c>
      <c r="G260" s="27">
        <v>1.90729005914514</v>
      </c>
      <c r="H260" s="27">
        <v>2.0310911144688699</v>
      </c>
    </row>
    <row r="261" spans="1:8" ht="16.5" customHeight="1">
      <c r="A261" s="22">
        <v>44866</v>
      </c>
      <c r="B261" s="27">
        <v>132.37395297467117</v>
      </c>
      <c r="C261" s="3">
        <v>4.2310985096451594E-3</v>
      </c>
      <c r="D261" s="3">
        <v>2.3711589147408008E-2</v>
      </c>
      <c r="E261" s="3">
        <v>2.1111376336031874E-2</v>
      </c>
      <c r="F261" s="27">
        <v>2.3742354020162102</v>
      </c>
      <c r="G261" s="27">
        <v>1.9511255510516901</v>
      </c>
      <c r="H261" s="27">
        <v>2.16268047653395</v>
      </c>
    </row>
    <row r="262" spans="1:8" ht="16.5" customHeight="1">
      <c r="A262" s="22">
        <v>44896</v>
      </c>
      <c r="B262" s="27">
        <v>131.95293236002672</v>
      </c>
      <c r="C262" s="3">
        <v>-3.18053971482586E-3</v>
      </c>
      <c r="D262" s="3">
        <v>2.2296016399474095E-2</v>
      </c>
      <c r="E262" s="3">
        <v>2.1210096341318724E-2</v>
      </c>
      <c r="F262" s="27">
        <v>1.91129687362828</v>
      </c>
      <c r="G262" s="27">
        <v>2.2293508451108601</v>
      </c>
      <c r="H262" s="27">
        <v>2.0703238593695699</v>
      </c>
    </row>
    <row r="263" spans="1:8" ht="16.5" customHeight="1">
      <c r="A263" s="22">
        <v>44927</v>
      </c>
      <c r="B263" s="27">
        <v>132.44261339679804</v>
      </c>
      <c r="C263" s="3">
        <v>3.7110280765510002E-3</v>
      </c>
      <c r="D263" s="3">
        <v>2.2521200347799031E-2</v>
      </c>
      <c r="E263" s="3">
        <v>2.2521200347799031E-2</v>
      </c>
      <c r="F263" s="27">
        <v>2.45036957965534</v>
      </c>
      <c r="G263" s="27">
        <v>2.0792667720002398</v>
      </c>
      <c r="H263" s="27">
        <v>2.2648181758277901</v>
      </c>
    </row>
    <row r="264" spans="1:8" ht="16.5" customHeight="1">
      <c r="A264" s="22">
        <v>44958</v>
      </c>
      <c r="B264" s="27">
        <v>132.66817962749195</v>
      </c>
      <c r="C264" s="3">
        <v>1.7031242808394501E-3</v>
      </c>
      <c r="D264" s="3">
        <v>2.1385335818542961E-2</v>
      </c>
      <c r="E264" s="3">
        <v>2.1953268083170996E-2</v>
      </c>
      <c r="F264" s="27">
        <v>2.1225863114094801</v>
      </c>
      <c r="G264" s="27">
        <v>1.95227388332554</v>
      </c>
      <c r="H264" s="27">
        <v>2.0374300973675101</v>
      </c>
    </row>
    <row r="265" spans="1:8" ht="16.5" customHeight="1">
      <c r="A265" s="22">
        <v>44986</v>
      </c>
      <c r="B265" s="27">
        <v>132.85781722629824</v>
      </c>
      <c r="C265" s="3">
        <v>1.42941283538186E-3</v>
      </c>
      <c r="D265" s="3">
        <v>1.9887831160487535E-2</v>
      </c>
      <c r="E265" s="3">
        <v>2.1264789108943177E-2</v>
      </c>
      <c r="F265" s="27">
        <v>2.7382164406728502</v>
      </c>
      <c r="G265" s="27">
        <v>2.5952751571346702</v>
      </c>
      <c r="H265" s="27">
        <v>2.6667457989037602</v>
      </c>
    </row>
    <row r="266" spans="1:8" ht="16.5" customHeight="1">
      <c r="A266" s="22">
        <v>45017</v>
      </c>
      <c r="B266" s="27">
        <v>133.06199159582971</v>
      </c>
      <c r="C266" s="3">
        <v>1.5367885292268098E-3</v>
      </c>
      <c r="D266" s="3">
        <v>2.0628778303952267E-2</v>
      </c>
      <c r="E266" s="3">
        <v>2.1105786407695448E-2</v>
      </c>
      <c r="F266" s="27">
        <v>2.2628451542873802</v>
      </c>
      <c r="G266" s="27">
        <v>2.1091663013647</v>
      </c>
      <c r="H266" s="27">
        <v>2.1860057278260401</v>
      </c>
    </row>
    <row r="267" spans="1:8" ht="16.5" customHeight="1">
      <c r="A267" s="22">
        <v>45047</v>
      </c>
      <c r="B267" s="27">
        <v>133.25021382038665</v>
      </c>
      <c r="C267" s="3">
        <v>1.4145453731719E-3</v>
      </c>
      <c r="D267" s="3">
        <v>2.0812447717375226E-2</v>
      </c>
      <c r="E267" s="3">
        <v>2.1047118669631402E-2</v>
      </c>
      <c r="F267" s="27">
        <v>2.07392058304286</v>
      </c>
      <c r="G267" s="27">
        <v>1.9324660457256699</v>
      </c>
      <c r="H267" s="27">
        <v>2.0031933143842702</v>
      </c>
    </row>
    <row r="268" spans="1:8" ht="16.5" customHeight="1">
      <c r="A268" s="22">
        <v>45078</v>
      </c>
      <c r="B268" s="27">
        <v>133.59119306428374</v>
      </c>
      <c r="C268" s="3">
        <v>2.5589395628041402E-3</v>
      </c>
      <c r="D268" s="3">
        <v>1.9702347799941178E-2</v>
      </c>
      <c r="E268" s="3">
        <v>2.08229901913497E-2</v>
      </c>
      <c r="F268" s="27">
        <v>2.0192026342377698</v>
      </c>
      <c r="G268" s="27">
        <v>1.7633086779573499</v>
      </c>
      <c r="H268" s="27">
        <v>1.89125565609756</v>
      </c>
    </row>
    <row r="269" spans="1:8" ht="16.5" customHeight="1">
      <c r="A269" s="22">
        <v>45108</v>
      </c>
      <c r="B269" s="27">
        <v>133.95376113382542</v>
      </c>
      <c r="C269" s="3">
        <v>2.71401176398805E-3</v>
      </c>
      <c r="D269" s="3">
        <v>2.1907673317213217E-2</v>
      </c>
      <c r="E269" s="3">
        <v>2.0977944923615915E-2</v>
      </c>
      <c r="F269" s="27">
        <v>2.08617361691724</v>
      </c>
      <c r="G269" s="27">
        <v>1.81477244051844</v>
      </c>
      <c r="H269" s="27">
        <v>1.95047302871784</v>
      </c>
    </row>
    <row r="270" spans="1:8" ht="16.5" customHeight="1">
      <c r="A270" s="22">
        <v>45139</v>
      </c>
      <c r="B270" s="27">
        <v>134.03840539010739</v>
      </c>
      <c r="C270" s="3">
        <v>6.3189159875394691E-4</v>
      </c>
      <c r="D270" s="3">
        <v>2.0947104930011395E-2</v>
      </c>
      <c r="E270" s="3">
        <v>2.0974089924415351E-2</v>
      </c>
      <c r="F270" s="27">
        <v>2.11913728527183</v>
      </c>
      <c r="G270" s="27">
        <v>2.05594812539643</v>
      </c>
      <c r="H270" s="27">
        <v>2.0875427053341302</v>
      </c>
    </row>
    <row r="271" spans="1:8" ht="16.5" customHeight="1">
      <c r="A271" s="22">
        <v>45170</v>
      </c>
      <c r="B271" s="27">
        <v>134.08901025161936</v>
      </c>
      <c r="C271" s="3">
        <v>3.77540014480803E-4</v>
      </c>
      <c r="D271" s="3">
        <v>1.9760783782480029E-2</v>
      </c>
      <c r="E271" s="3">
        <v>2.0839278130866983E-2</v>
      </c>
      <c r="F271" s="27">
        <v>1.8903217074176399</v>
      </c>
      <c r="G271" s="27">
        <v>1.85256770596956</v>
      </c>
      <c r="H271" s="27">
        <v>1.8714447066936</v>
      </c>
    </row>
    <row r="272" spans="1:8" ht="16.5" customHeight="1">
      <c r="A272" s="22">
        <v>45200</v>
      </c>
      <c r="B272" s="27">
        <v>134.09870200053425</v>
      </c>
      <c r="C272" s="3">
        <v>7.2278473058313796E-5</v>
      </c>
      <c r="D272" s="3">
        <v>1.7315595648046189E-2</v>
      </c>
      <c r="E272" s="3">
        <v>2.0486909882584902E-2</v>
      </c>
      <c r="F272" s="27">
        <v>1.7786717045558</v>
      </c>
      <c r="G272" s="27">
        <v>1.77144385724997</v>
      </c>
      <c r="H272" s="27">
        <v>1.77505778090288</v>
      </c>
    </row>
    <row r="273" spans="1:8" ht="16.5" customHeight="1">
      <c r="A273" s="22">
        <v>45231</v>
      </c>
      <c r="B273" s="27">
        <v>134.03468453407291</v>
      </c>
      <c r="C273" s="3">
        <v>-4.7739064962075401E-4</v>
      </c>
      <c r="D273" s="3">
        <v>1.2545757847992167E-2</v>
      </c>
      <c r="E273" s="3">
        <v>1.9764986970349199E-2</v>
      </c>
      <c r="F273" s="27">
        <v>1.81954841629356</v>
      </c>
      <c r="G273" s="27">
        <v>1.8672874812556399</v>
      </c>
      <c r="H273" s="27">
        <v>1.8434179487746001</v>
      </c>
    </row>
    <row r="274" spans="1:8" ht="16.5" customHeight="1">
      <c r="A274" s="22">
        <v>45261</v>
      </c>
      <c r="B274" s="27">
        <v>133.40746671966951</v>
      </c>
      <c r="C274" s="3">
        <v>-4.6795187125161499E-3</v>
      </c>
      <c r="D274" s="3">
        <v>1.1023130245216395E-2</v>
      </c>
      <c r="E274" s="3">
        <v>1.9036498909921467E-2</v>
      </c>
      <c r="F274" s="27">
        <v>1.57968428603306</v>
      </c>
      <c r="G274" s="27">
        <v>2.0476361572846802</v>
      </c>
      <c r="H274" s="27">
        <v>1.81366022165887</v>
      </c>
    </row>
    <row r="275" spans="1:8" ht="16.5" customHeight="1">
      <c r="A275" s="22">
        <v>45292</v>
      </c>
      <c r="B275" s="27">
        <v>133.20952976425161</v>
      </c>
      <c r="C275" s="3">
        <v>-1.4837022266064202E-3</v>
      </c>
      <c r="D275" s="3">
        <v>5.7905559833366649E-3</v>
      </c>
      <c r="E275" s="3">
        <v>1.8017580223261095E-2</v>
      </c>
      <c r="F275" s="27">
        <v>1.9239606773001501</v>
      </c>
      <c r="G275" s="27">
        <v>2.0723308999607899</v>
      </c>
      <c r="H275" s="27">
        <v>1.9981457886304701</v>
      </c>
    </row>
    <row r="276" spans="1:8" ht="16.5" customHeight="1">
      <c r="A276" s="22">
        <v>45323</v>
      </c>
      <c r="B276" s="27">
        <v>132.81504340134816</v>
      </c>
      <c r="C276" s="3">
        <v>-2.9613974585871701E-3</v>
      </c>
      <c r="D276" s="3">
        <v>1.1070007462872233E-3</v>
      </c>
      <c r="E276" s="3">
        <v>1.6809681689191534E-2</v>
      </c>
      <c r="F276" s="27">
        <v>1.5941496982604799</v>
      </c>
      <c r="G276" s="27">
        <v>1.89028944411919</v>
      </c>
      <c r="H276" s="27">
        <v>1.7422195711898401</v>
      </c>
    </row>
    <row r="277" spans="1:8" ht="16.5" customHeight="1">
      <c r="A277" s="22">
        <v>45352</v>
      </c>
      <c r="B277" s="27">
        <v>132.09707717846047</v>
      </c>
      <c r="C277" s="3">
        <v>-5.4057598032634206E-3</v>
      </c>
      <c r="D277" s="3">
        <v>-5.7259712956294617E-3</v>
      </c>
      <c r="E277" s="3">
        <v>1.53073048235368E-2</v>
      </c>
      <c r="F277" s="27">
        <v>1.60855196152075</v>
      </c>
      <c r="G277" s="27">
        <v>2.1491279418470999</v>
      </c>
      <c r="H277" s="27">
        <v>1.87883995168392</v>
      </c>
    </row>
    <row r="278" spans="1:8" ht="16.5" customHeight="1">
      <c r="A278" s="22">
        <v>45383</v>
      </c>
      <c r="B278" s="27">
        <v>131.5167863896823</v>
      </c>
      <c r="C278" s="3">
        <v>-4.39291164629036E-3</v>
      </c>
      <c r="D278" s="3">
        <v>-1.1612671564701249E-2</v>
      </c>
      <c r="E278" s="3">
        <v>1.3624806299271923E-2</v>
      </c>
      <c r="F278" s="27">
        <v>1.4765935570800699</v>
      </c>
      <c r="G278" s="27">
        <v>1.9158847217091</v>
      </c>
      <c r="H278" s="27">
        <v>1.6962391393945899</v>
      </c>
    </row>
    <row r="279" spans="1:8" ht="16.5" customHeight="1">
      <c r="A279" s="22">
        <v>45413</v>
      </c>
      <c r="B279" s="27">
        <v>131.13637993126869</v>
      </c>
      <c r="C279" s="3">
        <v>-2.8924555477387796E-3</v>
      </c>
      <c r="D279" s="3">
        <v>-1.5863643505797831E-2</v>
      </c>
      <c r="E279" s="3">
        <v>1.1890191604856055E-2</v>
      </c>
      <c r="F279" s="27">
        <v>1.3778775016278499</v>
      </c>
      <c r="G279" s="27">
        <v>1.6671230564017301</v>
      </c>
      <c r="H279" s="27">
        <v>1.5225002790147899</v>
      </c>
    </row>
    <row r="280" spans="1:8" ht="16.5" customHeight="1">
      <c r="A280" s="22">
        <v>45444</v>
      </c>
      <c r="B280" s="27">
        <v>130.90729366877733</v>
      </c>
      <c r="C280" s="3">
        <v>-1.74693142064334E-3</v>
      </c>
      <c r="D280" s="3">
        <v>-2.0090391693821652E-2</v>
      </c>
      <c r="E280" s="3">
        <v>1.0113492532707293E-2</v>
      </c>
      <c r="F280" s="27">
        <v>1.32733527022515</v>
      </c>
      <c r="G280" s="27">
        <v>1.50202841228949</v>
      </c>
      <c r="H280" s="27">
        <v>1.4146818412573201</v>
      </c>
    </row>
    <row r="281" spans="1:8" ht="16.5" customHeight="1">
      <c r="A281" s="22">
        <v>45474</v>
      </c>
      <c r="B281" s="27">
        <v>130.97163417237334</v>
      </c>
      <c r="C281" s="3">
        <v>4.9149670574371099E-4</v>
      </c>
      <c r="D281" s="3">
        <v>-2.2262360804283898E-2</v>
      </c>
      <c r="E281" s="3">
        <v>8.4095002518130204E-3</v>
      </c>
      <c r="F281" s="27">
        <v>1.5764850335542899</v>
      </c>
      <c r="G281" s="27">
        <v>1.52733536297992</v>
      </c>
      <c r="H281" s="27">
        <v>1.5519101982671</v>
      </c>
    </row>
    <row r="282" spans="1:8" ht="16.5" customHeight="1">
      <c r="A282" s="22">
        <v>45505</v>
      </c>
      <c r="B282" s="27">
        <v>130.89820912974108</v>
      </c>
      <c r="C282" s="3">
        <v>-5.6061790093910003E-4</v>
      </c>
      <c r="D282" s="3">
        <v>-2.3427585931263817E-2</v>
      </c>
      <c r="E282" s="3">
        <v>6.8176459426591788E-3</v>
      </c>
      <c r="F282" s="27">
        <v>1.6905763959845601</v>
      </c>
      <c r="G282" s="27">
        <v>1.7466381860784701</v>
      </c>
      <c r="H282" s="27">
        <v>1.71860729103151</v>
      </c>
    </row>
    <row r="283" spans="1:8" ht="16.5" customHeight="1">
      <c r="A283" s="22">
        <v>45536</v>
      </c>
      <c r="B283" s="27">
        <v>131.1898864086632</v>
      </c>
      <c r="C283" s="3">
        <v>2.2282755498437899E-3</v>
      </c>
      <c r="D283" s="3">
        <v>-2.162089076141227E-2</v>
      </c>
      <c r="E283" s="3">
        <v>5.4634299091319664E-3</v>
      </c>
      <c r="F283" s="27">
        <v>1.7044305111607401</v>
      </c>
      <c r="G283" s="27">
        <v>1.48160295617636</v>
      </c>
      <c r="H283" s="27">
        <v>1.5930167336685499</v>
      </c>
    </row>
    <row r="284" spans="1:8" ht="16.5" customHeight="1">
      <c r="A284" s="22">
        <v>45566</v>
      </c>
      <c r="B284" s="27">
        <v>131.60353729807315</v>
      </c>
      <c r="C284" s="3">
        <v>3.1530699563333199E-3</v>
      </c>
      <c r="D284" s="3">
        <v>-1.8606926578984773E-2</v>
      </c>
      <c r="E284" s="3">
        <v>4.3693227960357513E-3</v>
      </c>
      <c r="F284" s="27">
        <v>1.8462430435883901</v>
      </c>
      <c r="G284" s="27">
        <v>1.53093604795506</v>
      </c>
      <c r="H284" s="27">
        <v>1.6885895457717199</v>
      </c>
    </row>
    <row r="285" spans="1:8" ht="16.5" customHeight="1">
      <c r="A285" s="22">
        <v>45597</v>
      </c>
      <c r="B285" s="27">
        <v>131.86420331185423</v>
      </c>
      <c r="C285" s="3">
        <v>1.9806915462360999E-3</v>
      </c>
      <c r="D285" s="3">
        <v>-1.6193429557160077E-2</v>
      </c>
      <c r="E285" s="3">
        <v>3.4752900850272368E-3</v>
      </c>
      <c r="F285" s="27">
        <v>1.69290516888784</v>
      </c>
      <c r="G285" s="27">
        <v>1.4948360142642301</v>
      </c>
      <c r="H285" s="27">
        <v>1.5938705915760301</v>
      </c>
    </row>
    <row r="286" spans="1:8" ht="16.5" customHeight="1">
      <c r="A286" s="22">
        <v>45627</v>
      </c>
      <c r="B286" s="27">
        <v>131.57511071770551</v>
      </c>
      <c r="C286" s="3">
        <v>-2.19235081916061E-3</v>
      </c>
      <c r="D286" s="3">
        <v>-1.3735033330738111E-2</v>
      </c>
      <c r="E286" s="3">
        <v>2.7581932760370139E-3</v>
      </c>
      <c r="F286" s="27">
        <v>1.64852863667976</v>
      </c>
      <c r="G286" s="27">
        <v>1.86776371859582</v>
      </c>
      <c r="H286" s="27">
        <v>1.75814617763779</v>
      </c>
    </row>
    <row r="287" spans="1:8" ht="16.5" customHeight="1">
      <c r="A287" s="22">
        <v>45658</v>
      </c>
      <c r="B287" s="27">
        <v>131.75890656645996</v>
      </c>
      <c r="C287" s="3">
        <v>1.3968891817903301E-3</v>
      </c>
      <c r="D287" s="3">
        <v>-1.0889785440718169E-2</v>
      </c>
      <c r="E287" s="3">
        <v>2.2122741273668065E-3</v>
      </c>
      <c r="F287" s="27">
        <v>1.98701826232076</v>
      </c>
      <c r="G287" s="27">
        <v>1.84732934414172</v>
      </c>
      <c r="H287" s="27">
        <v>1.91717380323124</v>
      </c>
    </row>
    <row r="288" spans="1:8" ht="16.5" customHeight="1">
      <c r="A288" s="22">
        <v>45689</v>
      </c>
      <c r="B288" s="27">
        <v>131.66313290106979</v>
      </c>
      <c r="C288" s="3">
        <v>-7.2688570272762308E-4</v>
      </c>
      <c r="D288" s="3">
        <v>-8.673042381181717E-3</v>
      </c>
      <c r="E288" s="3">
        <v>1.7936081078072481E-3</v>
      </c>
      <c r="F288" s="27">
        <v>1.92874948003001</v>
      </c>
      <c r="G288" s="27">
        <v>2.0014380503027702</v>
      </c>
      <c r="H288" s="27">
        <v>1.96509376516639</v>
      </c>
    </row>
    <row r="289" spans="1:8" ht="16.5" customHeight="1">
      <c r="A289" s="22">
        <v>45717</v>
      </c>
      <c r="B289" s="27">
        <v>131.50499791270326</v>
      </c>
      <c r="C289" s="3">
        <v>-1.20105746295252E-3</v>
      </c>
      <c r="D289" s="3">
        <v>-4.4821526592697669E-3</v>
      </c>
      <c r="E289" s="3">
        <v>1.5611725238414327E-3</v>
      </c>
      <c r="F289" s="27">
        <v>2.0509603775974901</v>
      </c>
      <c r="G289" s="27">
        <v>2.17106612389275</v>
      </c>
      <c r="H289" s="27">
        <v>2.11101325074512</v>
      </c>
    </row>
    <row r="290" spans="1:8" ht="16.5" customHeight="1">
      <c r="A290" s="22">
        <v>45748</v>
      </c>
      <c r="B290" s="27">
        <v>131.18318066683381</v>
      </c>
      <c r="C290" s="3">
        <v>-2.4471864262001798E-3</v>
      </c>
      <c r="D290" s="3">
        <v>-2.5366018438134352E-3</v>
      </c>
      <c r="E290" s="3">
        <v>1.4148234392823303E-3</v>
      </c>
      <c r="F290" s="27">
        <v>1.8578541468970999</v>
      </c>
      <c r="G290" s="27">
        <v>2.10257278951712</v>
      </c>
      <c r="H290" s="27">
        <v>1.98021346820711</v>
      </c>
    </row>
    <row r="291" spans="1:8" ht="16.5" customHeight="1">
      <c r="A291" s="22">
        <v>45778</v>
      </c>
      <c r="B291" s="27">
        <v>130.96549674527628</v>
      </c>
      <c r="C291" s="3">
        <v>-2.0533654301461497E-3</v>
      </c>
      <c r="D291" s="3">
        <v>-1.3030951905335098E-3</v>
      </c>
      <c r="E291" s="3">
        <v>-5.6557589183408698E-3</v>
      </c>
      <c r="F291" s="27">
        <v>1.845106317643</v>
      </c>
      <c r="G291" s="27">
        <v>2.0504428606576099</v>
      </c>
      <c r="H291" s="27">
        <v>1.94777458915031</v>
      </c>
    </row>
    <row r="292" spans="1:8" ht="16.5" customHeight="1">
      <c r="A292" s="22">
        <v>45809</v>
      </c>
      <c r="B292" s="27">
        <v>131.07784251781277</v>
      </c>
      <c r="C292" s="3">
        <v>8.5782725472343692E-4</v>
      </c>
      <c r="D292" s="3">
        <v>1.3028215942418875E-3</v>
      </c>
      <c r="E292" s="3">
        <v>-4.5618530750044335E-3</v>
      </c>
      <c r="F292" s="27">
        <v>1.7710217966232999</v>
      </c>
      <c r="G292" s="27">
        <v>1.6852390711509599</v>
      </c>
      <c r="H292" s="27">
        <v>1.7281304338871299</v>
      </c>
    </row>
    <row r="293" spans="1:8" ht="16.5" customHeight="1">
      <c r="A293" s="22">
        <v>45839</v>
      </c>
      <c r="B293" s="27">
        <v>130.7540745454007</v>
      </c>
      <c r="C293" s="3">
        <v>-2.07623152386107E-3</v>
      </c>
      <c r="D293" s="3">
        <v>-1.6611201986401758E-3</v>
      </c>
      <c r="E293" s="3">
        <v>-4.1474626640952538E-3</v>
      </c>
      <c r="F293" s="27">
        <v>1.8399815748009101</v>
      </c>
      <c r="G293" s="27">
        <v>2.0476047271870099</v>
      </c>
      <c r="H293" s="27">
        <v>1.9437931509939601</v>
      </c>
    </row>
    <row r="294" spans="1:8" ht="16.5" customHeight="1">
      <c r="A294" s="22">
        <v>45870</v>
      </c>
      <c r="B294" s="27">
        <v>130.37891434853671</v>
      </c>
      <c r="C294" s="3">
        <v>-2.8692046360186802E-3</v>
      </c>
      <c r="D294" s="3">
        <v>-3.9671649036058243E-3</v>
      </c>
      <c r="E294" s="3">
        <v>-4.1249254440340749E-3</v>
      </c>
      <c r="F294" s="27">
        <v>1.8981651794333601</v>
      </c>
      <c r="G294" s="27">
        <v>2.1850856430352201</v>
      </c>
      <c r="H294" s="27">
        <v>2.04162541123429</v>
      </c>
    </row>
    <row r="295" spans="1:8" ht="16.5" customHeight="1">
      <c r="A295" s="22">
        <v>45901</v>
      </c>
      <c r="B295" s="27">
        <v>130.30184007485295</v>
      </c>
      <c r="C295" s="3">
        <v>-5.9115597080152706E-4</v>
      </c>
      <c r="D295" s="3">
        <v>-6.7691676402854561E-3</v>
      </c>
      <c r="E295" s="3">
        <v>-4.4187301325064503E-3</v>
      </c>
      <c r="F295" s="27">
        <v>2.0039256962497398</v>
      </c>
      <c r="G295" s="27">
        <v>2.0630412933298898</v>
      </c>
      <c r="H295" s="27">
        <v>2.0334834947898099</v>
      </c>
    </row>
    <row r="296" spans="1:8" ht="16.5" customHeight="1">
      <c r="A296" s="22">
        <v>45931</v>
      </c>
      <c r="B296" s="27">
        <v>130.47263642911415</v>
      </c>
      <c r="C296" s="3">
        <v>1.3107746917702002E-3</v>
      </c>
      <c r="D296" s="3">
        <v>-8.5932406694935182E-3</v>
      </c>
      <c r="E296" s="3">
        <v>-4.8361811862051574E-3</v>
      </c>
      <c r="F296" s="27">
        <v>2.1029357295908402</v>
      </c>
      <c r="G296" s="27">
        <v>1.97185826041382</v>
      </c>
      <c r="H296" s="27">
        <v>2.0373969950023301</v>
      </c>
    </row>
    <row r="297" spans="1:8" ht="16.5" customHeight="1">
      <c r="A297" s="22">
        <v>45962</v>
      </c>
      <c r="B297" s="27">
        <v>130.36811644161702</v>
      </c>
      <c r="C297" s="3">
        <v>-8.0108741846337595E-4</v>
      </c>
      <c r="D297" s="3">
        <v>-1.1345663437551834E-2</v>
      </c>
      <c r="E297" s="3">
        <v>-5.4279522999639458E-3</v>
      </c>
      <c r="F297" s="27">
        <v>1.7619204381100899</v>
      </c>
      <c r="G297" s="27">
        <v>1.8420291799564299</v>
      </c>
      <c r="H297" s="27">
        <v>1.8019748090332599</v>
      </c>
    </row>
    <row r="298" spans="1:8" ht="16.5" customHeight="1">
      <c r="A298" s="22">
        <v>45992</v>
      </c>
      <c r="B298" s="27">
        <v>130.07892658038892</v>
      </c>
      <c r="C298" s="3">
        <v>-2.2182560362264902E-3</v>
      </c>
      <c r="D298" s="3">
        <v>-1.1371331015078145E-2</v>
      </c>
      <c r="E298" s="3">
        <v>-1.1371331015078145E-2</v>
      </c>
      <c r="F298" s="27">
        <v>1.85499013965718</v>
      </c>
      <c r="G298" s="27">
        <v>2.0768157432798202</v>
      </c>
      <c r="H298" s="27">
        <v>1.9659029414685001</v>
      </c>
    </row>
    <row r="299" spans="1:8" ht="16.5" customHeight="1">
      <c r="A299" s="22">
        <v>46023</v>
      </c>
      <c r="B299" s="27">
        <v>130.0943377070775</v>
      </c>
      <c r="C299" s="3">
        <v>1.18475198817505E-4</v>
      </c>
      <c r="D299" s="3">
        <v>-1.2633444696528606E-2</v>
      </c>
      <c r="E299" s="3">
        <v>1.1847519881746926E-4</v>
      </c>
      <c r="F299" s="27">
        <v>2.0452570687672602</v>
      </c>
      <c r="G299" s="27">
        <v>2.0334095488855102</v>
      </c>
      <c r="H299" s="27">
        <v>2.0393333088263899</v>
      </c>
    </row>
    <row r="300" spans="1:8" ht="16.5" customHeight="1">
      <c r="A300" s="22">
        <v>46054</v>
      </c>
      <c r="B300" s="27">
        <v>129.83918221856575</v>
      </c>
      <c r="C300" s="3">
        <v>-1.9613112531173299E-3</v>
      </c>
      <c r="D300" s="3">
        <v>-1.3853161794915914E-2</v>
      </c>
      <c r="E300" s="3">
        <v>-1.843068421040539E-3</v>
      </c>
      <c r="F300" s="27">
        <v>1.9511529986496301</v>
      </c>
      <c r="G300" s="27">
        <v>2.14728412396137</v>
      </c>
      <c r="H300" s="27">
        <v>2.0492185613055001</v>
      </c>
    </row>
    <row r="301" spans="1:8" ht="16.5" customHeight="1">
      <c r="A301" s="22">
        <v>46082</v>
      </c>
      <c r="B301" s="27">
        <v>129.68897314089796</v>
      </c>
      <c r="C301" s="3">
        <v>-1.15688558030915E-3</v>
      </c>
      <c r="D301" s="3">
        <v>-1.3809549451579306E-2</v>
      </c>
      <c r="E301" s="3">
        <v>-2.997821782069976E-3</v>
      </c>
      <c r="F301" s="27">
        <v>2.5049776922328402</v>
      </c>
      <c r="G301" s="27">
        <v>2.6206662502637599</v>
      </c>
      <c r="H301" s="27">
        <v>2.5628219712483</v>
      </c>
    </row>
    <row r="302" spans="1:8" ht="16.5" customHeight="1">
      <c r="A302" s="22">
        <v>46113</v>
      </c>
      <c r="B302" s="27">
        <v>129.61880159808663</v>
      </c>
      <c r="C302" s="3">
        <v>-5.4107562973046896E-4</v>
      </c>
      <c r="D302" s="3">
        <v>-1.1925149708941984E-2</v>
      </c>
      <c r="E302" s="3">
        <v>-3.5372753634919096E-3</v>
      </c>
      <c r="F302" s="27">
        <v>2.0263636853900402</v>
      </c>
      <c r="G302" s="27">
        <v>2.0804712483630898</v>
      </c>
      <c r="H302" s="26">
        <v>2.0534174668765601</v>
      </c>
    </row>
    <row r="303" spans="1:8" ht="16.5" customHeight="1">
      <c r="A303" s="22">
        <v>46143</v>
      </c>
      <c r="B303" s="27">
        <v>129.49852057095998</v>
      </c>
      <c r="C303" s="3">
        <v>-9.27959722229225E-4</v>
      </c>
      <c r="D303" s="3">
        <v>-1.0810876622740384E-2</v>
      </c>
      <c r="E303" s="3">
        <v>-4.4619526366574958E-3</v>
      </c>
      <c r="F303" s="27">
        <v>1.8855845302335299</v>
      </c>
      <c r="G303" s="27">
        <v>1.97838050245646</v>
      </c>
      <c r="H303" s="26">
        <v>1.931982516345</v>
      </c>
    </row>
    <row r="304" spans="1:8" ht="16.5" customHeight="1">
      <c r="A304" s="224">
        <v>46174</v>
      </c>
      <c r="B304" s="225">
        <v>129.30936564429635</v>
      </c>
      <c r="C304" s="226">
        <v>-1.4606724913121898E-3</v>
      </c>
      <c r="D304" s="226">
        <v>-1.3102345669470217E-2</v>
      </c>
      <c r="E304" s="226">
        <v>-5.9161076764958631E-3</v>
      </c>
      <c r="F304" s="225">
        <v>1.58539326836233</v>
      </c>
      <c r="G304" s="225">
        <v>1.73146051749355</v>
      </c>
      <c r="H304" s="227">
        <v>1.65842689292794</v>
      </c>
    </row>
    <row r="305" spans="1:8" ht="16.5" customHeight="1">
      <c r="A305" s="211" t="s">
        <v>9</v>
      </c>
      <c r="C305" s="3"/>
      <c r="D305" s="3"/>
      <c r="E305" s="3"/>
      <c r="F305" s="27"/>
      <c r="G305" s="27"/>
      <c r="H305" s="27"/>
    </row>
    <row r="306" spans="1:8" ht="54.75" customHeight="1">
      <c r="A306" s="246" t="s">
        <v>19</v>
      </c>
      <c r="B306" s="246"/>
      <c r="C306" s="246"/>
      <c r="D306" s="246"/>
      <c r="E306" s="246"/>
      <c r="F306" s="246"/>
      <c r="G306" s="246"/>
      <c r="H306" s="246"/>
    </row>
    <row r="307" spans="1:8" ht="17.25" customHeight="1">
      <c r="A307" s="5" t="s">
        <v>16</v>
      </c>
      <c r="B307" s="16"/>
      <c r="C307" s="8"/>
      <c r="D307" s="12"/>
      <c r="E307" s="12"/>
      <c r="F307" s="8"/>
      <c r="G307" s="12"/>
      <c r="H307" s="12"/>
    </row>
    <row r="308" spans="1:8" ht="17.25" customHeight="1">
      <c r="A308" s="5" t="s">
        <v>17</v>
      </c>
      <c r="B308" s="16"/>
      <c r="C308" s="8"/>
      <c r="D308" s="12"/>
      <c r="E308" s="12"/>
      <c r="F308" s="8"/>
      <c r="G308" s="12"/>
      <c r="H308" s="12"/>
    </row>
    <row r="309" spans="1:8" ht="17.25" customHeight="1">
      <c r="A309" s="6" t="s">
        <v>18</v>
      </c>
      <c r="B309" s="16"/>
      <c r="C309" s="8"/>
      <c r="D309" s="12"/>
      <c r="E309" s="12"/>
      <c r="F309" s="8"/>
      <c r="G309" s="12"/>
      <c r="H309" s="12"/>
    </row>
    <row r="310" spans="1:8" ht="17.25" customHeight="1">
      <c r="A310" s="236" t="s">
        <v>20</v>
      </c>
      <c r="B310" s="236"/>
      <c r="C310" s="236"/>
      <c r="D310" s="236"/>
      <c r="E310" s="236"/>
      <c r="F310" s="236"/>
      <c r="G310" s="236"/>
      <c r="H310" s="236"/>
    </row>
    <row r="311" spans="1:8">
      <c r="A311" s="1"/>
      <c r="B311" s="8"/>
      <c r="C311" s="8"/>
      <c r="D311" s="8"/>
      <c r="E311" s="8"/>
      <c r="F311" s="17"/>
      <c r="G311" s="17"/>
      <c r="H311" s="17"/>
    </row>
    <row r="312" spans="1:8">
      <c r="A312" s="1"/>
      <c r="B312" s="8"/>
      <c r="C312" s="8"/>
      <c r="D312" s="8"/>
      <c r="E312" s="8"/>
      <c r="F312" s="17"/>
      <c r="G312" s="17"/>
      <c r="H312" s="17"/>
    </row>
    <row r="313" spans="1:8">
      <c r="B313" s="16"/>
      <c r="C313" s="18"/>
      <c r="D313" s="8"/>
      <c r="E313" s="8"/>
      <c r="F313" s="17"/>
      <c r="G313" s="17"/>
      <c r="H313" s="17"/>
    </row>
    <row r="314" spans="1:8" hidden="1">
      <c r="A314" s="4"/>
      <c r="B314" s="13"/>
      <c r="C314" s="14"/>
      <c r="D314" s="14"/>
      <c r="E314" s="14"/>
      <c r="F314" s="15"/>
      <c r="G314" s="15"/>
      <c r="H314" s="15"/>
    </row>
    <row r="315" spans="1:8" hidden="1">
      <c r="A315" s="4"/>
      <c r="B315" s="13"/>
      <c r="C315" s="14"/>
      <c r="D315" s="14"/>
      <c r="E315" s="14"/>
      <c r="F315" s="15"/>
      <c r="G315" s="15"/>
      <c r="H315" s="15"/>
    </row>
    <row r="316" spans="1:8" hidden="1">
      <c r="A316" s="4"/>
      <c r="B316" s="13"/>
      <c r="C316" s="14"/>
      <c r="D316" s="14"/>
      <c r="E316" s="14"/>
      <c r="F316" s="15"/>
      <c r="G316" s="15"/>
      <c r="H316" s="15"/>
    </row>
    <row r="317" spans="1:8" hidden="1">
      <c r="A317" s="4"/>
      <c r="B317" s="13"/>
      <c r="C317" s="14"/>
      <c r="D317" s="14"/>
      <c r="E317" s="14"/>
      <c r="F317" s="15"/>
      <c r="G317" s="15"/>
      <c r="H317" s="15"/>
    </row>
    <row r="318" spans="1:8" hidden="1">
      <c r="A318" s="4"/>
      <c r="B318" s="13"/>
      <c r="C318" s="14"/>
      <c r="D318" s="14"/>
      <c r="E318" s="14"/>
      <c r="F318" s="15"/>
      <c r="G318" s="15"/>
      <c r="H318" s="15"/>
    </row>
    <row r="319" spans="1:8" hidden="1">
      <c r="B319" s="16"/>
      <c r="C319" s="8"/>
      <c r="D319" s="8"/>
      <c r="E319" s="8"/>
      <c r="F319" s="8"/>
      <c r="G319" s="12"/>
      <c r="H319" s="12"/>
    </row>
    <row r="320" spans="1:8" hidden="1">
      <c r="B320" s="16"/>
      <c r="C320" s="8"/>
      <c r="D320" s="8"/>
      <c r="E320" s="8"/>
      <c r="F320" s="8"/>
      <c r="G320" s="12"/>
      <c r="H320" s="12"/>
    </row>
    <row r="321" spans="2:8" hidden="1">
      <c r="B321" s="16"/>
      <c r="C321" s="8"/>
      <c r="D321" s="8"/>
      <c r="E321" s="8"/>
      <c r="F321" s="8"/>
      <c r="G321" s="12"/>
      <c r="H321" s="12"/>
    </row>
    <row r="322" spans="2:8" hidden="1">
      <c r="B322" s="16"/>
      <c r="C322" s="8"/>
      <c r="D322" s="8"/>
      <c r="E322" s="8"/>
      <c r="F322" s="8"/>
      <c r="G322" s="12"/>
      <c r="H322" s="12"/>
    </row>
    <row r="323" spans="2:8" hidden="1">
      <c r="B323" s="16"/>
      <c r="C323" s="8"/>
      <c r="D323" s="8"/>
      <c r="E323" s="8"/>
      <c r="F323" s="8"/>
      <c r="G323" s="12"/>
      <c r="H323" s="12"/>
    </row>
    <row r="324" spans="2:8" hidden="1">
      <c r="B324" s="16"/>
      <c r="C324" s="8"/>
      <c r="D324" s="8"/>
      <c r="E324" s="8"/>
      <c r="F324" s="8"/>
      <c r="G324" s="12"/>
      <c r="H324" s="12"/>
    </row>
    <row r="325" spans="2:8" hidden="1">
      <c r="B325" s="16"/>
      <c r="C325" s="8"/>
      <c r="D325" s="8"/>
      <c r="E325" s="8"/>
      <c r="F325" s="8"/>
      <c r="G325" s="12"/>
      <c r="H325" s="12"/>
    </row>
    <row r="326" spans="2:8" hidden="1">
      <c r="B326" s="16"/>
      <c r="C326" s="8"/>
      <c r="D326" s="8"/>
      <c r="E326" s="8"/>
      <c r="F326" s="8"/>
      <c r="G326" s="12"/>
      <c r="H326" s="12"/>
    </row>
    <row r="327" spans="2:8" hidden="1">
      <c r="B327" s="16"/>
      <c r="C327" s="8"/>
      <c r="D327" s="8"/>
      <c r="E327" s="8"/>
      <c r="F327" s="8"/>
      <c r="G327" s="12"/>
      <c r="H327" s="12"/>
    </row>
    <row r="328" spans="2:8" hidden="1">
      <c r="B328" s="16"/>
      <c r="C328" s="8"/>
      <c r="D328" s="8"/>
      <c r="E328" s="8"/>
      <c r="F328" s="8"/>
      <c r="G328" s="12"/>
      <c r="H328" s="12"/>
    </row>
    <row r="329" spans="2:8" hidden="1">
      <c r="B329" s="16"/>
      <c r="C329" s="8"/>
      <c r="D329" s="8"/>
      <c r="E329" s="8"/>
      <c r="F329" s="8"/>
      <c r="G329" s="12"/>
      <c r="H329" s="12"/>
    </row>
    <row r="330" spans="2:8" hidden="1">
      <c r="B330" s="16"/>
      <c r="C330" s="8"/>
      <c r="D330" s="8"/>
      <c r="E330" s="8"/>
      <c r="F330" s="8"/>
      <c r="G330" s="12"/>
      <c r="H330" s="12"/>
    </row>
    <row r="331" spans="2:8" hidden="1">
      <c r="B331" s="16"/>
      <c r="C331" s="8"/>
      <c r="D331" s="8"/>
      <c r="E331" s="8"/>
      <c r="F331" s="8"/>
      <c r="G331" s="12"/>
      <c r="H331" s="12"/>
    </row>
    <row r="332" spans="2:8" hidden="1">
      <c r="B332" s="16"/>
      <c r="C332" s="8"/>
      <c r="D332" s="8"/>
      <c r="E332" s="8"/>
      <c r="F332" s="8"/>
      <c r="G332" s="12"/>
      <c r="H332" s="12"/>
    </row>
    <row r="333" spans="2:8" hidden="1">
      <c r="B333" s="16"/>
      <c r="C333" s="8"/>
      <c r="D333" s="8"/>
      <c r="E333" s="8"/>
      <c r="F333" s="8"/>
      <c r="G333" s="12"/>
      <c r="H333" s="12"/>
    </row>
    <row r="334" spans="2:8" hidden="1">
      <c r="B334" s="16"/>
      <c r="C334" s="8"/>
      <c r="D334" s="8"/>
      <c r="E334" s="8"/>
      <c r="F334" s="8"/>
      <c r="G334" s="12"/>
      <c r="H334" s="12"/>
    </row>
    <row r="335" spans="2:8" hidden="1">
      <c r="B335" s="16"/>
      <c r="C335" s="8"/>
      <c r="D335" s="8"/>
      <c r="E335" s="8"/>
      <c r="F335" s="8"/>
      <c r="G335" s="12"/>
      <c r="H335" s="12"/>
    </row>
    <row r="336" spans="2:8" hidden="1">
      <c r="B336" s="16"/>
      <c r="C336" s="8"/>
      <c r="D336" s="8"/>
      <c r="E336" s="8"/>
      <c r="F336" s="8"/>
      <c r="G336" s="12"/>
      <c r="H336" s="12"/>
    </row>
    <row r="337" spans="2:8" hidden="1">
      <c r="B337" s="16"/>
      <c r="C337" s="8"/>
      <c r="D337" s="8"/>
      <c r="E337" s="8"/>
      <c r="F337" s="8"/>
      <c r="G337" s="12"/>
      <c r="H337" s="12"/>
    </row>
    <row r="338" spans="2:8"/>
    <row r="339" spans="2:8"/>
  </sheetData>
  <mergeCells count="10">
    <mergeCell ref="A310:H310"/>
    <mergeCell ref="A2:H2"/>
    <mergeCell ref="C5:E5"/>
    <mergeCell ref="A1:H1"/>
    <mergeCell ref="A3:H3"/>
    <mergeCell ref="A4:A6"/>
    <mergeCell ref="F4:H4"/>
    <mergeCell ref="B4:E4"/>
    <mergeCell ref="B5:B6"/>
    <mergeCell ref="A306:H306"/>
  </mergeCells>
  <pageMargins left="0.74803149606299213" right="0.74803149606299213" top="0.98425196850393704" bottom="0.98425196850393704" header="0" footer="0"/>
  <pageSetup scale="23" orientation="portrait" r:id="rId1"/>
  <headerFooter alignWithMargins="0"/>
</worksheet>
</file>

<file path=xl/worksheets/sheet4.xml><?xml version="1.0" encoding="utf-8"?>
<worksheet xmlns="http://schemas.openxmlformats.org/spreadsheetml/2006/main" xmlns:r="http://schemas.openxmlformats.org/officeDocument/2006/relationships">
  <sheetPr codeName="Hoja4">
    <tabColor theme="3"/>
    <pageSetUpPr fitToPage="1"/>
  </sheetPr>
  <dimension ref="A1:CY67"/>
  <sheetViews>
    <sheetView showGridLines="0" tabSelected="1" zoomScale="70" zoomScaleNormal="70" workbookViewId="0">
      <pane xSplit="2" ySplit="4" topLeftCell="C5" activePane="bottomRight" state="frozen"/>
      <selection activeCell="H27" sqref="H27"/>
      <selection pane="topRight" activeCell="H27" sqref="H27"/>
      <selection pane="bottomLeft" activeCell="H27" sqref="H27"/>
      <selection pane="bottomRight" activeCell="B29" sqref="B29"/>
    </sheetView>
  </sheetViews>
  <sheetFormatPr baseColWidth="10" defaultColWidth="0" defaultRowHeight="12.75" zeroHeight="1"/>
  <cols>
    <col min="1" max="1" width="1.85546875" style="53" customWidth="1"/>
    <col min="2" max="2" width="39.140625" style="53" customWidth="1"/>
    <col min="3" max="23" width="11.42578125" style="66" customWidth="1"/>
    <col min="24" max="24" width="11.85546875" style="66" customWidth="1"/>
    <col min="25" max="98" width="11.42578125" style="66" customWidth="1"/>
    <col min="99" max="103" width="11.42578125" style="53" customWidth="1"/>
    <col min="104" max="114" width="11.42578125" style="53" hidden="1" customWidth="1"/>
    <col min="115" max="16384" width="11.42578125" style="53" hidden="1"/>
  </cols>
  <sheetData>
    <row r="1" spans="1:101" s="7" customFormat="1" ht="21" customHeight="1">
      <c r="A1" s="247" t="s">
        <v>10</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c r="BB1" s="247"/>
      <c r="BC1" s="247"/>
      <c r="BD1" s="247"/>
      <c r="BE1" s="247"/>
      <c r="BF1" s="247"/>
      <c r="BG1" s="247"/>
      <c r="BH1" s="54"/>
      <c r="BI1" s="54"/>
      <c r="BJ1" s="54"/>
      <c r="BK1" s="54"/>
      <c r="BL1" s="54"/>
      <c r="BM1" s="54"/>
    </row>
    <row r="2" spans="1:101" s="33" customFormat="1" ht="23.25" customHeight="1">
      <c r="A2" s="248" t="s">
        <v>22</v>
      </c>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c r="AO2" s="248"/>
      <c r="AP2" s="248"/>
      <c r="AQ2" s="248"/>
      <c r="AR2" s="248"/>
      <c r="AS2" s="248"/>
      <c r="AT2" s="248"/>
      <c r="AU2" s="248"/>
      <c r="AV2" s="248"/>
      <c r="AW2" s="248"/>
      <c r="AX2" s="248"/>
      <c r="AY2" s="248"/>
      <c r="AZ2" s="248"/>
      <c r="BA2" s="248"/>
      <c r="BB2" s="248"/>
      <c r="BC2" s="248"/>
      <c r="BD2" s="248"/>
      <c r="BE2" s="248"/>
      <c r="BF2" s="248"/>
      <c r="BG2" s="248"/>
      <c r="BH2" s="248"/>
      <c r="BI2" s="248"/>
      <c r="BJ2" s="248"/>
      <c r="BK2" s="248"/>
      <c r="BL2" s="248"/>
      <c r="BM2" s="248"/>
      <c r="BN2" s="248"/>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row>
    <row r="3" spans="1:101" s="7" customFormat="1" ht="23.25" customHeight="1">
      <c r="A3" s="249" t="s">
        <v>23</v>
      </c>
      <c r="B3" s="249"/>
      <c r="C3" s="249"/>
      <c r="D3" s="249"/>
      <c r="E3" s="249"/>
      <c r="F3" s="249"/>
      <c r="G3" s="249"/>
      <c r="H3" s="249"/>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49"/>
      <c r="AV3" s="249"/>
      <c r="AW3" s="249"/>
      <c r="AX3" s="249"/>
      <c r="AY3" s="249"/>
      <c r="AZ3" s="249"/>
      <c r="BA3" s="249"/>
      <c r="BB3" s="249"/>
      <c r="BC3" s="249"/>
      <c r="BD3" s="249"/>
      <c r="BE3" s="249"/>
      <c r="BF3" s="249"/>
      <c r="BG3" s="249"/>
      <c r="BH3" s="249"/>
      <c r="BI3" s="249"/>
      <c r="BJ3" s="249"/>
      <c r="BK3" s="249"/>
      <c r="BL3" s="249"/>
      <c r="BM3" s="249"/>
      <c r="BN3" s="249"/>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row>
    <row r="4" spans="1:101" s="37" customFormat="1" ht="16.5" customHeight="1">
      <c r="A4" s="250" t="s">
        <v>0</v>
      </c>
      <c r="B4" s="250"/>
      <c r="C4" s="35" t="s">
        <v>24</v>
      </c>
      <c r="D4" s="35" t="s">
        <v>25</v>
      </c>
      <c r="E4" s="35" t="s">
        <v>26</v>
      </c>
      <c r="F4" s="35" t="s">
        <v>27</v>
      </c>
      <c r="G4" s="35" t="s">
        <v>28</v>
      </c>
      <c r="H4" s="35" t="s">
        <v>29</v>
      </c>
      <c r="I4" s="35" t="s">
        <v>30</v>
      </c>
      <c r="J4" s="35" t="s">
        <v>31</v>
      </c>
      <c r="K4" s="35" t="s">
        <v>32</v>
      </c>
      <c r="L4" s="35" t="s">
        <v>33</v>
      </c>
      <c r="M4" s="35" t="s">
        <v>34</v>
      </c>
      <c r="N4" s="35" t="s">
        <v>35</v>
      </c>
      <c r="O4" s="35" t="s">
        <v>36</v>
      </c>
      <c r="P4" s="35" t="s">
        <v>37</v>
      </c>
      <c r="Q4" s="35" t="s">
        <v>38</v>
      </c>
      <c r="R4" s="35" t="s">
        <v>39</v>
      </c>
      <c r="S4" s="35" t="s">
        <v>40</v>
      </c>
      <c r="T4" s="35" t="s">
        <v>41</v>
      </c>
      <c r="U4" s="35" t="s">
        <v>42</v>
      </c>
      <c r="V4" s="35" t="s">
        <v>43</v>
      </c>
      <c r="W4" s="35" t="s">
        <v>44</v>
      </c>
      <c r="X4" s="36" t="s">
        <v>45</v>
      </c>
      <c r="Y4" s="36" t="s">
        <v>46</v>
      </c>
      <c r="Z4" s="36" t="s">
        <v>47</v>
      </c>
      <c r="AA4" s="36" t="s">
        <v>48</v>
      </c>
      <c r="AB4" s="36" t="s">
        <v>49</v>
      </c>
      <c r="AC4" s="36" t="s">
        <v>50</v>
      </c>
      <c r="AD4" s="36" t="s">
        <v>51</v>
      </c>
      <c r="AE4" s="36" t="s">
        <v>52</v>
      </c>
      <c r="AF4" s="36" t="s">
        <v>53</v>
      </c>
      <c r="AG4" s="36" t="s">
        <v>54</v>
      </c>
      <c r="AH4" s="36" t="s">
        <v>55</v>
      </c>
      <c r="AI4" s="36" t="s">
        <v>56</v>
      </c>
      <c r="AJ4" s="36" t="s">
        <v>57</v>
      </c>
      <c r="AK4" s="36" t="s">
        <v>58</v>
      </c>
      <c r="AL4" s="36" t="s">
        <v>59</v>
      </c>
      <c r="AM4" s="36" t="s">
        <v>60</v>
      </c>
      <c r="AN4" s="36" t="s">
        <v>61</v>
      </c>
      <c r="AO4" s="36" t="s">
        <v>62</v>
      </c>
      <c r="AP4" s="36" t="s">
        <v>63</v>
      </c>
      <c r="AQ4" s="36" t="s">
        <v>64</v>
      </c>
      <c r="AR4" s="36" t="s">
        <v>65</v>
      </c>
      <c r="AS4" s="36" t="s">
        <v>66</v>
      </c>
      <c r="AT4" s="36" t="s">
        <v>67</v>
      </c>
      <c r="AU4" s="36" t="s">
        <v>68</v>
      </c>
      <c r="AV4" s="36" t="s">
        <v>69</v>
      </c>
      <c r="AW4" s="36" t="s">
        <v>70</v>
      </c>
      <c r="AX4" s="36" t="s">
        <v>71</v>
      </c>
      <c r="AY4" s="36" t="s">
        <v>72</v>
      </c>
      <c r="AZ4" s="36" t="s">
        <v>73</v>
      </c>
      <c r="BA4" s="36" t="s">
        <v>74</v>
      </c>
      <c r="BB4" s="36" t="s">
        <v>75</v>
      </c>
      <c r="BC4" s="36" t="s">
        <v>76</v>
      </c>
      <c r="BD4" s="36" t="s">
        <v>77</v>
      </c>
      <c r="BE4" s="36" t="s">
        <v>78</v>
      </c>
      <c r="BF4" s="36" t="s">
        <v>79</v>
      </c>
      <c r="BG4" s="36" t="s">
        <v>80</v>
      </c>
      <c r="BH4" s="36" t="s">
        <v>81</v>
      </c>
      <c r="BI4" s="36" t="s">
        <v>82</v>
      </c>
      <c r="BJ4" s="36" t="s">
        <v>83</v>
      </c>
      <c r="BK4" s="36" t="s">
        <v>84</v>
      </c>
      <c r="BL4" s="36" t="s">
        <v>85</v>
      </c>
      <c r="BM4" s="36" t="s">
        <v>86</v>
      </c>
      <c r="BN4" s="36" t="s">
        <v>87</v>
      </c>
      <c r="BO4" s="36" t="s">
        <v>88</v>
      </c>
      <c r="BP4" s="36" t="s">
        <v>89</v>
      </c>
      <c r="BQ4" s="36" t="s">
        <v>90</v>
      </c>
      <c r="BR4" s="36" t="s">
        <v>91</v>
      </c>
      <c r="BS4" s="36" t="s">
        <v>92</v>
      </c>
      <c r="BT4" s="36" t="s">
        <v>93</v>
      </c>
      <c r="BU4" s="36" t="s">
        <v>94</v>
      </c>
      <c r="BV4" s="36" t="s">
        <v>95</v>
      </c>
      <c r="BW4" s="36" t="s">
        <v>96</v>
      </c>
      <c r="BX4" s="36" t="s">
        <v>97</v>
      </c>
      <c r="BY4" s="36" t="s">
        <v>98</v>
      </c>
      <c r="BZ4" s="36" t="s">
        <v>99</v>
      </c>
      <c r="CA4" s="36" t="s">
        <v>100</v>
      </c>
      <c r="CB4" s="36" t="s">
        <v>101</v>
      </c>
      <c r="CC4" s="36" t="s">
        <v>102</v>
      </c>
      <c r="CD4" s="36" t="s">
        <v>103</v>
      </c>
      <c r="CE4" s="36" t="s">
        <v>104</v>
      </c>
      <c r="CF4" s="36" t="s">
        <v>105</v>
      </c>
      <c r="CG4" s="36" t="s">
        <v>106</v>
      </c>
      <c r="CH4" s="36" t="s">
        <v>107</v>
      </c>
      <c r="CI4" s="36" t="s">
        <v>108</v>
      </c>
      <c r="CJ4" s="36" t="s">
        <v>109</v>
      </c>
      <c r="CK4" s="36" t="s">
        <v>110</v>
      </c>
      <c r="CL4" s="36" t="s">
        <v>111</v>
      </c>
      <c r="CM4" s="36" t="s">
        <v>112</v>
      </c>
      <c r="CN4" s="36" t="s">
        <v>113</v>
      </c>
      <c r="CO4" s="36" t="s">
        <v>114</v>
      </c>
      <c r="CP4" s="36" t="s">
        <v>115</v>
      </c>
      <c r="CQ4" s="36" t="s">
        <v>116</v>
      </c>
      <c r="CR4" s="36" t="s">
        <v>117</v>
      </c>
      <c r="CS4" s="36" t="s">
        <v>143</v>
      </c>
      <c r="CT4" s="36" t="s">
        <v>142</v>
      </c>
      <c r="CU4" s="36" t="s">
        <v>244</v>
      </c>
      <c r="CV4" s="36" t="s">
        <v>245</v>
      </c>
      <c r="CW4" s="36" t="s">
        <v>246</v>
      </c>
    </row>
    <row r="5" spans="1:101" s="39" customFormat="1" ht="21" customHeight="1">
      <c r="A5" s="38" t="s">
        <v>1</v>
      </c>
      <c r="B5" s="38"/>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c r="BN5" s="55"/>
      <c r="BO5" s="55"/>
      <c r="BP5" s="55"/>
      <c r="BQ5" s="55"/>
      <c r="BR5" s="55"/>
      <c r="BS5" s="55"/>
      <c r="BT5" s="55"/>
      <c r="BU5" s="55"/>
      <c r="BV5" s="55"/>
      <c r="BW5" s="55"/>
      <c r="BX5" s="55"/>
      <c r="BY5" s="55"/>
      <c r="BZ5" s="55"/>
      <c r="CA5" s="55"/>
      <c r="CB5" s="55"/>
      <c r="CC5" s="55"/>
      <c r="CD5" s="55"/>
      <c r="CE5" s="55"/>
      <c r="CF5" s="55"/>
      <c r="CG5" s="55"/>
      <c r="CH5" s="55"/>
      <c r="CI5" s="55"/>
      <c r="CJ5" s="55"/>
      <c r="CK5" s="55"/>
      <c r="CL5" s="55"/>
      <c r="CM5" s="55"/>
      <c r="CN5" s="55"/>
      <c r="CO5" s="55"/>
      <c r="CP5" s="55"/>
      <c r="CQ5" s="55"/>
      <c r="CR5" s="55"/>
      <c r="CS5" s="55"/>
      <c r="CT5" s="55"/>
      <c r="CU5" s="55"/>
      <c r="CV5" s="55"/>
      <c r="CW5" s="55"/>
    </row>
    <row r="6" spans="1:101" s="39" customFormat="1" ht="16.5" customHeight="1">
      <c r="A6" s="40"/>
      <c r="B6" s="40" t="s">
        <v>118</v>
      </c>
      <c r="C6" s="56">
        <v>97.676379293500531</v>
      </c>
      <c r="D6" s="56">
        <v>93.947391499928642</v>
      </c>
      <c r="E6" s="56">
        <v>91.428644346293723</v>
      </c>
      <c r="F6" s="56">
        <v>90.196069161875357</v>
      </c>
      <c r="G6" s="56">
        <v>90.425289984089588</v>
      </c>
      <c r="H6" s="56">
        <v>91.020380128513338</v>
      </c>
      <c r="I6" s="56">
        <v>91.655751261977642</v>
      </c>
      <c r="J6" s="56">
        <v>93.114782111551492</v>
      </c>
      <c r="K6" s="56">
        <v>95.195300595908506</v>
      </c>
      <c r="L6" s="56">
        <v>96.852383284452856</v>
      </c>
      <c r="M6" s="56">
        <v>98.016099091887781</v>
      </c>
      <c r="N6" s="56">
        <v>99.49791611840412</v>
      </c>
      <c r="O6" s="56">
        <v>101.68375705421408</v>
      </c>
      <c r="P6" s="56">
        <v>103.62808546783369</v>
      </c>
      <c r="Q6" s="56">
        <v>106.6498574911008</v>
      </c>
      <c r="R6" s="56">
        <v>109.08494020929793</v>
      </c>
      <c r="S6" s="56">
        <v>112.01571454759551</v>
      </c>
      <c r="T6" s="56">
        <v>113.68006489843418</v>
      </c>
      <c r="U6" s="56">
        <v>115.4906565972493</v>
      </c>
      <c r="V6" s="56">
        <v>116.67002978133327</v>
      </c>
      <c r="W6" s="56">
        <v>118.80348043140651</v>
      </c>
      <c r="X6" s="56">
        <v>120.36985724183383</v>
      </c>
      <c r="Y6" s="56">
        <v>122.02083934119646</v>
      </c>
      <c r="Z6" s="56">
        <v>123.5554128286919</v>
      </c>
      <c r="AA6" s="56">
        <v>125.60665760049223</v>
      </c>
      <c r="AB6" s="56">
        <v>126.73702150236824</v>
      </c>
      <c r="AC6" s="56">
        <v>128.68710933237591</v>
      </c>
      <c r="AD6" s="56">
        <v>129.69356667068953</v>
      </c>
      <c r="AE6" s="56">
        <v>128.92255195823236</v>
      </c>
      <c r="AF6" s="56">
        <v>127.1947267294119</v>
      </c>
      <c r="AG6" s="56">
        <v>126.11416394032948</v>
      </c>
      <c r="AH6" s="56">
        <v>126.0042072528109</v>
      </c>
      <c r="AI6" s="56">
        <v>126.70891539462934</v>
      </c>
      <c r="AJ6" s="56">
        <v>127.68420215741848</v>
      </c>
      <c r="AK6" s="56">
        <v>128.952502907145</v>
      </c>
      <c r="AL6" s="56">
        <v>129.98782065138982</v>
      </c>
      <c r="AM6" s="56">
        <v>131.28544432529327</v>
      </c>
      <c r="AN6" s="56">
        <v>132.38785225119804</v>
      </c>
      <c r="AO6" s="56">
        <v>133.26108598761206</v>
      </c>
      <c r="AP6" s="56">
        <v>134.49940765290293</v>
      </c>
      <c r="AQ6" s="56">
        <v>135.61150681368443</v>
      </c>
      <c r="AR6" s="56">
        <v>135.35605361644352</v>
      </c>
      <c r="AS6" s="56">
        <v>134.81653170657844</v>
      </c>
      <c r="AT6" s="56">
        <v>134.00661321756971</v>
      </c>
      <c r="AU6" s="56">
        <v>133.98071616503236</v>
      </c>
      <c r="AV6" s="56">
        <v>134.19041884657602</v>
      </c>
      <c r="AW6" s="56">
        <v>133.85562407709355</v>
      </c>
      <c r="AX6" s="56">
        <v>134.40425806238554</v>
      </c>
      <c r="AY6" s="56">
        <v>134.93823061177028</v>
      </c>
      <c r="AZ6" s="56">
        <v>134.90188606383404</v>
      </c>
      <c r="BA6" s="56">
        <v>134.54004929240239</v>
      </c>
      <c r="BB6" s="56">
        <v>134.3655793474054</v>
      </c>
      <c r="BC6" s="56">
        <v>134.43394814167596</v>
      </c>
      <c r="BD6" s="56">
        <v>134.59897101475943</v>
      </c>
      <c r="BE6" s="56">
        <v>134.41302912013032</v>
      </c>
      <c r="BF6" s="56">
        <v>135.10651743925109</v>
      </c>
      <c r="BG6" s="56">
        <v>135.33347314895818</v>
      </c>
      <c r="BH6" s="56">
        <v>135.28232602182916</v>
      </c>
      <c r="BI6" s="56">
        <v>134.53968062099287</v>
      </c>
      <c r="BJ6" s="56">
        <v>134.30152656537425</v>
      </c>
      <c r="BK6" s="56">
        <v>134.55003807351838</v>
      </c>
      <c r="BL6" s="56">
        <v>135.12052839276109</v>
      </c>
      <c r="BM6" s="56">
        <v>135.40213952413345</v>
      </c>
      <c r="BN6" s="56">
        <v>135.93973313526612</v>
      </c>
      <c r="BO6" s="56">
        <v>136.84932827164647</v>
      </c>
      <c r="BP6" s="56">
        <v>136.83699402798888</v>
      </c>
      <c r="BQ6" s="56">
        <v>136.18299908948225</v>
      </c>
      <c r="BR6" s="56">
        <v>135.20491364712208</v>
      </c>
      <c r="BS6" s="56">
        <v>134.12602766500228</v>
      </c>
      <c r="BT6" s="56">
        <v>133.60612568709627</v>
      </c>
      <c r="BU6" s="56">
        <v>132.50859942932973</v>
      </c>
      <c r="BV6" s="56">
        <v>131.70593792098236</v>
      </c>
      <c r="BW6" s="56">
        <v>130.59881421903586</v>
      </c>
      <c r="BX6" s="56">
        <v>129.87419673711159</v>
      </c>
      <c r="BY6" s="56">
        <v>128.27699967919267</v>
      </c>
      <c r="BZ6" s="56">
        <v>127.82846779942334</v>
      </c>
      <c r="CA6" s="56">
        <v>127.61364536920553</v>
      </c>
      <c r="CB6" s="56">
        <v>127.97434543289062</v>
      </c>
      <c r="CC6" s="56">
        <v>127.87503848995986</v>
      </c>
      <c r="CD6" s="56">
        <v>128.07709242611631</v>
      </c>
      <c r="CE6" s="56">
        <v>129.05892096652826</v>
      </c>
      <c r="CF6" s="56">
        <v>129.89435308865211</v>
      </c>
      <c r="CG6" s="56">
        <v>130.63868196528236</v>
      </c>
      <c r="CH6" s="56">
        <v>131.2870019395443</v>
      </c>
      <c r="CI6" s="56">
        <v>132.04770362464762</v>
      </c>
      <c r="CJ6" s="56">
        <v>132.65620341686272</v>
      </c>
      <c r="CK6" s="56">
        <v>133.30113282683337</v>
      </c>
      <c r="CL6" s="56">
        <v>134.02705892518406</v>
      </c>
      <c r="CM6" s="56">
        <v>133.8469510847589</v>
      </c>
      <c r="CN6" s="56">
        <v>132.70721678135342</v>
      </c>
      <c r="CO6" s="56">
        <v>131.18681999657611</v>
      </c>
      <c r="CP6" s="56">
        <v>131.01990990359255</v>
      </c>
      <c r="CQ6" s="56">
        <v>131.68095044254429</v>
      </c>
      <c r="CR6" s="56">
        <v>131.64234579341101</v>
      </c>
      <c r="CS6" s="56">
        <v>131.04103647382726</v>
      </c>
      <c r="CT6" s="56">
        <v>130.47827632293013</v>
      </c>
      <c r="CU6" s="56">
        <v>130.30655981704004</v>
      </c>
      <c r="CV6" s="56">
        <v>129.87416435551373</v>
      </c>
      <c r="CW6" s="56">
        <v>129.47556260444765</v>
      </c>
    </row>
    <row r="7" spans="1:101" s="39" customFormat="1" ht="16.5" customHeight="1">
      <c r="A7" s="38" t="s">
        <v>4</v>
      </c>
      <c r="B7" s="38"/>
      <c r="C7" s="57"/>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57"/>
      <c r="BT7" s="57"/>
      <c r="BU7" s="57"/>
      <c r="BV7" s="57"/>
      <c r="BW7" s="57"/>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row>
    <row r="8" spans="1:101" s="39" customFormat="1" ht="16.5" customHeight="1">
      <c r="B8" s="39" t="s">
        <v>119</v>
      </c>
      <c r="C8" s="58" t="s">
        <v>8</v>
      </c>
      <c r="D8" s="58">
        <v>-3.8176965818592978</v>
      </c>
      <c r="E8" s="58">
        <v>-2.6810187206068758</v>
      </c>
      <c r="F8" s="58">
        <v>-1.3481280327748091</v>
      </c>
      <c r="G8" s="58">
        <v>0.25413615509435328</v>
      </c>
      <c r="H8" s="58">
        <v>0.65810144985816166</v>
      </c>
      <c r="I8" s="58">
        <v>0.69805370244246934</v>
      </c>
      <c r="J8" s="58">
        <v>1.5918595718052986</v>
      </c>
      <c r="K8" s="58">
        <v>2.2343589676927511</v>
      </c>
      <c r="L8" s="58">
        <v>1.7407190041643483</v>
      </c>
      <c r="M8" s="58">
        <v>1.2015355409656037</v>
      </c>
      <c r="N8" s="58">
        <v>1.5118098355731968</v>
      </c>
      <c r="O8" s="58">
        <v>2.1968710713587081</v>
      </c>
      <c r="P8" s="58">
        <v>1.9121327436622426</v>
      </c>
      <c r="Q8" s="58">
        <v>2.9159778544833648</v>
      </c>
      <c r="R8" s="58">
        <v>2.2832498565694914</v>
      </c>
      <c r="S8" s="58">
        <v>2.6866901450139702</v>
      </c>
      <c r="T8" s="58">
        <v>1.4858186260388484</v>
      </c>
      <c r="U8" s="58">
        <v>1.5927081854085534</v>
      </c>
      <c r="V8" s="58">
        <v>1.0211849329048395</v>
      </c>
      <c r="W8" s="58">
        <v>1.8286192727231088</v>
      </c>
      <c r="X8" s="58">
        <v>1.3184603723219057</v>
      </c>
      <c r="Y8" s="58">
        <v>1.3715909756756295</v>
      </c>
      <c r="Z8" s="58">
        <v>1.2576322993521183</v>
      </c>
      <c r="AA8" s="58">
        <v>1.660182038843061</v>
      </c>
      <c r="AB8" s="58">
        <v>0.89992355777133159</v>
      </c>
      <c r="AC8" s="58">
        <v>1.5386883855174283</v>
      </c>
      <c r="AD8" s="58">
        <v>0.78209646912972275</v>
      </c>
      <c r="AE8" s="58">
        <v>-0.59448955892692501</v>
      </c>
      <c r="AF8" s="58">
        <v>-1.3402040237151303</v>
      </c>
      <c r="AG8" s="58">
        <v>-0.8495342667633965</v>
      </c>
      <c r="AH8" s="58">
        <v>-8.7188214299704914E-2</v>
      </c>
      <c r="AI8" s="58">
        <v>0.55927350140343446</v>
      </c>
      <c r="AJ8" s="58">
        <v>0.76970650388068496</v>
      </c>
      <c r="AK8" s="58">
        <v>0.99331062754566268</v>
      </c>
      <c r="AL8" s="58">
        <v>0.80286750617808433</v>
      </c>
      <c r="AM8" s="58">
        <v>0.99826558165283519</v>
      </c>
      <c r="AN8" s="58">
        <v>0.83970308480905143</v>
      </c>
      <c r="AO8" s="58">
        <v>0.65960261577255874</v>
      </c>
      <c r="AP8" s="58">
        <v>0.92924476497662223</v>
      </c>
      <c r="AQ8" s="58">
        <v>0.82684316621783882</v>
      </c>
      <c r="AR8" s="58">
        <v>-0.18837132868958495</v>
      </c>
      <c r="AS8" s="58">
        <v>-0.39859459215167981</v>
      </c>
      <c r="AT8" s="58">
        <v>-0.60075606363431122</v>
      </c>
      <c r="AU8" s="58">
        <v>-1.9325204865294765E-2</v>
      </c>
      <c r="AV8" s="58">
        <v>0.15651706271322396</v>
      </c>
      <c r="AW8" s="58">
        <v>-0.24949230530776356</v>
      </c>
      <c r="AX8" s="58">
        <v>0.40986995434424411</v>
      </c>
      <c r="AY8" s="58">
        <v>0.39728841711019758</v>
      </c>
      <c r="AZ8" s="58">
        <v>-2.6934211136064867E-2</v>
      </c>
      <c r="BA8" s="58">
        <v>-0.26822217389935732</v>
      </c>
      <c r="BB8" s="58">
        <v>-0.12967881750793886</v>
      </c>
      <c r="BC8" s="58">
        <v>5.0882669953589144E-2</v>
      </c>
      <c r="BD8" s="58">
        <v>0.12275386936457799</v>
      </c>
      <c r="BE8" s="58">
        <v>-0.13814510856009488</v>
      </c>
      <c r="BF8" s="58">
        <v>0.51593831614415997</v>
      </c>
      <c r="BG8" s="58">
        <v>0.16798279906009572</v>
      </c>
      <c r="BH8" s="58">
        <v>-3.7793404646258022E-2</v>
      </c>
      <c r="BI8" s="58">
        <v>-0.54895966285829489</v>
      </c>
      <c r="BJ8" s="58">
        <v>-0.17701398912155497</v>
      </c>
      <c r="BK8" s="58">
        <v>0.18503997273862094</v>
      </c>
      <c r="BL8" s="58">
        <v>0.4239986308521182</v>
      </c>
      <c r="BM8" s="58">
        <v>0.20841476474529053</v>
      </c>
      <c r="BN8" s="58">
        <v>0.39703479798918195</v>
      </c>
      <c r="BO8" s="58">
        <v>0.66911646462868291</v>
      </c>
      <c r="BP8" s="58">
        <v>-9.0130100113494649E-3</v>
      </c>
      <c r="BQ8" s="58">
        <v>-0.47793722973252795</v>
      </c>
      <c r="BR8" s="58">
        <v>-0.71821405674690197</v>
      </c>
      <c r="BS8" s="58">
        <v>-0.79796358950062762</v>
      </c>
      <c r="BT8" s="58">
        <v>-0.38762199027062572</v>
      </c>
      <c r="BU8" s="58">
        <v>-0.82146402503798788</v>
      </c>
      <c r="BV8" s="58">
        <v>-0.60574295691311342</v>
      </c>
      <c r="BW8" s="58">
        <v>-0.84060272408578163</v>
      </c>
      <c r="BX8" s="58">
        <v>-0.55484231327626032</v>
      </c>
      <c r="BY8" s="58">
        <v>-1.2298032234624112</v>
      </c>
      <c r="BZ8" s="58">
        <v>-0.34965884834464722</v>
      </c>
      <c r="CA8" s="58">
        <v>-0.16805523363926378</v>
      </c>
      <c r="CB8" s="58">
        <v>0.28265007448187163</v>
      </c>
      <c r="CC8" s="58">
        <v>-7.7599102065994963E-2</v>
      </c>
      <c r="CD8" s="58">
        <v>0.15800889567068044</v>
      </c>
      <c r="CE8" s="58">
        <v>0.76659184075273945</v>
      </c>
      <c r="CF8" s="58">
        <v>0.6473261327982982</v>
      </c>
      <c r="CG8" s="58">
        <v>0.57302635482718856</v>
      </c>
      <c r="CH8" s="58">
        <v>0.49626953097570148</v>
      </c>
      <c r="CI8" s="58">
        <v>0.57941888676353859</v>
      </c>
      <c r="CJ8" s="58">
        <v>0.46081815549385841</v>
      </c>
      <c r="CK8" s="58">
        <v>0.48616603924960256</v>
      </c>
      <c r="CL8" s="58">
        <v>0.54457609095770465</v>
      </c>
      <c r="CM8" s="58">
        <v>-0.13438170013542194</v>
      </c>
      <c r="CN8" s="58">
        <v>-0.85152055700076223</v>
      </c>
      <c r="CO8" s="58">
        <v>-1.1456775461445301</v>
      </c>
      <c r="CP8" s="58">
        <v>-0.12723083994864437</v>
      </c>
      <c r="CQ8" s="58">
        <v>0.5045344172791344</v>
      </c>
      <c r="CR8" s="58">
        <v>-2.931680626813149E-2</v>
      </c>
      <c r="CS8" s="58">
        <v>-0.45677499588726578</v>
      </c>
      <c r="CT8" s="58">
        <v>-0.4294533728062655</v>
      </c>
      <c r="CU8" s="58">
        <v>-0.13160543711130401</v>
      </c>
      <c r="CV8" s="58">
        <v>-0.33182938919839033</v>
      </c>
      <c r="CW8" s="58">
        <v>-0.30691381387830674</v>
      </c>
    </row>
    <row r="9" spans="1:101" s="39" customFormat="1" ht="16.5" customHeight="1">
      <c r="B9" s="39" t="s">
        <v>6</v>
      </c>
      <c r="C9" s="58" t="s">
        <v>8</v>
      </c>
      <c r="D9" s="58" t="s">
        <v>8</v>
      </c>
      <c r="E9" s="58" t="s">
        <v>8</v>
      </c>
      <c r="F9" s="58" t="s">
        <v>8</v>
      </c>
      <c r="G9" s="58">
        <v>-7.4235852740023089</v>
      </c>
      <c r="H9" s="58">
        <v>-3.115585568352397</v>
      </c>
      <c r="I9" s="58">
        <v>0.24839799092255532</v>
      </c>
      <c r="J9" s="58">
        <v>3.235964689811377</v>
      </c>
      <c r="K9" s="58">
        <v>5.2750846722838363</v>
      </c>
      <c r="L9" s="58">
        <v>6.4073597008771133</v>
      </c>
      <c r="M9" s="58">
        <v>6.9393875914349312</v>
      </c>
      <c r="N9" s="58">
        <v>6.8551242478402941</v>
      </c>
      <c r="O9" s="58">
        <v>6.815941982102891</v>
      </c>
      <c r="P9" s="58">
        <v>6.995906505966687</v>
      </c>
      <c r="Q9" s="58">
        <v>8.8085105193985278</v>
      </c>
      <c r="R9" s="58">
        <v>9.6354018907140571</v>
      </c>
      <c r="S9" s="58">
        <v>10.160873076191312</v>
      </c>
      <c r="T9" s="58">
        <v>9.7000532097262884</v>
      </c>
      <c r="U9" s="58">
        <v>8.2895554800775919</v>
      </c>
      <c r="V9" s="58">
        <v>6.9533792267585826</v>
      </c>
      <c r="W9" s="58">
        <v>6.0596550325328513</v>
      </c>
      <c r="X9" s="58">
        <v>5.8847541557761618</v>
      </c>
      <c r="Y9" s="58">
        <v>5.6542952792448586</v>
      </c>
      <c r="Z9" s="58">
        <v>5.9015867744813599</v>
      </c>
      <c r="AA9" s="58">
        <v>5.7264123444713988</v>
      </c>
      <c r="AB9" s="58">
        <v>5.2896667042997336</v>
      </c>
      <c r="AC9" s="58">
        <v>5.4632225340944585</v>
      </c>
      <c r="AD9" s="58">
        <v>4.9679360065820077</v>
      </c>
      <c r="AE9" s="58">
        <v>2.6399033467531252</v>
      </c>
      <c r="AF9" s="58">
        <v>0.36114563970173208</v>
      </c>
      <c r="AG9" s="58">
        <v>-1.9993808279592185</v>
      </c>
      <c r="AH9" s="58">
        <v>-2.8446741905451933</v>
      </c>
      <c r="AI9" s="58">
        <v>-1.7170281924920205</v>
      </c>
      <c r="AJ9" s="58">
        <v>0.38482367987462407</v>
      </c>
      <c r="AK9" s="58">
        <v>2.2506107784677321</v>
      </c>
      <c r="AL9" s="58">
        <v>3.1614923703192854</v>
      </c>
      <c r="AM9" s="58">
        <v>3.6118444518371318</v>
      </c>
      <c r="AN9" s="58">
        <v>3.683815236579191</v>
      </c>
      <c r="AO9" s="58">
        <v>3.3412171019042258</v>
      </c>
      <c r="AP9" s="58">
        <v>3.4707767073136608</v>
      </c>
      <c r="AQ9" s="58">
        <v>3.295157746255728</v>
      </c>
      <c r="AR9" s="58">
        <v>2.2420496403351864</v>
      </c>
      <c r="AS9" s="58">
        <v>1.1672167515661469</v>
      </c>
      <c r="AT9" s="58">
        <v>-0.36639152835896693</v>
      </c>
      <c r="AU9" s="58">
        <v>-1.2025459247293813</v>
      </c>
      <c r="AV9" s="58">
        <v>-0.86116190500835632</v>
      </c>
      <c r="AW9" s="58">
        <v>-0.71275207670841167</v>
      </c>
      <c r="AX9" s="58">
        <v>0.29673523960360715</v>
      </c>
      <c r="AY9" s="58">
        <v>0.71466586695840828</v>
      </c>
      <c r="AZ9" s="58">
        <v>0.53019226214017223</v>
      </c>
      <c r="BA9" s="58">
        <v>0.51131599439904196</v>
      </c>
      <c r="BB9" s="58">
        <v>-2.877789404721609E-2</v>
      </c>
      <c r="BC9" s="58">
        <v>-0.3737135634638622</v>
      </c>
      <c r="BD9" s="58">
        <v>-0.22454471016905009</v>
      </c>
      <c r="BE9" s="58">
        <v>-9.4410677668188558E-2</v>
      </c>
      <c r="BF9" s="58">
        <v>0.55143444879584003</v>
      </c>
      <c r="BG9" s="58">
        <v>0.66912042658617832</v>
      </c>
      <c r="BH9" s="58">
        <v>0.50769705140969457</v>
      </c>
      <c r="BI9" s="58">
        <v>9.4225613165344058E-2</v>
      </c>
      <c r="BJ9" s="58">
        <v>-0.59581942391402354</v>
      </c>
      <c r="BK9" s="58">
        <v>-0.57889231482110004</v>
      </c>
      <c r="BL9" s="58">
        <v>-0.11959997571446834</v>
      </c>
      <c r="BM9" s="58">
        <v>0.6410442623022039</v>
      </c>
      <c r="BN9" s="58">
        <v>1.2197974302953662</v>
      </c>
      <c r="BO9" s="58">
        <v>1.7088736882198141</v>
      </c>
      <c r="BP9" s="58">
        <v>1.2703218790252713</v>
      </c>
      <c r="BQ9" s="58">
        <v>0.57669662244119735</v>
      </c>
      <c r="BR9" s="58">
        <v>-0.54054798490215106</v>
      </c>
      <c r="BS9" s="58">
        <v>-1.9899992502984243</v>
      </c>
      <c r="BT9" s="58">
        <v>-2.3611073627002988</v>
      </c>
      <c r="BU9" s="58">
        <v>-2.6981338968296353</v>
      </c>
      <c r="BV9" s="58">
        <v>-2.5879057437748654</v>
      </c>
      <c r="BW9" s="58">
        <v>-2.6297755233429476</v>
      </c>
      <c r="BX9" s="58">
        <v>-2.7932319201627087</v>
      </c>
      <c r="BY9" s="58">
        <v>-3.1934529293654479</v>
      </c>
      <c r="BZ9" s="58">
        <v>-2.9440359202979383</v>
      </c>
      <c r="CA9" s="58">
        <v>-2.2857549417131029</v>
      </c>
      <c r="CB9" s="58">
        <v>-1.4628396956068213</v>
      </c>
      <c r="CC9" s="58">
        <v>-0.31335406209848093</v>
      </c>
      <c r="CD9" s="58">
        <v>0.19449863631557651</v>
      </c>
      <c r="CE9" s="58">
        <v>1.1325400141507957</v>
      </c>
      <c r="CF9" s="58">
        <v>1.5003066819891275</v>
      </c>
      <c r="CG9" s="58">
        <v>2.1612063683089211</v>
      </c>
      <c r="CH9" s="58">
        <v>2.5062323422743837</v>
      </c>
      <c r="CI9" s="58">
        <v>2.3158280231511563</v>
      </c>
      <c r="CJ9" s="58">
        <v>2.1262281712320918</v>
      </c>
      <c r="CK9" s="58">
        <v>2.0380264263983872</v>
      </c>
      <c r="CL9" s="58">
        <v>2.0870740782865438</v>
      </c>
      <c r="CM9" s="58">
        <v>1.3625738356084716</v>
      </c>
      <c r="CN9" s="58">
        <v>3.8455317713559367E-2</v>
      </c>
      <c r="CO9" s="58">
        <v>-1.5861176761369999</v>
      </c>
      <c r="CP9" s="58">
        <v>-2.2436879878638183</v>
      </c>
      <c r="CQ9" s="58">
        <v>-1.6182667028724396</v>
      </c>
      <c r="CR9" s="58">
        <v>-0.80242131043776199</v>
      </c>
      <c r="CS9" s="58">
        <v>-0.11112665338838257</v>
      </c>
      <c r="CT9" s="58">
        <v>-0.41339791872927467</v>
      </c>
      <c r="CU9" s="58">
        <v>-1.0437277532439504</v>
      </c>
      <c r="CV9" s="58">
        <v>-1.3431707155022288</v>
      </c>
      <c r="CW9" s="58">
        <v>-1.1946439920690666</v>
      </c>
    </row>
    <row r="10" spans="1:101" s="39" customFormat="1" ht="21" customHeight="1">
      <c r="A10" s="41" t="s">
        <v>120</v>
      </c>
      <c r="B10" s="42"/>
      <c r="C10" s="59"/>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59"/>
      <c r="CW10" s="59"/>
    </row>
    <row r="11" spans="1:101" s="37" customFormat="1" ht="16.5" customHeight="1" thickBot="1">
      <c r="A11" s="43" t="s">
        <v>121</v>
      </c>
      <c r="B11" s="44"/>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X11" s="60"/>
      <c r="BY11" s="60"/>
      <c r="BZ11" s="60"/>
      <c r="CA11" s="60"/>
      <c r="CB11" s="60"/>
      <c r="CC11" s="60"/>
      <c r="CD11" s="60"/>
      <c r="CE11" s="60"/>
      <c r="CF11" s="60"/>
      <c r="CG11" s="60"/>
      <c r="CH11" s="60"/>
      <c r="CI11" s="60"/>
      <c r="CJ11" s="60"/>
      <c r="CK11" s="60"/>
      <c r="CL11" s="60"/>
      <c r="CM11" s="60"/>
      <c r="CN11" s="60"/>
      <c r="CO11" s="60"/>
      <c r="CP11" s="60"/>
      <c r="CQ11" s="60"/>
      <c r="CR11" s="60"/>
      <c r="CS11" s="60"/>
      <c r="CT11" s="60"/>
      <c r="CU11" s="60"/>
      <c r="CV11" s="60"/>
      <c r="CW11" s="60"/>
    </row>
    <row r="12" spans="1:101" s="37" customFormat="1" ht="16.5" customHeight="1">
      <c r="A12" s="45"/>
      <c r="B12" s="46" t="s">
        <v>122</v>
      </c>
      <c r="C12" s="61">
        <v>96.671560252203392</v>
      </c>
      <c r="D12" s="61">
        <v>93.378651342755234</v>
      </c>
      <c r="E12" s="61">
        <v>91.320126475760162</v>
      </c>
      <c r="F12" s="61">
        <v>91.052464247290047</v>
      </c>
      <c r="G12" s="61">
        <v>91.82796409826102</v>
      </c>
      <c r="H12" s="61">
        <v>93.134225940249976</v>
      </c>
      <c r="I12" s="61">
        <v>94.620296959759045</v>
      </c>
      <c r="J12" s="61">
        <v>96.470580019697408</v>
      </c>
      <c r="K12" s="61">
        <v>99.921463186361237</v>
      </c>
      <c r="L12" s="61">
        <v>102.8421491069533</v>
      </c>
      <c r="M12" s="61">
        <v>104.60349131338194</v>
      </c>
      <c r="N12" s="61">
        <v>106.12908303996441</v>
      </c>
      <c r="O12" s="61">
        <v>108.80502406976909</v>
      </c>
      <c r="P12" s="61">
        <v>111.10379053710783</v>
      </c>
      <c r="Q12" s="61">
        <v>112.87006683645065</v>
      </c>
      <c r="R12" s="61">
        <v>115.22236102167194</v>
      </c>
      <c r="S12" s="61">
        <v>118.79049376469136</v>
      </c>
      <c r="T12" s="61">
        <v>120.24754130621791</v>
      </c>
      <c r="U12" s="61">
        <v>121.40249586357726</v>
      </c>
      <c r="V12" s="61">
        <v>122.72207200969162</v>
      </c>
      <c r="W12" s="61">
        <v>124.47548274575372</v>
      </c>
      <c r="X12" s="61">
        <v>125.79602548441478</v>
      </c>
      <c r="Y12" s="61">
        <v>127.54946818613791</v>
      </c>
      <c r="Z12" s="61">
        <v>129.43896009242712</v>
      </c>
      <c r="AA12" s="61">
        <v>132.35316338363779</v>
      </c>
      <c r="AB12" s="61">
        <v>133.05035881708307</v>
      </c>
      <c r="AC12" s="61">
        <v>134.08960751501036</v>
      </c>
      <c r="AD12" s="61">
        <v>135.07206274282134</v>
      </c>
      <c r="AE12" s="61">
        <v>134.4822338933898</v>
      </c>
      <c r="AF12" s="61">
        <v>132.7964659383824</v>
      </c>
      <c r="AG12" s="61">
        <v>131.31834570212348</v>
      </c>
      <c r="AH12" s="61">
        <v>131.56588199244098</v>
      </c>
      <c r="AI12" s="61">
        <v>132.98783523755938</v>
      </c>
      <c r="AJ12" s="61">
        <v>133.74178399437915</v>
      </c>
      <c r="AK12" s="61">
        <v>135.21947613441333</v>
      </c>
      <c r="AL12" s="61">
        <v>136.18166796845557</v>
      </c>
      <c r="AM12" s="61">
        <v>138.17701652407644</v>
      </c>
      <c r="AN12" s="61">
        <v>138.38841406149643</v>
      </c>
      <c r="AO12" s="61">
        <v>138.27001935993567</v>
      </c>
      <c r="AP12" s="61">
        <v>139.84971800338022</v>
      </c>
      <c r="AQ12" s="61">
        <v>141.5445930313353</v>
      </c>
      <c r="AR12" s="61">
        <v>141.14926408034975</v>
      </c>
      <c r="AS12" s="61">
        <v>140.34432424567885</v>
      </c>
      <c r="AT12" s="61">
        <v>140.20441607210009</v>
      </c>
      <c r="AU12" s="61">
        <v>141.80998143096573</v>
      </c>
      <c r="AV12" s="61">
        <v>141.79219051991865</v>
      </c>
      <c r="AW12" s="61">
        <v>140.32252093788961</v>
      </c>
      <c r="AX12" s="61">
        <v>141.9732097240144</v>
      </c>
      <c r="AY12" s="61">
        <v>142.90508787759097</v>
      </c>
      <c r="AZ12" s="61">
        <v>142.45554730208593</v>
      </c>
      <c r="BA12" s="61">
        <v>140.90583333270385</v>
      </c>
      <c r="BB12" s="61">
        <v>140.4580523871573</v>
      </c>
      <c r="BC12" s="61">
        <v>141.05434706802578</v>
      </c>
      <c r="BD12" s="61">
        <v>141.41747307526268</v>
      </c>
      <c r="BE12" s="61">
        <v>141.53027916244977</v>
      </c>
      <c r="BF12" s="61">
        <v>142.31395065584545</v>
      </c>
      <c r="BG12" s="61">
        <v>142.61315556618038</v>
      </c>
      <c r="BH12" s="61">
        <v>141.58377974571241</v>
      </c>
      <c r="BI12" s="61">
        <v>139.16907550920939</v>
      </c>
      <c r="BJ12" s="61">
        <v>137.3619219109919</v>
      </c>
      <c r="BK12" s="61">
        <v>136.29690247225605</v>
      </c>
      <c r="BL12" s="61">
        <v>135.16733356049338</v>
      </c>
      <c r="BM12" s="61">
        <v>133.81391026899516</v>
      </c>
      <c r="BN12" s="61">
        <v>133.18683291240629</v>
      </c>
      <c r="BO12" s="61">
        <v>133.71225311802451</v>
      </c>
      <c r="BP12" s="61">
        <v>133.74269953029113</v>
      </c>
      <c r="BQ12" s="61">
        <v>132.51754208739806</v>
      </c>
      <c r="BR12" s="61">
        <v>131.22076302102258</v>
      </c>
      <c r="BS12" s="61">
        <v>129.69323481868824</v>
      </c>
      <c r="BT12" s="61">
        <v>128.08217218133481</v>
      </c>
      <c r="BU12" s="61">
        <v>126.46759104804967</v>
      </c>
      <c r="BV12" s="61">
        <v>125.70806139887976</v>
      </c>
      <c r="BW12" s="61">
        <v>124.04341739528464</v>
      </c>
      <c r="BX12" s="61">
        <v>123.8434538864343</v>
      </c>
      <c r="BY12" s="61">
        <v>122.64741987897965</v>
      </c>
      <c r="BZ12" s="61">
        <v>122.52966089152504</v>
      </c>
      <c r="CA12" s="61">
        <v>122.95123727671155</v>
      </c>
      <c r="CB12" s="61">
        <v>123.04923312186645</v>
      </c>
      <c r="CC12" s="61">
        <v>123.26011551177307</v>
      </c>
      <c r="CD12" s="61">
        <v>123.68775656434275</v>
      </c>
      <c r="CE12" s="61">
        <v>124.37290575782913</v>
      </c>
      <c r="CF12" s="61">
        <v>125.36636522057324</v>
      </c>
      <c r="CG12" s="61">
        <v>126.22161705723317</v>
      </c>
      <c r="CH12" s="61">
        <v>126.87659318120375</v>
      </c>
      <c r="CI12" s="61">
        <v>127.33419128934345</v>
      </c>
      <c r="CJ12" s="61">
        <v>127.83733179055157</v>
      </c>
      <c r="CK12" s="61">
        <v>128.75375579636614</v>
      </c>
      <c r="CL12" s="61">
        <v>129.48238415390796</v>
      </c>
      <c r="CM12" s="61">
        <v>129.34252899491517</v>
      </c>
      <c r="CN12" s="61">
        <v>128.60153623556798</v>
      </c>
      <c r="CO12" s="61">
        <v>126.94838491473179</v>
      </c>
      <c r="CP12" s="61">
        <v>126.2491562785399</v>
      </c>
      <c r="CQ12" s="61">
        <v>126.98583506705013</v>
      </c>
      <c r="CR12" s="61">
        <v>127.85015102774037</v>
      </c>
      <c r="CS12" s="61">
        <v>127.82219206534506</v>
      </c>
      <c r="CT12" s="61">
        <v>126.93118485209477</v>
      </c>
      <c r="CU12" s="61">
        <v>126.36569425778255</v>
      </c>
      <c r="CV12" s="61">
        <v>125.28124404471886</v>
      </c>
      <c r="CW12" s="61">
        <v>124.82825634404212</v>
      </c>
    </row>
    <row r="13" spans="1:101" s="37" customFormat="1" ht="16.5" customHeight="1">
      <c r="A13" s="45"/>
      <c r="B13" s="46" t="s">
        <v>123</v>
      </c>
      <c r="C13" s="61" t="s">
        <v>124</v>
      </c>
      <c r="D13" s="61" t="s">
        <v>124</v>
      </c>
      <c r="E13" s="61" t="s">
        <v>124</v>
      </c>
      <c r="F13" s="61" t="s">
        <v>124</v>
      </c>
      <c r="G13" s="61" t="s">
        <v>124</v>
      </c>
      <c r="H13" s="61" t="s">
        <v>124</v>
      </c>
      <c r="I13" s="61" t="s">
        <v>124</v>
      </c>
      <c r="J13" s="61" t="s">
        <v>124</v>
      </c>
      <c r="K13" s="61" t="s">
        <v>124</v>
      </c>
      <c r="L13" s="61" t="s">
        <v>124</v>
      </c>
      <c r="M13" s="61" t="s">
        <v>124</v>
      </c>
      <c r="N13" s="61" t="s">
        <v>124</v>
      </c>
      <c r="O13" s="61" t="s">
        <v>124</v>
      </c>
      <c r="P13" s="61" t="s">
        <v>124</v>
      </c>
      <c r="Q13" s="61" t="s">
        <v>124</v>
      </c>
      <c r="R13" s="61" t="s">
        <v>124</v>
      </c>
      <c r="S13" s="61" t="s">
        <v>124</v>
      </c>
      <c r="T13" s="61" t="s">
        <v>124</v>
      </c>
      <c r="U13" s="61" t="s">
        <v>124</v>
      </c>
      <c r="V13" s="61" t="s">
        <v>124</v>
      </c>
      <c r="W13" s="61" t="s">
        <v>124</v>
      </c>
      <c r="X13" s="61" t="s">
        <v>124</v>
      </c>
      <c r="Y13" s="61" t="s">
        <v>124</v>
      </c>
      <c r="Z13" s="61" t="s">
        <v>124</v>
      </c>
      <c r="AA13" s="61" t="s">
        <v>124</v>
      </c>
      <c r="AB13" s="61" t="s">
        <v>124</v>
      </c>
      <c r="AC13" s="61" t="s">
        <v>124</v>
      </c>
      <c r="AD13" s="61" t="s">
        <v>124</v>
      </c>
      <c r="AE13" s="61" t="s">
        <v>124</v>
      </c>
      <c r="AF13" s="61" t="s">
        <v>124</v>
      </c>
      <c r="AG13" s="61" t="s">
        <v>124</v>
      </c>
      <c r="AH13" s="61" t="s">
        <v>124</v>
      </c>
      <c r="AI13" s="61" t="s">
        <v>124</v>
      </c>
      <c r="AJ13" s="61" t="s">
        <v>124</v>
      </c>
      <c r="AK13" s="61" t="s">
        <v>124</v>
      </c>
      <c r="AL13" s="61" t="s">
        <v>124</v>
      </c>
      <c r="AM13" s="61" t="s">
        <v>124</v>
      </c>
      <c r="AN13" s="61" t="s">
        <v>124</v>
      </c>
      <c r="AO13" s="61" t="s">
        <v>124</v>
      </c>
      <c r="AP13" s="61" t="s">
        <v>124</v>
      </c>
      <c r="AQ13" s="61" t="s">
        <v>124</v>
      </c>
      <c r="AR13" s="61" t="s">
        <v>124</v>
      </c>
      <c r="AS13" s="61" t="s">
        <v>124</v>
      </c>
      <c r="AT13" s="61" t="s">
        <v>124</v>
      </c>
      <c r="AU13" s="61" t="s">
        <v>124</v>
      </c>
      <c r="AV13" s="61" t="s">
        <v>124</v>
      </c>
      <c r="AW13" s="61" t="s">
        <v>124</v>
      </c>
      <c r="AX13" s="61" t="s">
        <v>124</v>
      </c>
      <c r="AY13" s="61" t="s">
        <v>124</v>
      </c>
      <c r="AZ13" s="61" t="s">
        <v>124</v>
      </c>
      <c r="BA13" s="61" t="s">
        <v>124</v>
      </c>
      <c r="BB13" s="61" t="s">
        <v>124</v>
      </c>
      <c r="BC13" s="61" t="s">
        <v>124</v>
      </c>
      <c r="BD13" s="61" t="s">
        <v>124</v>
      </c>
      <c r="BE13" s="61" t="s">
        <v>124</v>
      </c>
      <c r="BF13" s="61" t="s">
        <v>124</v>
      </c>
      <c r="BG13" s="61" t="s">
        <v>124</v>
      </c>
      <c r="BH13" s="61" t="s">
        <v>124</v>
      </c>
      <c r="BI13" s="61" t="s">
        <v>124</v>
      </c>
      <c r="BJ13" s="61" t="s">
        <v>124</v>
      </c>
      <c r="BK13" s="61" t="s">
        <v>124</v>
      </c>
      <c r="BL13" s="61" t="s">
        <v>124</v>
      </c>
      <c r="BM13" s="61" t="s">
        <v>124</v>
      </c>
      <c r="BN13" s="61" t="s">
        <v>124</v>
      </c>
      <c r="BO13" s="61" t="s">
        <v>124</v>
      </c>
      <c r="BP13" s="61" t="s">
        <v>124</v>
      </c>
      <c r="BQ13" s="61" t="s">
        <v>124</v>
      </c>
      <c r="BR13" s="61" t="s">
        <v>124</v>
      </c>
      <c r="BS13" s="61" t="s">
        <v>124</v>
      </c>
      <c r="BT13" s="61" t="s">
        <v>124</v>
      </c>
      <c r="BU13" s="61" t="s">
        <v>124</v>
      </c>
      <c r="BV13" s="61" t="s">
        <v>124</v>
      </c>
      <c r="BW13" s="61" t="s">
        <v>124</v>
      </c>
      <c r="BX13" s="61" t="s">
        <v>124</v>
      </c>
      <c r="BY13" s="61" t="s">
        <v>124</v>
      </c>
      <c r="BZ13" s="61" t="s">
        <v>124</v>
      </c>
      <c r="CA13" s="61" t="s">
        <v>124</v>
      </c>
      <c r="CB13" s="61" t="s">
        <v>124</v>
      </c>
      <c r="CC13" s="61" t="s">
        <v>124</v>
      </c>
      <c r="CD13" s="61" t="s">
        <v>124</v>
      </c>
      <c r="CE13" s="61" t="s">
        <v>124</v>
      </c>
      <c r="CF13" s="61" t="s">
        <v>124</v>
      </c>
      <c r="CG13" s="61" t="s">
        <v>124</v>
      </c>
      <c r="CH13" s="61" t="s">
        <v>124</v>
      </c>
      <c r="CI13" s="61" t="s">
        <v>124</v>
      </c>
      <c r="CJ13" s="61" t="s">
        <v>124</v>
      </c>
      <c r="CK13" s="61" t="s">
        <v>124</v>
      </c>
      <c r="CL13" s="61" t="s">
        <v>124</v>
      </c>
      <c r="CM13" s="61" t="s">
        <v>124</v>
      </c>
      <c r="CN13" s="61" t="s">
        <v>124</v>
      </c>
      <c r="CO13" s="61" t="s">
        <v>124</v>
      </c>
      <c r="CP13" s="61" t="s">
        <v>124</v>
      </c>
      <c r="CQ13" s="61" t="s">
        <v>124</v>
      </c>
      <c r="CR13" s="61" t="s">
        <v>124</v>
      </c>
      <c r="CS13" s="61" t="s">
        <v>124</v>
      </c>
      <c r="CT13" s="61" t="s">
        <v>124</v>
      </c>
      <c r="CU13" s="61" t="s">
        <v>124</v>
      </c>
      <c r="CV13" s="61" t="s">
        <v>124</v>
      </c>
      <c r="CW13" s="61" t="s">
        <v>124</v>
      </c>
    </row>
    <row r="14" spans="1:101" s="37" customFormat="1" ht="16.5" customHeight="1">
      <c r="A14" s="45"/>
      <c r="B14" s="46" t="s">
        <v>125</v>
      </c>
      <c r="C14" s="61">
        <v>94.01216528142389</v>
      </c>
      <c r="D14" s="61">
        <v>75.893239342421893</v>
      </c>
      <c r="E14" s="61">
        <v>64.97945054251106</v>
      </c>
      <c r="F14" s="61">
        <v>58.871668345501689</v>
      </c>
      <c r="G14" s="61">
        <v>59.258667496502426</v>
      </c>
      <c r="H14" s="61">
        <v>63.04459315175842</v>
      </c>
      <c r="I14" s="61">
        <v>64.656316220533043</v>
      </c>
      <c r="J14" s="61">
        <v>70.53701137379845</v>
      </c>
      <c r="K14" s="61">
        <v>73.9516652357281</v>
      </c>
      <c r="L14" s="61">
        <v>74.611200178663395</v>
      </c>
      <c r="M14" s="61">
        <v>73.540241584148532</v>
      </c>
      <c r="N14" s="61">
        <v>73.781285301943043</v>
      </c>
      <c r="O14" s="61">
        <v>77.956592449346815</v>
      </c>
      <c r="P14" s="61">
        <v>84.252970097679608</v>
      </c>
      <c r="Q14" s="61">
        <v>94.30388553863132</v>
      </c>
      <c r="R14" s="61">
        <v>99.944969359328482</v>
      </c>
      <c r="S14" s="61">
        <v>105.97306694975101</v>
      </c>
      <c r="T14" s="61">
        <v>108.58594205434258</v>
      </c>
      <c r="U14" s="61">
        <v>115.24560642301726</v>
      </c>
      <c r="V14" s="61">
        <v>116.92611293358931</v>
      </c>
      <c r="W14" s="61">
        <v>121.64722912410718</v>
      </c>
      <c r="X14" s="61">
        <v>125.92807544371381</v>
      </c>
      <c r="Y14" s="61">
        <v>129.39466006082804</v>
      </c>
      <c r="Z14" s="61">
        <v>129.33210636011535</v>
      </c>
      <c r="AA14" s="61">
        <v>127.81845535208426</v>
      </c>
      <c r="AB14" s="61">
        <v>128.97371352006417</v>
      </c>
      <c r="AC14" s="61">
        <v>133.34131087790183</v>
      </c>
      <c r="AD14" s="61">
        <v>133.51797314155291</v>
      </c>
      <c r="AE14" s="61">
        <v>126.996377672702</v>
      </c>
      <c r="AF14" s="61">
        <v>123.38626413347232</v>
      </c>
      <c r="AG14" s="61">
        <v>118.55892430168797</v>
      </c>
      <c r="AH14" s="61">
        <v>117.0034628350774</v>
      </c>
      <c r="AI14" s="61">
        <v>118.34725317204017</v>
      </c>
      <c r="AJ14" s="61">
        <v>120.99370423570251</v>
      </c>
      <c r="AK14" s="61">
        <v>122.01760938852294</v>
      </c>
      <c r="AL14" s="61">
        <v>119.36820356460119</v>
      </c>
      <c r="AM14" s="61">
        <v>117.00879283310489</v>
      </c>
      <c r="AN14" s="61">
        <v>118.44430482524724</v>
      </c>
      <c r="AO14" s="61">
        <v>121.30009694901976</v>
      </c>
      <c r="AP14" s="61">
        <v>120.04454868827429</v>
      </c>
      <c r="AQ14" s="61">
        <v>117.55230438324604</v>
      </c>
      <c r="AR14" s="61">
        <v>116.80420948099135</v>
      </c>
      <c r="AS14" s="61">
        <v>113.21185781966267</v>
      </c>
      <c r="AT14" s="61">
        <v>108.62183837577521</v>
      </c>
      <c r="AU14" s="61">
        <v>105.22117856720511</v>
      </c>
      <c r="AV14" s="61">
        <v>105.38613280773716</v>
      </c>
      <c r="AW14" s="61">
        <v>104.23556698739405</v>
      </c>
      <c r="AX14" s="61">
        <v>102.05064919309096</v>
      </c>
      <c r="AY14" s="61">
        <v>99.912519912299999</v>
      </c>
      <c r="AZ14" s="61">
        <v>98.706085361826922</v>
      </c>
      <c r="BA14" s="61">
        <v>99.425823857236807</v>
      </c>
      <c r="BB14" s="61">
        <v>98.151796408070211</v>
      </c>
      <c r="BC14" s="61">
        <v>97.516070824111694</v>
      </c>
      <c r="BD14" s="61">
        <v>96.47201066370944</v>
      </c>
      <c r="BE14" s="61">
        <v>93.050653922107585</v>
      </c>
      <c r="BF14" s="61">
        <v>92.564948712228599</v>
      </c>
      <c r="BG14" s="61">
        <v>88.380607854793126</v>
      </c>
      <c r="BH14" s="61">
        <v>85.936105074297984</v>
      </c>
      <c r="BI14" s="61">
        <v>83.398509439519415</v>
      </c>
      <c r="BJ14" s="61">
        <v>83.985927680392777</v>
      </c>
      <c r="BK14" s="61">
        <v>83.952905625114752</v>
      </c>
      <c r="BL14" s="61">
        <v>86.406467672698014</v>
      </c>
      <c r="BM14" s="61">
        <v>90.306862608223639</v>
      </c>
      <c r="BN14" s="61">
        <v>93.453432488191581</v>
      </c>
      <c r="BO14" s="61">
        <v>94.032664839295194</v>
      </c>
      <c r="BP14" s="61">
        <v>92.971454168071361</v>
      </c>
      <c r="BQ14" s="61">
        <v>91.913183891921861</v>
      </c>
      <c r="BR14" s="61">
        <v>89.647443183082217</v>
      </c>
      <c r="BS14" s="61">
        <v>86.848295713671703</v>
      </c>
      <c r="BT14" s="61">
        <v>86.889108827888435</v>
      </c>
      <c r="BU14" s="61">
        <v>84.649644377999223</v>
      </c>
      <c r="BV14" s="61">
        <v>81.162382818755702</v>
      </c>
      <c r="BW14" s="61">
        <v>75.877312930875462</v>
      </c>
      <c r="BX14" s="61">
        <v>71.287257031911921</v>
      </c>
      <c r="BY14" s="61">
        <v>66.88215814633088</v>
      </c>
      <c r="BZ14" s="61">
        <v>66.117815158716454</v>
      </c>
      <c r="CA14" s="61">
        <v>66.500105448051315</v>
      </c>
      <c r="CB14" s="61">
        <v>68.753359548637661</v>
      </c>
      <c r="CC14" s="61">
        <v>69.549924007946601</v>
      </c>
      <c r="CD14" s="61">
        <v>71.590879153938005</v>
      </c>
      <c r="CE14" s="61">
        <v>71.850604886087851</v>
      </c>
      <c r="CF14" s="61">
        <v>72.444847879484129</v>
      </c>
      <c r="CG14" s="61">
        <v>73.895823170774506</v>
      </c>
      <c r="CH14" s="61">
        <v>74.211742656211413</v>
      </c>
      <c r="CI14" s="61">
        <v>74.59436074261157</v>
      </c>
      <c r="CJ14" s="61">
        <v>74.941537030129112</v>
      </c>
      <c r="CK14" s="61">
        <v>75.58054372056138</v>
      </c>
      <c r="CL14" s="61">
        <v>75.863275586244967</v>
      </c>
      <c r="CM14" s="61">
        <v>72.144905243021455</v>
      </c>
      <c r="CN14" s="61">
        <v>66.505257008306771</v>
      </c>
      <c r="CO14" s="61">
        <v>63.920285987775962</v>
      </c>
      <c r="CP14" s="61">
        <v>63.977429107607556</v>
      </c>
      <c r="CQ14" s="61">
        <v>64.053747405915303</v>
      </c>
      <c r="CR14" s="61">
        <v>63.310809479767691</v>
      </c>
      <c r="CS14" s="61">
        <v>63.373007519103531</v>
      </c>
      <c r="CT14" s="61">
        <v>63.466002321625616</v>
      </c>
      <c r="CU14" s="61">
        <v>61.69855323343436</v>
      </c>
      <c r="CV14" s="61">
        <v>60.901802502812984</v>
      </c>
      <c r="CW14" s="61">
        <v>61.04955762340122</v>
      </c>
    </row>
    <row r="15" spans="1:101" s="37" customFormat="1" ht="16.5" customHeight="1">
      <c r="A15" s="45"/>
      <c r="B15" s="46" t="s">
        <v>126</v>
      </c>
      <c r="C15" s="61">
        <v>97.286471279583054</v>
      </c>
      <c r="D15" s="61">
        <v>93.441435325652421</v>
      </c>
      <c r="E15" s="61">
        <v>90.407545186236732</v>
      </c>
      <c r="F15" s="61">
        <v>88.753154300508299</v>
      </c>
      <c r="G15" s="61">
        <v>88.695631921702841</v>
      </c>
      <c r="H15" s="61">
        <v>88.82370789943063</v>
      </c>
      <c r="I15" s="61">
        <v>89.576641730138661</v>
      </c>
      <c r="J15" s="61">
        <v>91.885259038100955</v>
      </c>
      <c r="K15" s="61">
        <v>94.579505017777819</v>
      </c>
      <c r="L15" s="61">
        <v>97.085992818969316</v>
      </c>
      <c r="M15" s="61">
        <v>98.254224553724569</v>
      </c>
      <c r="N15" s="61">
        <v>99.668782652816333</v>
      </c>
      <c r="O15" s="61">
        <v>101.55587093491344</v>
      </c>
      <c r="P15" s="61">
        <v>103.44834169401736</v>
      </c>
      <c r="Q15" s="61">
        <v>105.32097994270707</v>
      </c>
      <c r="R15" s="61">
        <v>107.27571633367916</v>
      </c>
      <c r="S15" s="61">
        <v>109.06869412923601</v>
      </c>
      <c r="T15" s="61">
        <v>111.15205680039709</v>
      </c>
      <c r="U15" s="61">
        <v>112.51637284581278</v>
      </c>
      <c r="V15" s="61">
        <v>113.77112176932819</v>
      </c>
      <c r="W15" s="61">
        <v>115.57527634963969</v>
      </c>
      <c r="X15" s="61">
        <v>116.07468591841881</v>
      </c>
      <c r="Y15" s="61">
        <v>117.03658664858942</v>
      </c>
      <c r="Z15" s="61">
        <v>118.87195960461169</v>
      </c>
      <c r="AA15" s="61">
        <v>121.59441755948477</v>
      </c>
      <c r="AB15" s="61">
        <v>122.51393897971245</v>
      </c>
      <c r="AC15" s="61">
        <v>123.57475003299975</v>
      </c>
      <c r="AD15" s="61">
        <v>124.56429236233537</v>
      </c>
      <c r="AE15" s="61">
        <v>123.02042921424004</v>
      </c>
      <c r="AF15" s="61">
        <v>120.78354484404566</v>
      </c>
      <c r="AG15" s="61">
        <v>119.43237461670226</v>
      </c>
      <c r="AH15" s="61">
        <v>118.78058425557863</v>
      </c>
      <c r="AI15" s="61">
        <v>120.10695711197786</v>
      </c>
      <c r="AJ15" s="61">
        <v>119.55404503602826</v>
      </c>
      <c r="AK15" s="61">
        <v>119.66254913311025</v>
      </c>
      <c r="AL15" s="61">
        <v>121.48938531576938</v>
      </c>
      <c r="AM15" s="61">
        <v>122.17890243596746</v>
      </c>
      <c r="AN15" s="61">
        <v>122.49289092947436</v>
      </c>
      <c r="AO15" s="61">
        <v>123.07027193608974</v>
      </c>
      <c r="AP15" s="61">
        <v>125.26324325357761</v>
      </c>
      <c r="AQ15" s="61">
        <v>127.84001554231736</v>
      </c>
      <c r="AR15" s="61">
        <v>128.07442912299481</v>
      </c>
      <c r="AS15" s="61">
        <v>127.96512377184315</v>
      </c>
      <c r="AT15" s="61">
        <v>127.05587904941643</v>
      </c>
      <c r="AU15" s="61">
        <v>127.20449793119468</v>
      </c>
      <c r="AV15" s="61">
        <v>127.66540669482016</v>
      </c>
      <c r="AW15" s="61">
        <v>127.04837124200326</v>
      </c>
      <c r="AX15" s="61">
        <v>127.63934933426366</v>
      </c>
      <c r="AY15" s="61">
        <v>129.04810327814735</v>
      </c>
      <c r="AZ15" s="61">
        <v>128.71796953074337</v>
      </c>
      <c r="BA15" s="61">
        <v>126.65764331514542</v>
      </c>
      <c r="BB15" s="61">
        <v>125.9829784856862</v>
      </c>
      <c r="BC15" s="61">
        <v>125.78006740957863</v>
      </c>
      <c r="BD15" s="61">
        <v>126.00183794198955</v>
      </c>
      <c r="BE15" s="61">
        <v>125.5923184767524</v>
      </c>
      <c r="BF15" s="61">
        <v>125.56974868767628</v>
      </c>
      <c r="BG15" s="61">
        <v>126.11546788553058</v>
      </c>
      <c r="BH15" s="61">
        <v>126.10842547732393</v>
      </c>
      <c r="BI15" s="61">
        <v>125.30653775619692</v>
      </c>
      <c r="BJ15" s="61">
        <v>126.01549610159462</v>
      </c>
      <c r="BK15" s="61">
        <v>128.18903491588276</v>
      </c>
      <c r="BL15" s="61">
        <v>129.58168140979114</v>
      </c>
      <c r="BM15" s="61">
        <v>129.35741739872194</v>
      </c>
      <c r="BN15" s="61">
        <v>130.56809824973894</v>
      </c>
      <c r="BO15" s="61">
        <v>131.6618518017718</v>
      </c>
      <c r="BP15" s="61">
        <v>131.30756130906656</v>
      </c>
      <c r="BQ15" s="61">
        <v>130.59196967388803</v>
      </c>
      <c r="BR15" s="61">
        <v>129.31347146673514</v>
      </c>
      <c r="BS15" s="61">
        <v>127.41887682103452</v>
      </c>
      <c r="BT15" s="61">
        <v>126.76211025361253</v>
      </c>
      <c r="BU15" s="61">
        <v>125.38362065792273</v>
      </c>
      <c r="BV15" s="61">
        <v>124.39283035738208</v>
      </c>
      <c r="BW15" s="61">
        <v>123.41808873824493</v>
      </c>
      <c r="BX15" s="61">
        <v>123.11176768304448</v>
      </c>
      <c r="BY15" s="61">
        <v>121.39088556989746</v>
      </c>
      <c r="BZ15" s="61">
        <v>120.23984387106935</v>
      </c>
      <c r="CA15" s="61">
        <v>119.64850783489432</v>
      </c>
      <c r="CB15" s="61">
        <v>119.90570454893562</v>
      </c>
      <c r="CC15" s="61">
        <v>118.571016635582</v>
      </c>
      <c r="CD15" s="61">
        <v>118.77174983538799</v>
      </c>
      <c r="CE15" s="61">
        <v>120.44532699479281</v>
      </c>
      <c r="CF15" s="61">
        <v>120.96933117663404</v>
      </c>
      <c r="CG15" s="61">
        <v>121.01606231118507</v>
      </c>
      <c r="CH15" s="61">
        <v>121.97127666590717</v>
      </c>
      <c r="CI15" s="61">
        <v>123.50691796298639</v>
      </c>
      <c r="CJ15" s="61">
        <v>124.14874549198878</v>
      </c>
      <c r="CK15" s="61">
        <v>124.89912862856046</v>
      </c>
      <c r="CL15" s="61">
        <v>125.36217342203435</v>
      </c>
      <c r="CM15" s="61">
        <v>126.0244404753491</v>
      </c>
      <c r="CN15" s="61">
        <v>125.96669144909528</v>
      </c>
      <c r="CO15" s="61">
        <v>124.47100989834057</v>
      </c>
      <c r="CP15" s="61">
        <v>124.71567396101352</v>
      </c>
      <c r="CQ15" s="61">
        <v>125.60365656587652</v>
      </c>
      <c r="CR15" s="61">
        <v>125.87698505123858</v>
      </c>
      <c r="CS15" s="61">
        <v>125.16609662558568</v>
      </c>
      <c r="CT15" s="61">
        <v>124.96869521671704</v>
      </c>
      <c r="CU15" s="61">
        <v>125.57343052736736</v>
      </c>
      <c r="CV15" s="61">
        <v>126.15182972201212</v>
      </c>
      <c r="CW15" s="61">
        <v>125.59450044139442</v>
      </c>
    </row>
    <row r="16" spans="1:101" s="37" customFormat="1" ht="16.5" customHeight="1">
      <c r="A16" s="45"/>
      <c r="B16" s="46" t="s">
        <v>127</v>
      </c>
      <c r="C16" s="61">
        <v>99.050271463840645</v>
      </c>
      <c r="D16" s="61">
        <v>97.593518599891453</v>
      </c>
      <c r="E16" s="61">
        <v>94.784905060826688</v>
      </c>
      <c r="F16" s="61">
        <v>92.489533297134926</v>
      </c>
      <c r="G16" s="61">
        <v>92.469616519781212</v>
      </c>
      <c r="H16" s="61">
        <v>92.494989343446647</v>
      </c>
      <c r="I16" s="61">
        <v>92.84286261489963</v>
      </c>
      <c r="J16" s="61">
        <v>93.149922028151636</v>
      </c>
      <c r="K16" s="61">
        <v>93.34379597316142</v>
      </c>
      <c r="L16" s="61">
        <v>94.229241292611547</v>
      </c>
      <c r="M16" s="61">
        <v>94.261897402716613</v>
      </c>
      <c r="N16" s="61">
        <v>95.092138935265282</v>
      </c>
      <c r="O16" s="61">
        <v>97.095436357690005</v>
      </c>
      <c r="P16" s="61">
        <v>97.7299228371661</v>
      </c>
      <c r="Q16" s="61">
        <v>98.979074041692613</v>
      </c>
      <c r="R16" s="61">
        <v>101.21911498265592</v>
      </c>
      <c r="S16" s="61">
        <v>104.40527072013406</v>
      </c>
      <c r="T16" s="61">
        <v>106.30573057572508</v>
      </c>
      <c r="U16" s="61">
        <v>106.97944763278109</v>
      </c>
      <c r="V16" s="61">
        <v>107.04653350894067</v>
      </c>
      <c r="W16" s="61">
        <v>108.63822439043422</v>
      </c>
      <c r="X16" s="61">
        <v>109.65485818772879</v>
      </c>
      <c r="Y16" s="61">
        <v>109.76804608116339</v>
      </c>
      <c r="Z16" s="61">
        <v>110.72941632346003</v>
      </c>
      <c r="AA16" s="61">
        <v>112.5896348402697</v>
      </c>
      <c r="AB16" s="61">
        <v>115.30833113327667</v>
      </c>
      <c r="AC16" s="61">
        <v>116.95781333503969</v>
      </c>
      <c r="AD16" s="61">
        <v>116.59725124706182</v>
      </c>
      <c r="AE16" s="61">
        <v>116.68245553765767</v>
      </c>
      <c r="AF16" s="61">
        <v>115.95054291138105</v>
      </c>
      <c r="AG16" s="61">
        <v>115.05974025209963</v>
      </c>
      <c r="AH16" s="61">
        <v>114.59641912361036</v>
      </c>
      <c r="AI16" s="61">
        <v>114.45020781586625</v>
      </c>
      <c r="AJ16" s="61">
        <v>114.6409211077537</v>
      </c>
      <c r="AK16" s="61">
        <v>114.17590412431507</v>
      </c>
      <c r="AL16" s="61">
        <v>115.53411828395006</v>
      </c>
      <c r="AM16" s="61">
        <v>119.1408972045315</v>
      </c>
      <c r="AN16" s="61">
        <v>119.36425152669544</v>
      </c>
      <c r="AO16" s="61">
        <v>118.95953374634918</v>
      </c>
      <c r="AP16" s="61">
        <v>120.46496598542832</v>
      </c>
      <c r="AQ16" s="61">
        <v>123.01054423967828</v>
      </c>
      <c r="AR16" s="61">
        <v>124.35230135835621</v>
      </c>
      <c r="AS16" s="61">
        <v>123.35674239881507</v>
      </c>
      <c r="AT16" s="61">
        <v>122.98795413405053</v>
      </c>
      <c r="AU16" s="61">
        <v>123.73763756946785</v>
      </c>
      <c r="AV16" s="61">
        <v>124.01225387330464</v>
      </c>
      <c r="AW16" s="61">
        <v>123.26223598540747</v>
      </c>
      <c r="AX16" s="61">
        <v>125.83846906696222</v>
      </c>
      <c r="AY16" s="61">
        <v>127.68684086151971</v>
      </c>
      <c r="AZ16" s="61">
        <v>127.88394066236322</v>
      </c>
      <c r="BA16" s="61">
        <v>127.13433219721215</v>
      </c>
      <c r="BB16" s="61">
        <v>127.64405524214304</v>
      </c>
      <c r="BC16" s="61">
        <v>129.11976237927516</v>
      </c>
      <c r="BD16" s="61">
        <v>130.02015813027703</v>
      </c>
      <c r="BE16" s="61">
        <v>129.77563257324604</v>
      </c>
      <c r="BF16" s="61">
        <v>130.96659225129562</v>
      </c>
      <c r="BG16" s="61">
        <v>132.40504226821224</v>
      </c>
      <c r="BH16" s="61">
        <v>134.39912760812851</v>
      </c>
      <c r="BI16" s="61">
        <v>134.23061211888469</v>
      </c>
      <c r="BJ16" s="61">
        <v>133.24812412611061</v>
      </c>
      <c r="BK16" s="61">
        <v>133.36044323863683</v>
      </c>
      <c r="BL16" s="61">
        <v>133.81040809735285</v>
      </c>
      <c r="BM16" s="61">
        <v>132.15327927303602</v>
      </c>
      <c r="BN16" s="61">
        <v>131.98357726653737</v>
      </c>
      <c r="BO16" s="61">
        <v>132.66252577385353</v>
      </c>
      <c r="BP16" s="61">
        <v>132.7205451859765</v>
      </c>
      <c r="BQ16" s="61">
        <v>130.90544976617369</v>
      </c>
      <c r="BR16" s="61">
        <v>130.20219814461166</v>
      </c>
      <c r="BS16" s="61">
        <v>129.38505255478299</v>
      </c>
      <c r="BT16" s="61">
        <v>129.29606374031161</v>
      </c>
      <c r="BU16" s="61">
        <v>127.91362303810911</v>
      </c>
      <c r="BV16" s="61">
        <v>127.09040384197533</v>
      </c>
      <c r="BW16" s="61">
        <v>127.38493354322198</v>
      </c>
      <c r="BX16" s="61">
        <v>127.37127409640334</v>
      </c>
      <c r="BY16" s="61">
        <v>126.53694931906853</v>
      </c>
      <c r="BZ16" s="61">
        <v>126.08122340796801</v>
      </c>
      <c r="CA16" s="61">
        <v>125.28462665732879</v>
      </c>
      <c r="CB16" s="61">
        <v>124.73426702904355</v>
      </c>
      <c r="CC16" s="61">
        <v>123.67258243654906</v>
      </c>
      <c r="CD16" s="61">
        <v>122.73152003299568</v>
      </c>
      <c r="CE16" s="61">
        <v>123.90943593988619</v>
      </c>
      <c r="CF16" s="61">
        <v>125.48070297859515</v>
      </c>
      <c r="CG16" s="61">
        <v>125.75699965086835</v>
      </c>
      <c r="CH16" s="61">
        <v>126.32365017233349</v>
      </c>
      <c r="CI16" s="61">
        <v>126.94323209280429</v>
      </c>
      <c r="CJ16" s="61">
        <v>127.78663914057029</v>
      </c>
      <c r="CK16" s="61">
        <v>127.07902301886948</v>
      </c>
      <c r="CL16" s="61">
        <v>127.41258844491296</v>
      </c>
      <c r="CM16" s="61">
        <v>128.11309664361002</v>
      </c>
      <c r="CN16" s="61">
        <v>128.0197016058608</v>
      </c>
      <c r="CO16" s="61">
        <v>126.60645050673941</v>
      </c>
      <c r="CP16" s="61">
        <v>126.18454653968531</v>
      </c>
      <c r="CQ16" s="61">
        <v>125.95142723559809</v>
      </c>
      <c r="CR16" s="61">
        <v>124.74471176571471</v>
      </c>
      <c r="CS16" s="61">
        <v>123.18434120746893</v>
      </c>
      <c r="CT16" s="61">
        <v>122.19286652983209</v>
      </c>
      <c r="CU16" s="61">
        <v>121.391735052078</v>
      </c>
      <c r="CV16" s="61">
        <v>120.72260951770222</v>
      </c>
      <c r="CW16" s="61">
        <v>119.84819204358541</v>
      </c>
    </row>
    <row r="17" spans="1:101" s="37" customFormat="1" ht="16.5" customHeight="1">
      <c r="A17" s="45"/>
      <c r="B17" s="46" t="s">
        <v>128</v>
      </c>
      <c r="C17" s="61">
        <v>96.524262441481213</v>
      </c>
      <c r="D17" s="61">
        <v>92.383850419456039</v>
      </c>
      <c r="E17" s="61">
        <v>89.629691630441769</v>
      </c>
      <c r="F17" s="61">
        <v>87.613975139059605</v>
      </c>
      <c r="G17" s="61">
        <v>87.448882598794967</v>
      </c>
      <c r="H17" s="61">
        <v>88.2523227718426</v>
      </c>
      <c r="I17" s="61">
        <v>86.167913659556575</v>
      </c>
      <c r="J17" s="61">
        <v>86.055526737285334</v>
      </c>
      <c r="K17" s="61">
        <v>87.19142642863163</v>
      </c>
      <c r="L17" s="61">
        <v>87.90518100511332</v>
      </c>
      <c r="M17" s="61">
        <v>88.550474811226252</v>
      </c>
      <c r="N17" s="61">
        <v>90.718984530842121</v>
      </c>
      <c r="O17" s="61">
        <v>92.387069404014554</v>
      </c>
      <c r="P17" s="61">
        <v>94.795685023003145</v>
      </c>
      <c r="Q17" s="61">
        <v>96.819108424197864</v>
      </c>
      <c r="R17" s="61">
        <v>99.35086836602359</v>
      </c>
      <c r="S17" s="61">
        <v>103.21131935786154</v>
      </c>
      <c r="T17" s="61">
        <v>105.64897534274756</v>
      </c>
      <c r="U17" s="61">
        <v>107.26479418827194</v>
      </c>
      <c r="V17" s="61">
        <v>108.14186141777169</v>
      </c>
      <c r="W17" s="61">
        <v>112.42417972068665</v>
      </c>
      <c r="X17" s="61">
        <v>116.00181581679317</v>
      </c>
      <c r="Y17" s="61">
        <v>116.39112638886881</v>
      </c>
      <c r="Z17" s="61">
        <v>117.9898983034979</v>
      </c>
      <c r="AA17" s="61">
        <v>120.5264149357115</v>
      </c>
      <c r="AB17" s="61">
        <v>121.77909987746993</v>
      </c>
      <c r="AC17" s="61">
        <v>123.98552234509613</v>
      </c>
      <c r="AD17" s="61">
        <v>126.11138209524159</v>
      </c>
      <c r="AE17" s="61">
        <v>125.91543516885217</v>
      </c>
      <c r="AF17" s="61">
        <v>124.06881002716464</v>
      </c>
      <c r="AG17" s="61">
        <v>121.71686490367124</v>
      </c>
      <c r="AH17" s="61">
        <v>121.89543701369996</v>
      </c>
      <c r="AI17" s="61">
        <v>121.38607291790122</v>
      </c>
      <c r="AJ17" s="61">
        <v>122.919860408931</v>
      </c>
      <c r="AK17" s="61">
        <v>124.18709409995252</v>
      </c>
      <c r="AL17" s="61">
        <v>126.57313082607688</v>
      </c>
      <c r="AM17" s="61">
        <v>128.96937459955748</v>
      </c>
      <c r="AN17" s="61">
        <v>132.3768159808721</v>
      </c>
      <c r="AO17" s="61">
        <v>131.72065270468818</v>
      </c>
      <c r="AP17" s="61">
        <v>132.73642832154454</v>
      </c>
      <c r="AQ17" s="61">
        <v>132.66244869689902</v>
      </c>
      <c r="AR17" s="61">
        <v>131.15130023569387</v>
      </c>
      <c r="AS17" s="61">
        <v>130.10881323599858</v>
      </c>
      <c r="AT17" s="61">
        <v>128.78451409437864</v>
      </c>
      <c r="AU17" s="61">
        <v>127.15222516626504</v>
      </c>
      <c r="AV17" s="61">
        <v>127.3063998957989</v>
      </c>
      <c r="AW17" s="61">
        <v>126.80445802193263</v>
      </c>
      <c r="AX17" s="61">
        <v>128.23097851910629</v>
      </c>
      <c r="AY17" s="61">
        <v>128.1840659278412</v>
      </c>
      <c r="AZ17" s="61">
        <v>128.46011688974377</v>
      </c>
      <c r="BA17" s="61">
        <v>128.21717906921404</v>
      </c>
      <c r="BB17" s="61">
        <v>128.05098978825924</v>
      </c>
      <c r="BC17" s="61">
        <v>126.91224851683724</v>
      </c>
      <c r="BD17" s="61">
        <v>127.00609032598602</v>
      </c>
      <c r="BE17" s="61">
        <v>126.23205958347124</v>
      </c>
      <c r="BF17" s="61">
        <v>127.20389637736919</v>
      </c>
      <c r="BG17" s="61">
        <v>128.47147739256789</v>
      </c>
      <c r="BH17" s="61">
        <v>129.1587741138533</v>
      </c>
      <c r="BI17" s="61">
        <v>128.34370322880591</v>
      </c>
      <c r="BJ17" s="61">
        <v>128.53678106868961</v>
      </c>
      <c r="BK17" s="61">
        <v>128.75077288101789</v>
      </c>
      <c r="BL17" s="61">
        <v>130.24325051303697</v>
      </c>
      <c r="BM17" s="61">
        <v>129.74272828450972</v>
      </c>
      <c r="BN17" s="61">
        <v>129.5337642621154</v>
      </c>
      <c r="BO17" s="61">
        <v>130.91553103375159</v>
      </c>
      <c r="BP17" s="61">
        <v>131.4215819999844</v>
      </c>
      <c r="BQ17" s="61">
        <v>130.94971497287057</v>
      </c>
      <c r="BR17" s="61">
        <v>130.79358525117638</v>
      </c>
      <c r="BS17" s="61">
        <v>131.04704167101264</v>
      </c>
      <c r="BT17" s="61">
        <v>130.98133278670502</v>
      </c>
      <c r="BU17" s="61">
        <v>129.3036277729216</v>
      </c>
      <c r="BV17" s="61">
        <v>128.76383496929452</v>
      </c>
      <c r="BW17" s="61">
        <v>129.1574042758927</v>
      </c>
      <c r="BX17" s="61">
        <v>129.76587678719793</v>
      </c>
      <c r="BY17" s="61">
        <v>128.2393176137688</v>
      </c>
      <c r="BZ17" s="61">
        <v>127.85318371454507</v>
      </c>
      <c r="CA17" s="61">
        <v>127.20492245937676</v>
      </c>
      <c r="CB17" s="61">
        <v>127.67955861192871</v>
      </c>
      <c r="CC17" s="61">
        <v>126.91421349289961</v>
      </c>
      <c r="CD17" s="61">
        <v>126.60999753638426</v>
      </c>
      <c r="CE17" s="61">
        <v>128.25690478252079</v>
      </c>
      <c r="CF17" s="61">
        <v>129.64272276351434</v>
      </c>
      <c r="CG17" s="61">
        <v>128.99784377084561</v>
      </c>
      <c r="CH17" s="61">
        <v>129.62037294848417</v>
      </c>
      <c r="CI17" s="61">
        <v>130.32185351267495</v>
      </c>
      <c r="CJ17" s="61">
        <v>131.93187905947968</v>
      </c>
      <c r="CK17" s="61">
        <v>131.8694852931161</v>
      </c>
      <c r="CL17" s="61">
        <v>133.11360336111798</v>
      </c>
      <c r="CM17" s="61">
        <v>133.99495355275891</v>
      </c>
      <c r="CN17" s="61">
        <v>134.6936861439498</v>
      </c>
      <c r="CO17" s="61">
        <v>132.85648827597527</v>
      </c>
      <c r="CP17" s="61">
        <v>132.85569829419461</v>
      </c>
      <c r="CQ17" s="61">
        <v>134.04609880595982</v>
      </c>
      <c r="CR17" s="61">
        <v>133.64459189069512</v>
      </c>
      <c r="CS17" s="61">
        <v>131.75165561707459</v>
      </c>
      <c r="CT17" s="61">
        <v>130.90594636997523</v>
      </c>
      <c r="CU17" s="61">
        <v>131.38942496530558</v>
      </c>
      <c r="CV17" s="61">
        <v>131.66825426774071</v>
      </c>
      <c r="CW17" s="61">
        <v>130.49414853716624</v>
      </c>
    </row>
    <row r="18" spans="1:101" s="37" customFormat="1" ht="16.5" customHeight="1">
      <c r="A18" s="45"/>
      <c r="B18" s="46" t="s">
        <v>129</v>
      </c>
      <c r="C18" s="61">
        <v>99.482999989619159</v>
      </c>
      <c r="D18" s="61">
        <v>97.468865211019946</v>
      </c>
      <c r="E18" s="61">
        <v>96.369873636741659</v>
      </c>
      <c r="F18" s="61">
        <v>96.195905465707071</v>
      </c>
      <c r="G18" s="61">
        <v>96.299564529443543</v>
      </c>
      <c r="H18" s="61">
        <v>95.978938549784971</v>
      </c>
      <c r="I18" s="61">
        <v>97.425836344109086</v>
      </c>
      <c r="J18" s="61">
        <v>98.704030259917701</v>
      </c>
      <c r="K18" s="61">
        <v>99.930647234381226</v>
      </c>
      <c r="L18" s="61">
        <v>100.41391716903864</v>
      </c>
      <c r="M18" s="61">
        <v>102.46651873711278</v>
      </c>
      <c r="N18" s="61">
        <v>104.14376401267866</v>
      </c>
      <c r="O18" s="61">
        <v>106.02422071922329</v>
      </c>
      <c r="P18" s="61">
        <v>106.30761759759677</v>
      </c>
      <c r="Q18" s="61">
        <v>110.22092796151742</v>
      </c>
      <c r="R18" s="61">
        <v>111.92509379460995</v>
      </c>
      <c r="S18" s="61">
        <v>113.39844294003753</v>
      </c>
      <c r="T18" s="61">
        <v>113.85056263541894</v>
      </c>
      <c r="U18" s="61">
        <v>116.0319685848692</v>
      </c>
      <c r="V18" s="61">
        <v>117.62093572603722</v>
      </c>
      <c r="W18" s="61">
        <v>118.42842082055745</v>
      </c>
      <c r="X18" s="61">
        <v>119.00124498750456</v>
      </c>
      <c r="Y18" s="61">
        <v>122.11636869522523</v>
      </c>
      <c r="Z18" s="61">
        <v>123.72260421951273</v>
      </c>
      <c r="AA18" s="61">
        <v>125.37441442003551</v>
      </c>
      <c r="AB18" s="61">
        <v>126.36770278702652</v>
      </c>
      <c r="AC18" s="61">
        <v>128.96792998262708</v>
      </c>
      <c r="AD18" s="61">
        <v>130.39254479786081</v>
      </c>
      <c r="AE18" s="61">
        <v>131.13618522388754</v>
      </c>
      <c r="AF18" s="61">
        <v>130.28994144354996</v>
      </c>
      <c r="AG18" s="61">
        <v>132.58215735088083</v>
      </c>
      <c r="AH18" s="61">
        <v>133.01606039262191</v>
      </c>
      <c r="AI18" s="61">
        <v>133.5507897246537</v>
      </c>
      <c r="AJ18" s="61">
        <v>135.05278061632563</v>
      </c>
      <c r="AK18" s="61">
        <v>137.98725408855483</v>
      </c>
      <c r="AL18" s="61">
        <v>138.93723973771145</v>
      </c>
      <c r="AM18" s="61">
        <v>139.97672329967529</v>
      </c>
      <c r="AN18" s="61">
        <v>141.41365701750499</v>
      </c>
      <c r="AO18" s="61">
        <v>144.28203225981443</v>
      </c>
      <c r="AP18" s="61">
        <v>145.26096122298057</v>
      </c>
      <c r="AQ18" s="61">
        <v>146.21641170689318</v>
      </c>
      <c r="AR18" s="61">
        <v>146.23875863177423</v>
      </c>
      <c r="AS18" s="61">
        <v>147.9382539354074</v>
      </c>
      <c r="AT18" s="61">
        <v>148.6001884590213</v>
      </c>
      <c r="AU18" s="61">
        <v>149.26000192821093</v>
      </c>
      <c r="AV18" s="61">
        <v>149.58366027296898</v>
      </c>
      <c r="AW18" s="61">
        <v>151.73585793654243</v>
      </c>
      <c r="AX18" s="61">
        <v>151.02007727890609</v>
      </c>
      <c r="AY18" s="61">
        <v>151.7329080129517</v>
      </c>
      <c r="AZ18" s="61">
        <v>152.85608681753283</v>
      </c>
      <c r="BA18" s="61">
        <v>155.01621686430079</v>
      </c>
      <c r="BB18" s="61">
        <v>156.11169651796732</v>
      </c>
      <c r="BC18" s="61">
        <v>156.43659563576452</v>
      </c>
      <c r="BD18" s="61">
        <v>156.46322359291423</v>
      </c>
      <c r="BE18" s="61">
        <v>158.76523811980962</v>
      </c>
      <c r="BF18" s="61">
        <v>160.17235808585562</v>
      </c>
      <c r="BG18" s="61">
        <v>160.87032544338774</v>
      </c>
      <c r="BH18" s="61">
        <v>161.41627728463479</v>
      </c>
      <c r="BI18" s="61">
        <v>163.4442601946719</v>
      </c>
      <c r="BJ18" s="61">
        <v>163.54090954160688</v>
      </c>
      <c r="BK18" s="61">
        <v>163.67892162707577</v>
      </c>
      <c r="BL18" s="61">
        <v>163.29720736272986</v>
      </c>
      <c r="BM18" s="61">
        <v>165.46663787713169</v>
      </c>
      <c r="BN18" s="61">
        <v>166.32115993504007</v>
      </c>
      <c r="BO18" s="61">
        <v>167.29491572254207</v>
      </c>
      <c r="BP18" s="61">
        <v>167.47408206822539</v>
      </c>
      <c r="BQ18" s="61">
        <v>168.06032986312536</v>
      </c>
      <c r="BR18" s="61">
        <v>167.55269929188844</v>
      </c>
      <c r="BS18" s="61">
        <v>167.35564709193565</v>
      </c>
      <c r="BT18" s="61">
        <v>167.15728762148672</v>
      </c>
      <c r="BU18" s="61">
        <v>168.16339793663033</v>
      </c>
      <c r="BV18" s="61">
        <v>168.8307755511496</v>
      </c>
      <c r="BW18" s="61">
        <v>168.95091861732604</v>
      </c>
      <c r="BX18" s="61">
        <v>168.34221842031025</v>
      </c>
      <c r="BY18" s="61">
        <v>167.91998079014616</v>
      </c>
      <c r="BZ18" s="61">
        <v>168.05094213338259</v>
      </c>
      <c r="CA18" s="61">
        <v>167.8209609886529</v>
      </c>
      <c r="CB18" s="61">
        <v>167.60602887109323</v>
      </c>
      <c r="CC18" s="61">
        <v>168.83847294755898</v>
      </c>
      <c r="CD18" s="61">
        <v>168.63744177065368</v>
      </c>
      <c r="CE18" s="61">
        <v>168.87879081243705</v>
      </c>
      <c r="CF18" s="61">
        <v>169.0908271652699</v>
      </c>
      <c r="CG18" s="61">
        <v>171.68861689662495</v>
      </c>
      <c r="CH18" s="61">
        <v>172.22206315277342</v>
      </c>
      <c r="CI18" s="61">
        <v>172.71315932938424</v>
      </c>
      <c r="CJ18" s="61">
        <v>172.25563213880324</v>
      </c>
      <c r="CK18" s="61">
        <v>173.81301089353749</v>
      </c>
      <c r="CL18" s="61">
        <v>174.4929630684511</v>
      </c>
      <c r="CM18" s="61">
        <v>174.60461022067275</v>
      </c>
      <c r="CN18" s="61">
        <v>173.42941655473851</v>
      </c>
      <c r="CO18" s="61">
        <v>173.44650068640817</v>
      </c>
      <c r="CP18" s="61">
        <v>173.01207444057229</v>
      </c>
      <c r="CQ18" s="61">
        <v>173.4969202227484</v>
      </c>
      <c r="CR18" s="61">
        <v>173.44450406772447</v>
      </c>
      <c r="CS18" s="61">
        <v>173.52823192161623</v>
      </c>
      <c r="CT18" s="61">
        <v>172.95543318082014</v>
      </c>
      <c r="CU18" s="61">
        <v>173.15729240104736</v>
      </c>
      <c r="CV18" s="61">
        <v>172.02868955141912</v>
      </c>
      <c r="CW18" s="61">
        <v>172.58016154636746</v>
      </c>
    </row>
    <row r="19" spans="1:101" s="37" customFormat="1" ht="16.5" customHeight="1" thickBot="1">
      <c r="A19" s="43" t="s">
        <v>130</v>
      </c>
      <c r="B19" s="44"/>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c r="CG19" s="60"/>
      <c r="CH19" s="60"/>
      <c r="CI19" s="60"/>
      <c r="CJ19" s="60"/>
      <c r="CK19" s="60"/>
      <c r="CL19" s="60"/>
      <c r="CM19" s="60"/>
      <c r="CN19" s="60"/>
      <c r="CO19" s="60"/>
      <c r="CP19" s="60"/>
      <c r="CQ19" s="60"/>
      <c r="CR19" s="60"/>
      <c r="CS19" s="60"/>
      <c r="CT19" s="60"/>
      <c r="CU19" s="60"/>
      <c r="CV19" s="60"/>
      <c r="CW19" s="60"/>
    </row>
    <row r="20" spans="1:101" s="37" customFormat="1" ht="16.5" customHeight="1">
      <c r="A20" s="45"/>
      <c r="B20" s="46" t="s">
        <v>131</v>
      </c>
      <c r="C20" s="61">
        <v>96.873372515403517</v>
      </c>
      <c r="D20" s="61">
        <v>92.19812213504855</v>
      </c>
      <c r="E20" s="61">
        <v>89.110145874260013</v>
      </c>
      <c r="F20" s="61">
        <v>87.601735041145204</v>
      </c>
      <c r="G20" s="61">
        <v>87.740232349495386</v>
      </c>
      <c r="H20" s="61">
        <v>88.448611632507323</v>
      </c>
      <c r="I20" s="61">
        <v>90.156261522247163</v>
      </c>
      <c r="J20" s="61">
        <v>93.111453655881576</v>
      </c>
      <c r="K20" s="61">
        <v>95.141299181419484</v>
      </c>
      <c r="L20" s="61">
        <v>96.862269316557615</v>
      </c>
      <c r="M20" s="61">
        <v>98.121945050516501</v>
      </c>
      <c r="N20" s="61">
        <v>99.693000602370986</v>
      </c>
      <c r="O20" s="61">
        <v>102.53969981242329</v>
      </c>
      <c r="P20" s="61">
        <v>104.55141246406576</v>
      </c>
      <c r="Q20" s="61">
        <v>108.28333386873324</v>
      </c>
      <c r="R20" s="61">
        <v>110.94994279469783</v>
      </c>
      <c r="S20" s="61">
        <v>114.56628133277299</v>
      </c>
      <c r="T20" s="61">
        <v>115.98885436142633</v>
      </c>
      <c r="U20" s="61">
        <v>118.77811799332289</v>
      </c>
      <c r="V20" s="61">
        <v>119.83278677308584</v>
      </c>
      <c r="W20" s="61">
        <v>121.13309089026528</v>
      </c>
      <c r="X20" s="61">
        <v>122.16244183206747</v>
      </c>
      <c r="Y20" s="61">
        <v>123.50072289373418</v>
      </c>
      <c r="Z20" s="61">
        <v>124.9446762018557</v>
      </c>
      <c r="AA20" s="61">
        <v>127.31330698581355</v>
      </c>
      <c r="AB20" s="61">
        <v>128.10710616150888</v>
      </c>
      <c r="AC20" s="61">
        <v>129.62443483214039</v>
      </c>
      <c r="AD20" s="61">
        <v>130.1273737848056</v>
      </c>
      <c r="AE20" s="61">
        <v>129.32110426977974</v>
      </c>
      <c r="AF20" s="61">
        <v>128.17018061820684</v>
      </c>
      <c r="AG20" s="61">
        <v>127.29187221660258</v>
      </c>
      <c r="AH20" s="61">
        <v>127.22500782789039</v>
      </c>
      <c r="AI20" s="61">
        <v>127.66918482109024</v>
      </c>
      <c r="AJ20" s="61">
        <v>127.98288248080253</v>
      </c>
      <c r="AK20" s="61">
        <v>128.6829297014406</v>
      </c>
      <c r="AL20" s="61">
        <v>129.21140034729066</v>
      </c>
      <c r="AM20" s="61">
        <v>130.2314429002889</v>
      </c>
      <c r="AN20" s="61">
        <v>131.1482872850541</v>
      </c>
      <c r="AO20" s="61">
        <v>131.37345785173301</v>
      </c>
      <c r="AP20" s="61">
        <v>132.43206085855226</v>
      </c>
      <c r="AQ20" s="61">
        <v>133.23833907450617</v>
      </c>
      <c r="AR20" s="61">
        <v>133.30285271942248</v>
      </c>
      <c r="AS20" s="61">
        <v>132.11089011084854</v>
      </c>
      <c r="AT20" s="61">
        <v>131.61412486386851</v>
      </c>
      <c r="AU20" s="61">
        <v>131.91981503632852</v>
      </c>
      <c r="AV20" s="61">
        <v>131.85510284051196</v>
      </c>
      <c r="AW20" s="61">
        <v>130.71345249548781</v>
      </c>
      <c r="AX20" s="61">
        <v>131.49676644494585</v>
      </c>
      <c r="AY20" s="61">
        <v>132.85975236919992</v>
      </c>
      <c r="AZ20" s="61">
        <v>132.10089536543992</v>
      </c>
      <c r="BA20" s="61">
        <v>131.32487946179305</v>
      </c>
      <c r="BB20" s="61">
        <v>131.8141964397191</v>
      </c>
      <c r="BC20" s="61">
        <v>131.79307203943088</v>
      </c>
      <c r="BD20" s="61">
        <v>132.28477982493555</v>
      </c>
      <c r="BE20" s="61">
        <v>132.90684379841881</v>
      </c>
      <c r="BF20" s="61">
        <v>133.18433786337093</v>
      </c>
      <c r="BG20" s="61">
        <v>133.12904058301703</v>
      </c>
      <c r="BH20" s="61">
        <v>133.16864038494782</v>
      </c>
      <c r="BI20" s="61">
        <v>131.7011914223923</v>
      </c>
      <c r="BJ20" s="61">
        <v>131.5900613367962</v>
      </c>
      <c r="BK20" s="61">
        <v>131.74192726325248</v>
      </c>
      <c r="BL20" s="61">
        <v>132.95232841960976</v>
      </c>
      <c r="BM20" s="61">
        <v>133.45339640508428</v>
      </c>
      <c r="BN20" s="61">
        <v>134.83573986785322</v>
      </c>
      <c r="BO20" s="61">
        <v>135.51198966711905</v>
      </c>
      <c r="BP20" s="61">
        <v>135.76106297170872</v>
      </c>
      <c r="BQ20" s="61">
        <v>134.63724886345312</v>
      </c>
      <c r="BR20" s="61">
        <v>133.25368362005645</v>
      </c>
      <c r="BS20" s="61">
        <v>131.99109755977133</v>
      </c>
      <c r="BT20" s="61">
        <v>131.9202774381784</v>
      </c>
      <c r="BU20" s="61">
        <v>131.08891854572983</v>
      </c>
      <c r="BV20" s="61">
        <v>130.2491531244284</v>
      </c>
      <c r="BW20" s="61">
        <v>129.28995909791081</v>
      </c>
      <c r="BX20" s="61">
        <v>128.60718777825241</v>
      </c>
      <c r="BY20" s="61">
        <v>126.24230556104965</v>
      </c>
      <c r="BZ20" s="61">
        <v>125.16497329510959</v>
      </c>
      <c r="CA20" s="61">
        <v>124.53515105433355</v>
      </c>
      <c r="CB20" s="61">
        <v>124.9191747723554</v>
      </c>
      <c r="CC20" s="61">
        <v>124.2724993805716</v>
      </c>
      <c r="CD20" s="61">
        <v>124.60108426193818</v>
      </c>
      <c r="CE20" s="61">
        <v>125.5110776731733</v>
      </c>
      <c r="CF20" s="61">
        <v>125.9731439801767</v>
      </c>
      <c r="CG20" s="61">
        <v>126.7283149237897</v>
      </c>
      <c r="CH20" s="61">
        <v>128.00846347956855</v>
      </c>
      <c r="CI20" s="61">
        <v>128.91342593357174</v>
      </c>
      <c r="CJ20" s="61">
        <v>129.78311119064918</v>
      </c>
      <c r="CK20" s="61">
        <v>130.15397741946688</v>
      </c>
      <c r="CL20" s="61">
        <v>130.6575099004082</v>
      </c>
      <c r="CM20" s="61">
        <v>130.2938532200771</v>
      </c>
      <c r="CN20" s="61">
        <v>129.06911247516436</v>
      </c>
      <c r="CO20" s="61">
        <v>127.78177274627279</v>
      </c>
      <c r="CP20" s="61">
        <v>127.51036478628036</v>
      </c>
      <c r="CQ20" s="61">
        <v>127.95216352999108</v>
      </c>
      <c r="CR20" s="61">
        <v>127.69777925830516</v>
      </c>
      <c r="CS20" s="61">
        <v>126.79633857218118</v>
      </c>
      <c r="CT20" s="61">
        <v>126.07762154559846</v>
      </c>
      <c r="CU20" s="61">
        <v>126.0802171577202</v>
      </c>
      <c r="CV20" s="61">
        <v>125.43783275115523</v>
      </c>
      <c r="CW20" s="61">
        <v>124.71484248320648</v>
      </c>
    </row>
    <row r="21" spans="1:101" s="37" customFormat="1" ht="16.5" customHeight="1">
      <c r="A21" s="45"/>
      <c r="B21" s="46" t="s">
        <v>132</v>
      </c>
      <c r="C21" s="61">
        <v>97.784582756059805</v>
      </c>
      <c r="D21" s="61">
        <v>92.561882442845601</v>
      </c>
      <c r="E21" s="61">
        <v>89.57444876278926</v>
      </c>
      <c r="F21" s="61">
        <v>88.212689603583385</v>
      </c>
      <c r="G21" s="61">
        <v>88.209885619362126</v>
      </c>
      <c r="H21" s="61">
        <v>89.128986027189328</v>
      </c>
      <c r="I21" s="61">
        <v>90.608057988256022</v>
      </c>
      <c r="J21" s="61">
        <v>91.613130717321397</v>
      </c>
      <c r="K21" s="61">
        <v>94.143100432389346</v>
      </c>
      <c r="L21" s="61">
        <v>95.797489396300065</v>
      </c>
      <c r="M21" s="61">
        <v>97.142034655012324</v>
      </c>
      <c r="N21" s="61">
        <v>98.872854893967528</v>
      </c>
      <c r="O21" s="61">
        <v>101.17468935711945</v>
      </c>
      <c r="P21" s="61">
        <v>103.42964607761583</v>
      </c>
      <c r="Q21" s="61">
        <v>107.75008243377248</v>
      </c>
      <c r="R21" s="61">
        <v>111.59428135326102</v>
      </c>
      <c r="S21" s="61">
        <v>114.9921450367825</v>
      </c>
      <c r="T21" s="61">
        <v>116.80755685132523</v>
      </c>
      <c r="U21" s="61">
        <v>118.74969627404319</v>
      </c>
      <c r="V21" s="61">
        <v>120.1433749755268</v>
      </c>
      <c r="W21" s="61">
        <v>122.95258488331255</v>
      </c>
      <c r="X21" s="61">
        <v>125.09931169355116</v>
      </c>
      <c r="Y21" s="61">
        <v>127.59321156019696</v>
      </c>
      <c r="Z21" s="61">
        <v>128.59418165355009</v>
      </c>
      <c r="AA21" s="61">
        <v>130.31786376997329</v>
      </c>
      <c r="AB21" s="61">
        <v>130.99294414873347</v>
      </c>
      <c r="AC21" s="61">
        <v>133.15103897041743</v>
      </c>
      <c r="AD21" s="61">
        <v>134.02592670921544</v>
      </c>
      <c r="AE21" s="61">
        <v>132.81893913419879</v>
      </c>
      <c r="AF21" s="61">
        <v>129.29953648310268</v>
      </c>
      <c r="AG21" s="61">
        <v>127.62086756657474</v>
      </c>
      <c r="AH21" s="61">
        <v>127.75231441373711</v>
      </c>
      <c r="AI21" s="61">
        <v>128.92931544596212</v>
      </c>
      <c r="AJ21" s="61">
        <v>130.95810989209909</v>
      </c>
      <c r="AK21" s="61">
        <v>133.01870660741562</v>
      </c>
      <c r="AL21" s="61">
        <v>134.38415324621747</v>
      </c>
      <c r="AM21" s="61">
        <v>135.58390232330672</v>
      </c>
      <c r="AN21" s="61">
        <v>136.81531187709103</v>
      </c>
      <c r="AO21" s="61">
        <v>138.53278720491025</v>
      </c>
      <c r="AP21" s="61">
        <v>139.67399016508918</v>
      </c>
      <c r="AQ21" s="61">
        <v>139.98523987530382</v>
      </c>
      <c r="AR21" s="61">
        <v>137.41838404045905</v>
      </c>
      <c r="AS21" s="61">
        <v>137.46788057258308</v>
      </c>
      <c r="AT21" s="61">
        <v>136.55309725874622</v>
      </c>
      <c r="AU21" s="61">
        <v>136.4280039973992</v>
      </c>
      <c r="AV21" s="61">
        <v>136.74629410629572</v>
      </c>
      <c r="AW21" s="61">
        <v>136.54483459716087</v>
      </c>
      <c r="AX21" s="61">
        <v>137.26154596658793</v>
      </c>
      <c r="AY21" s="61">
        <v>137.30978663302281</v>
      </c>
      <c r="AZ21" s="61">
        <v>136.85794650137021</v>
      </c>
      <c r="BA21" s="61">
        <v>137.05446095558125</v>
      </c>
      <c r="BB21" s="61">
        <v>136.81490277933929</v>
      </c>
      <c r="BC21" s="61">
        <v>136.67446962814</v>
      </c>
      <c r="BD21" s="61">
        <v>136.31328143746825</v>
      </c>
      <c r="BE21" s="61">
        <v>135.73695101533011</v>
      </c>
      <c r="BF21" s="61">
        <v>137.02398457209426</v>
      </c>
      <c r="BG21" s="61">
        <v>136.93966836081137</v>
      </c>
      <c r="BH21" s="61">
        <v>136.72145620870086</v>
      </c>
      <c r="BI21" s="61">
        <v>136.61214780171056</v>
      </c>
      <c r="BJ21" s="61">
        <v>136.01922092846866</v>
      </c>
      <c r="BK21" s="61">
        <v>135.96305684388355</v>
      </c>
      <c r="BL21" s="61">
        <v>135.62282496126761</v>
      </c>
      <c r="BM21" s="61">
        <v>136.0268267366059</v>
      </c>
      <c r="BN21" s="61">
        <v>136.15522389700092</v>
      </c>
      <c r="BO21" s="61">
        <v>136.89024425999258</v>
      </c>
      <c r="BP21" s="61">
        <v>136.35910523347923</v>
      </c>
      <c r="BQ21" s="61">
        <v>136.08559820313926</v>
      </c>
      <c r="BR21" s="61">
        <v>135.44556880516478</v>
      </c>
      <c r="BS21" s="61">
        <v>134.49385528648449</v>
      </c>
      <c r="BT21" s="61">
        <v>133.66747613364404</v>
      </c>
      <c r="BU21" s="61">
        <v>132.96321672575218</v>
      </c>
      <c r="BV21" s="61">
        <v>132.29376011559972</v>
      </c>
      <c r="BW21" s="61">
        <v>130.9664535019613</v>
      </c>
      <c r="BX21" s="61">
        <v>129.84836524639243</v>
      </c>
      <c r="BY21" s="61">
        <v>128.23866867836941</v>
      </c>
      <c r="BZ21" s="61">
        <v>127.8437580152592</v>
      </c>
      <c r="CA21" s="61">
        <v>127.61926009982143</v>
      </c>
      <c r="CB21" s="61">
        <v>128.2287636246148</v>
      </c>
      <c r="CC21" s="61">
        <v>128.56357127264948</v>
      </c>
      <c r="CD21" s="61">
        <v>128.83424455067106</v>
      </c>
      <c r="CE21" s="61">
        <v>130.24842505922666</v>
      </c>
      <c r="CF21" s="61">
        <v>131.52933796539091</v>
      </c>
      <c r="CG21" s="61">
        <v>132.58354994197975</v>
      </c>
      <c r="CH21" s="61">
        <v>132.89553985602592</v>
      </c>
      <c r="CI21" s="61">
        <v>133.3748499511596</v>
      </c>
      <c r="CJ21" s="61">
        <v>133.52116693379571</v>
      </c>
      <c r="CK21" s="61">
        <v>134.9788964879867</v>
      </c>
      <c r="CL21" s="61">
        <v>135.62401071811527</v>
      </c>
      <c r="CM21" s="61">
        <v>135.05859139384916</v>
      </c>
      <c r="CN21" s="61">
        <v>133.48371262186245</v>
      </c>
      <c r="CO21" s="61">
        <v>132.0563495495943</v>
      </c>
      <c r="CP21" s="61">
        <v>132.5262233757262</v>
      </c>
      <c r="CQ21" s="61">
        <v>133.54395514134237</v>
      </c>
      <c r="CR21" s="61">
        <v>133.71347042004467</v>
      </c>
      <c r="CS21" s="61">
        <v>133.73200223665265</v>
      </c>
      <c r="CT21" s="61">
        <v>133.46973262419615</v>
      </c>
      <c r="CU21" s="61">
        <v>133.3491560561292</v>
      </c>
      <c r="CV21" s="61">
        <v>133.04220281581379</v>
      </c>
      <c r="CW21" s="61">
        <v>133.02479144819594</v>
      </c>
    </row>
    <row r="22" spans="1:101" s="37" customFormat="1" ht="16.5" customHeight="1">
      <c r="A22" s="45"/>
      <c r="B22" s="46" t="s">
        <v>133</v>
      </c>
      <c r="C22" s="61">
        <v>98.279746766531503</v>
      </c>
      <c r="D22" s="61">
        <v>96.511244213696386</v>
      </c>
      <c r="E22" s="61">
        <v>94.807427412677612</v>
      </c>
      <c r="F22" s="61">
        <v>93.928999861376539</v>
      </c>
      <c r="G22" s="61">
        <v>94.41711707369133</v>
      </c>
      <c r="H22" s="61">
        <v>94.757378941620189</v>
      </c>
      <c r="I22" s="61">
        <v>94.056240882380408</v>
      </c>
      <c r="J22" s="61">
        <v>94.736175446972581</v>
      </c>
      <c r="K22" s="61">
        <v>96.594353246595531</v>
      </c>
      <c r="L22" s="61">
        <v>98.222694410109582</v>
      </c>
      <c r="M22" s="61">
        <v>99.225465866831541</v>
      </c>
      <c r="N22" s="61">
        <v>100.43777255778268</v>
      </c>
      <c r="O22" s="61">
        <v>101.89410858804861</v>
      </c>
      <c r="P22" s="61">
        <v>103.50180353806222</v>
      </c>
      <c r="Q22" s="61">
        <v>104.83835803230322</v>
      </c>
      <c r="R22" s="61">
        <v>105.88508570749775</v>
      </c>
      <c r="S22" s="61">
        <v>107.9015811118183</v>
      </c>
      <c r="T22" s="61">
        <v>109.64034718879743</v>
      </c>
      <c r="U22" s="61">
        <v>110.71063737911516</v>
      </c>
      <c r="V22" s="61">
        <v>111.85744354225547</v>
      </c>
      <c r="W22" s="61">
        <v>114.17531420159962</v>
      </c>
      <c r="X22" s="61">
        <v>115.74213296167112</v>
      </c>
      <c r="Y22" s="61">
        <v>116.96632259964372</v>
      </c>
      <c r="Z22" s="61">
        <v>119.09987603164393</v>
      </c>
      <c r="AA22" s="61">
        <v>121.1547046870739</v>
      </c>
      <c r="AB22" s="61">
        <v>123.15196872197195</v>
      </c>
      <c r="AC22" s="61">
        <v>125.3169021859801</v>
      </c>
      <c r="AD22" s="61">
        <v>127.03329965098494</v>
      </c>
      <c r="AE22" s="61">
        <v>126.74958197227159</v>
      </c>
      <c r="AF22" s="61">
        <v>126.21114257024048</v>
      </c>
      <c r="AG22" s="61">
        <v>125.50934701922115</v>
      </c>
      <c r="AH22" s="61">
        <v>125.07992495174538</v>
      </c>
      <c r="AI22" s="61">
        <v>125.65604329732817</v>
      </c>
      <c r="AJ22" s="61">
        <v>126.38763282929612</v>
      </c>
      <c r="AK22" s="61">
        <v>127.54748726189207</v>
      </c>
      <c r="AL22" s="61">
        <v>128.94264868220532</v>
      </c>
      <c r="AM22" s="61">
        <v>130.74187791129262</v>
      </c>
      <c r="AN22" s="61">
        <v>131.78380060485884</v>
      </c>
      <c r="AO22" s="61">
        <v>132.50229363848214</v>
      </c>
      <c r="AP22" s="61">
        <v>134.0330260900061</v>
      </c>
      <c r="AQ22" s="61">
        <v>136.09966581090785</v>
      </c>
      <c r="AR22" s="61">
        <v>137.58649402241701</v>
      </c>
      <c r="AS22" s="61">
        <v>137.14668967919783</v>
      </c>
      <c r="AT22" s="61">
        <v>136.09164125072243</v>
      </c>
      <c r="AU22" s="61">
        <v>135.82589211384914</v>
      </c>
      <c r="AV22" s="61">
        <v>136.19596130529666</v>
      </c>
      <c r="AW22" s="61">
        <v>136.58923149202522</v>
      </c>
      <c r="AX22" s="61">
        <v>136.6528264119269</v>
      </c>
      <c r="AY22" s="61">
        <v>136.69496373551871</v>
      </c>
      <c r="AZ22" s="61">
        <v>138.02132721006225</v>
      </c>
      <c r="BA22" s="61">
        <v>137.55144818696792</v>
      </c>
      <c r="BB22" s="61">
        <v>136.65848861406619</v>
      </c>
      <c r="BC22" s="61">
        <v>137.07320444118469</v>
      </c>
      <c r="BD22" s="61">
        <v>137.38714771559529</v>
      </c>
      <c r="BE22" s="61">
        <v>136.66971683590634</v>
      </c>
      <c r="BF22" s="61">
        <v>137.19203166716176</v>
      </c>
      <c r="BG22" s="61">
        <v>137.99466189260485</v>
      </c>
      <c r="BH22" s="61">
        <v>138.01949336886236</v>
      </c>
      <c r="BI22" s="61">
        <v>137.37537874822405</v>
      </c>
      <c r="BJ22" s="61">
        <v>137.35886408278853</v>
      </c>
      <c r="BK22" s="61">
        <v>138.02164474578919</v>
      </c>
      <c r="BL22" s="61">
        <v>138.85494291751999</v>
      </c>
      <c r="BM22" s="61">
        <v>138.78552797660598</v>
      </c>
      <c r="BN22" s="61">
        <v>138.90902421187803</v>
      </c>
      <c r="BO22" s="61">
        <v>140.22919390559102</v>
      </c>
      <c r="BP22" s="61">
        <v>140.49015422075499</v>
      </c>
      <c r="BQ22" s="61">
        <v>139.89236643312771</v>
      </c>
      <c r="BR22" s="61">
        <v>138.9573128501211</v>
      </c>
      <c r="BS22" s="61">
        <v>137.92060065472518</v>
      </c>
      <c r="BT22" s="61">
        <v>137.27527518624993</v>
      </c>
      <c r="BU22" s="61">
        <v>135.53192970719491</v>
      </c>
      <c r="BV22" s="61">
        <v>134.62139978887342</v>
      </c>
      <c r="BW22" s="61">
        <v>133.57974430759313</v>
      </c>
      <c r="BX22" s="61">
        <v>133.09882896224576</v>
      </c>
      <c r="BY22" s="61">
        <v>131.92244705759984</v>
      </c>
      <c r="BZ22" s="61">
        <v>131.86675457980834</v>
      </c>
      <c r="CA22" s="61">
        <v>131.80299662219457</v>
      </c>
      <c r="CB22" s="61">
        <v>132.02369327376371</v>
      </c>
      <c r="CC22" s="61">
        <v>132.05815689790364</v>
      </c>
      <c r="CD22" s="61">
        <v>132.06617759169737</v>
      </c>
      <c r="CE22" s="61">
        <v>132.70584692369255</v>
      </c>
      <c r="CF22" s="61">
        <v>133.49358362296402</v>
      </c>
      <c r="CG22" s="61">
        <v>133.91796081061037</v>
      </c>
      <c r="CH22" s="61">
        <v>134.26711742701625</v>
      </c>
      <c r="CI22" s="61">
        <v>135.18542772660419</v>
      </c>
      <c r="CJ22" s="61">
        <v>136.01614384186416</v>
      </c>
      <c r="CK22" s="61">
        <v>136.10516547261986</v>
      </c>
      <c r="CL22" s="61">
        <v>137.13711724669733</v>
      </c>
      <c r="CM22" s="61">
        <v>137.51105850206858</v>
      </c>
      <c r="CN22" s="61">
        <v>136.83875300011215</v>
      </c>
      <c r="CO22" s="61">
        <v>135.00721919763899</v>
      </c>
      <c r="CP22" s="61">
        <v>134.35198854868577</v>
      </c>
      <c r="CQ22" s="61">
        <v>134.89758245070368</v>
      </c>
      <c r="CR22" s="61">
        <v>134.87066962027657</v>
      </c>
      <c r="CS22" s="61">
        <v>133.9647471395285</v>
      </c>
      <c r="CT22" s="61">
        <v>133.26463767031314</v>
      </c>
      <c r="CU22" s="61">
        <v>132.86787607966207</v>
      </c>
      <c r="CV22" s="61">
        <v>132.53501881583699</v>
      </c>
      <c r="CW22" s="61">
        <v>132.08170666299631</v>
      </c>
    </row>
    <row r="23" spans="1:101" s="37" customFormat="1" ht="16.5" customHeight="1" thickBot="1">
      <c r="A23" s="43" t="s">
        <v>134</v>
      </c>
      <c r="B23" s="44"/>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c r="BK23" s="60"/>
      <c r="BL23" s="60"/>
      <c r="BM23" s="60"/>
      <c r="BN23" s="60"/>
      <c r="BO23" s="60"/>
      <c r="BP23" s="60"/>
      <c r="BQ23" s="60"/>
      <c r="BR23" s="60"/>
      <c r="BS23" s="60"/>
      <c r="BT23" s="60"/>
      <c r="BU23" s="60"/>
      <c r="BV23" s="60"/>
      <c r="BW23" s="60"/>
      <c r="BX23" s="60"/>
      <c r="BY23" s="60"/>
      <c r="BZ23" s="60"/>
      <c r="CA23" s="60"/>
      <c r="CB23" s="60"/>
      <c r="CC23" s="60"/>
      <c r="CD23" s="60"/>
      <c r="CE23" s="60"/>
      <c r="CF23" s="60"/>
      <c r="CG23" s="60"/>
      <c r="CH23" s="60"/>
      <c r="CI23" s="60"/>
      <c r="CJ23" s="60"/>
      <c r="CK23" s="60"/>
      <c r="CL23" s="60"/>
      <c r="CM23" s="60"/>
      <c r="CN23" s="60"/>
      <c r="CO23" s="60"/>
      <c r="CP23" s="60"/>
      <c r="CQ23" s="60"/>
      <c r="CR23" s="60"/>
      <c r="CS23" s="60"/>
      <c r="CT23" s="60"/>
      <c r="CU23" s="60"/>
      <c r="CV23" s="60"/>
      <c r="CW23" s="60"/>
    </row>
    <row r="24" spans="1:101" s="37" customFormat="1" ht="16.5" customHeight="1">
      <c r="A24" s="45"/>
      <c r="B24" s="46" t="s">
        <v>135</v>
      </c>
      <c r="C24" s="61">
        <v>96.671560252203392</v>
      </c>
      <c r="D24" s="61">
        <v>93.378651342755234</v>
      </c>
      <c r="E24" s="61">
        <v>91.320126475760162</v>
      </c>
      <c r="F24" s="61">
        <v>91.052464247290047</v>
      </c>
      <c r="G24" s="61">
        <v>91.82796409826102</v>
      </c>
      <c r="H24" s="61">
        <v>93.134225940249976</v>
      </c>
      <c r="I24" s="61">
        <v>94.620296959759045</v>
      </c>
      <c r="J24" s="61">
        <v>96.470580019697408</v>
      </c>
      <c r="K24" s="61">
        <v>99.921463186361237</v>
      </c>
      <c r="L24" s="61">
        <v>102.8421491069533</v>
      </c>
      <c r="M24" s="61">
        <v>104.60349131338194</v>
      </c>
      <c r="N24" s="61">
        <v>106.12908303996441</v>
      </c>
      <c r="O24" s="61">
        <v>108.80502406976909</v>
      </c>
      <c r="P24" s="61">
        <v>111.10379053710783</v>
      </c>
      <c r="Q24" s="61">
        <v>112.87006683645065</v>
      </c>
      <c r="R24" s="61">
        <v>115.22236102167194</v>
      </c>
      <c r="S24" s="61">
        <v>118.79049376469136</v>
      </c>
      <c r="T24" s="61">
        <v>120.24754130621791</v>
      </c>
      <c r="U24" s="61">
        <v>121.40249586357726</v>
      </c>
      <c r="V24" s="61">
        <v>122.72207200969162</v>
      </c>
      <c r="W24" s="61">
        <v>124.47548274575372</v>
      </c>
      <c r="X24" s="61">
        <v>125.79602548441478</v>
      </c>
      <c r="Y24" s="61">
        <v>127.54946818613791</v>
      </c>
      <c r="Z24" s="61">
        <v>129.43896009242712</v>
      </c>
      <c r="AA24" s="61">
        <v>132.35316338363779</v>
      </c>
      <c r="AB24" s="61">
        <v>133.05035881708307</v>
      </c>
      <c r="AC24" s="61">
        <v>134.08960751501036</v>
      </c>
      <c r="AD24" s="61">
        <v>135.07206274282134</v>
      </c>
      <c r="AE24" s="61">
        <v>134.4822338933898</v>
      </c>
      <c r="AF24" s="61">
        <v>132.7964659383824</v>
      </c>
      <c r="AG24" s="61">
        <v>131.31834570212348</v>
      </c>
      <c r="AH24" s="61">
        <v>131.56588199244098</v>
      </c>
      <c r="AI24" s="61">
        <v>132.98783523755938</v>
      </c>
      <c r="AJ24" s="61">
        <v>133.74178399437915</v>
      </c>
      <c r="AK24" s="61">
        <v>135.21947613441333</v>
      </c>
      <c r="AL24" s="61">
        <v>136.18166796845557</v>
      </c>
      <c r="AM24" s="61">
        <v>138.17701652407644</v>
      </c>
      <c r="AN24" s="61">
        <v>138.38841406149643</v>
      </c>
      <c r="AO24" s="61">
        <v>138.27001935993567</v>
      </c>
      <c r="AP24" s="61">
        <v>139.84971800338022</v>
      </c>
      <c r="AQ24" s="61">
        <v>141.5445930313353</v>
      </c>
      <c r="AR24" s="61">
        <v>141.14926408034975</v>
      </c>
      <c r="AS24" s="61">
        <v>140.34432424567885</v>
      </c>
      <c r="AT24" s="61">
        <v>140.20441607210009</v>
      </c>
      <c r="AU24" s="61">
        <v>141.80998143096573</v>
      </c>
      <c r="AV24" s="61">
        <v>141.79219051991865</v>
      </c>
      <c r="AW24" s="61">
        <v>140.32252093788961</v>
      </c>
      <c r="AX24" s="61">
        <v>141.9732097240144</v>
      </c>
      <c r="AY24" s="61">
        <v>142.90508787759097</v>
      </c>
      <c r="AZ24" s="61">
        <v>142.45554730208593</v>
      </c>
      <c r="BA24" s="61">
        <v>140.90583333270385</v>
      </c>
      <c r="BB24" s="61">
        <v>140.4580523871573</v>
      </c>
      <c r="BC24" s="61">
        <v>141.05434706802578</v>
      </c>
      <c r="BD24" s="61">
        <v>141.41747307526268</v>
      </c>
      <c r="BE24" s="61">
        <v>141.53027916244977</v>
      </c>
      <c r="BF24" s="61">
        <v>142.31395065584545</v>
      </c>
      <c r="BG24" s="61">
        <v>142.61315556618038</v>
      </c>
      <c r="BH24" s="61">
        <v>141.58377974571241</v>
      </c>
      <c r="BI24" s="61">
        <v>139.16907550920939</v>
      </c>
      <c r="BJ24" s="61">
        <v>137.3619219109919</v>
      </c>
      <c r="BK24" s="61">
        <v>136.29690247225605</v>
      </c>
      <c r="BL24" s="61">
        <v>135.16733356049338</v>
      </c>
      <c r="BM24" s="61">
        <v>133.81391026899516</v>
      </c>
      <c r="BN24" s="61">
        <v>133.18683291240629</v>
      </c>
      <c r="BO24" s="61">
        <v>133.71225311802451</v>
      </c>
      <c r="BP24" s="61">
        <v>133.74269953029113</v>
      </c>
      <c r="BQ24" s="61">
        <v>132.51754208739806</v>
      </c>
      <c r="BR24" s="61">
        <v>131.22076302102258</v>
      </c>
      <c r="BS24" s="61">
        <v>129.69323481868824</v>
      </c>
      <c r="BT24" s="61">
        <v>128.08217218133481</v>
      </c>
      <c r="BU24" s="61">
        <v>126.46759104804967</v>
      </c>
      <c r="BV24" s="61">
        <v>125.70806139887976</v>
      </c>
      <c r="BW24" s="61">
        <v>124.04341739528464</v>
      </c>
      <c r="BX24" s="61">
        <v>123.8434538864343</v>
      </c>
      <c r="BY24" s="61">
        <v>122.64741987897965</v>
      </c>
      <c r="BZ24" s="61">
        <v>122.52966089152504</v>
      </c>
      <c r="CA24" s="61">
        <v>122.95123727671155</v>
      </c>
      <c r="CB24" s="61">
        <v>123.04923312186645</v>
      </c>
      <c r="CC24" s="61">
        <v>123.26011551177307</v>
      </c>
      <c r="CD24" s="61">
        <v>123.68775656434275</v>
      </c>
      <c r="CE24" s="61">
        <v>124.37290575782913</v>
      </c>
      <c r="CF24" s="61">
        <v>125.36636522057324</v>
      </c>
      <c r="CG24" s="61">
        <v>126.22161705723317</v>
      </c>
      <c r="CH24" s="61">
        <v>126.87659318120375</v>
      </c>
      <c r="CI24" s="61">
        <v>127.33419128934345</v>
      </c>
      <c r="CJ24" s="61">
        <v>127.83733179055157</v>
      </c>
      <c r="CK24" s="61">
        <v>128.75375579636614</v>
      </c>
      <c r="CL24" s="61">
        <v>129.48238415390796</v>
      </c>
      <c r="CM24" s="61">
        <v>129.34252899491517</v>
      </c>
      <c r="CN24" s="61">
        <v>128.60153623556798</v>
      </c>
      <c r="CO24" s="61">
        <v>126.94838491473179</v>
      </c>
      <c r="CP24" s="61">
        <v>126.2491562785399</v>
      </c>
      <c r="CQ24" s="61">
        <v>126.98583506705013</v>
      </c>
      <c r="CR24" s="61">
        <v>127.85015102774037</v>
      </c>
      <c r="CS24" s="61">
        <v>127.82219206534506</v>
      </c>
      <c r="CT24" s="61">
        <v>126.93118485209477</v>
      </c>
      <c r="CU24" s="61">
        <v>126.36569425778255</v>
      </c>
      <c r="CV24" s="61">
        <v>125.28124404471886</v>
      </c>
      <c r="CW24" s="61">
        <v>124.82825634404212</v>
      </c>
    </row>
    <row r="25" spans="1:101" s="37" customFormat="1" ht="16.5" customHeight="1">
      <c r="A25" s="45"/>
      <c r="B25" s="46" t="s">
        <v>125</v>
      </c>
      <c r="C25" s="61">
        <v>94.01216528142389</v>
      </c>
      <c r="D25" s="61">
        <v>75.893239342421893</v>
      </c>
      <c r="E25" s="61">
        <v>64.97945054251106</v>
      </c>
      <c r="F25" s="61">
        <v>58.871668345501689</v>
      </c>
      <c r="G25" s="61">
        <v>59.258667496502426</v>
      </c>
      <c r="H25" s="61">
        <v>63.04459315175842</v>
      </c>
      <c r="I25" s="61">
        <v>64.656316220533043</v>
      </c>
      <c r="J25" s="61">
        <v>70.53701137379845</v>
      </c>
      <c r="K25" s="61">
        <v>73.9516652357281</v>
      </c>
      <c r="L25" s="61">
        <v>74.611200178663395</v>
      </c>
      <c r="M25" s="61">
        <v>73.540241584148532</v>
      </c>
      <c r="N25" s="61">
        <v>73.781285301943043</v>
      </c>
      <c r="O25" s="61">
        <v>77.956592449346815</v>
      </c>
      <c r="P25" s="61">
        <v>84.252970097679608</v>
      </c>
      <c r="Q25" s="61">
        <v>94.30388553863132</v>
      </c>
      <c r="R25" s="61">
        <v>99.944969359328482</v>
      </c>
      <c r="S25" s="61">
        <v>105.97306694975101</v>
      </c>
      <c r="T25" s="61">
        <v>108.58594205434258</v>
      </c>
      <c r="U25" s="61">
        <v>115.24560642301726</v>
      </c>
      <c r="V25" s="61">
        <v>116.92611293358931</v>
      </c>
      <c r="W25" s="61">
        <v>121.64722912410718</v>
      </c>
      <c r="X25" s="61">
        <v>125.92807544371381</v>
      </c>
      <c r="Y25" s="61">
        <v>129.39466006082804</v>
      </c>
      <c r="Z25" s="61">
        <v>129.33210636011535</v>
      </c>
      <c r="AA25" s="61">
        <v>127.81845535208426</v>
      </c>
      <c r="AB25" s="61">
        <v>128.97371352006417</v>
      </c>
      <c r="AC25" s="61">
        <v>133.34131087790183</v>
      </c>
      <c r="AD25" s="61">
        <v>133.51797314155291</v>
      </c>
      <c r="AE25" s="61">
        <v>126.996377672702</v>
      </c>
      <c r="AF25" s="61">
        <v>123.38626413347232</v>
      </c>
      <c r="AG25" s="61">
        <v>118.55892430168797</v>
      </c>
      <c r="AH25" s="61">
        <v>117.0034628350774</v>
      </c>
      <c r="AI25" s="61">
        <v>118.34725317204017</v>
      </c>
      <c r="AJ25" s="61">
        <v>120.99370423570251</v>
      </c>
      <c r="AK25" s="61">
        <v>122.01760938852294</v>
      </c>
      <c r="AL25" s="61">
        <v>119.36820356460119</v>
      </c>
      <c r="AM25" s="61">
        <v>117.00879283310489</v>
      </c>
      <c r="AN25" s="61">
        <v>118.44430482524724</v>
      </c>
      <c r="AO25" s="61">
        <v>121.30009694901976</v>
      </c>
      <c r="AP25" s="61">
        <v>120.04454868827429</v>
      </c>
      <c r="AQ25" s="61">
        <v>117.55230438324604</v>
      </c>
      <c r="AR25" s="61">
        <v>116.80420948099135</v>
      </c>
      <c r="AS25" s="61">
        <v>113.21185781966267</v>
      </c>
      <c r="AT25" s="61">
        <v>108.62183837577521</v>
      </c>
      <c r="AU25" s="61">
        <v>105.22117856720511</v>
      </c>
      <c r="AV25" s="61">
        <v>105.38613280773716</v>
      </c>
      <c r="AW25" s="61">
        <v>104.23556698739405</v>
      </c>
      <c r="AX25" s="61">
        <v>102.05064919309096</v>
      </c>
      <c r="AY25" s="61">
        <v>99.912519912299999</v>
      </c>
      <c r="AZ25" s="61">
        <v>98.706085361826922</v>
      </c>
      <c r="BA25" s="61">
        <v>99.425823857236807</v>
      </c>
      <c r="BB25" s="61">
        <v>98.151796408070211</v>
      </c>
      <c r="BC25" s="61">
        <v>97.516070824111694</v>
      </c>
      <c r="BD25" s="61">
        <v>96.47201066370944</v>
      </c>
      <c r="BE25" s="61">
        <v>93.050653922107585</v>
      </c>
      <c r="BF25" s="61">
        <v>92.564948712228599</v>
      </c>
      <c r="BG25" s="61">
        <v>88.380607854793126</v>
      </c>
      <c r="BH25" s="61">
        <v>85.936105074297984</v>
      </c>
      <c r="BI25" s="61">
        <v>83.398509439519415</v>
      </c>
      <c r="BJ25" s="61">
        <v>83.985927680392777</v>
      </c>
      <c r="BK25" s="61">
        <v>83.952905625114752</v>
      </c>
      <c r="BL25" s="61">
        <v>86.406467672698014</v>
      </c>
      <c r="BM25" s="61">
        <v>90.306862608223639</v>
      </c>
      <c r="BN25" s="61">
        <v>93.453432488191581</v>
      </c>
      <c r="BO25" s="61">
        <v>94.032664839295194</v>
      </c>
      <c r="BP25" s="61">
        <v>92.971454168071361</v>
      </c>
      <c r="BQ25" s="61">
        <v>91.913183891921861</v>
      </c>
      <c r="BR25" s="61">
        <v>89.647443183082217</v>
      </c>
      <c r="BS25" s="61">
        <v>86.848295713671703</v>
      </c>
      <c r="BT25" s="61">
        <v>86.889108827888435</v>
      </c>
      <c r="BU25" s="61">
        <v>84.649644377999223</v>
      </c>
      <c r="BV25" s="61">
        <v>81.162382818755702</v>
      </c>
      <c r="BW25" s="61">
        <v>75.877312930875462</v>
      </c>
      <c r="BX25" s="61">
        <v>71.287257031911921</v>
      </c>
      <c r="BY25" s="61">
        <v>66.88215814633088</v>
      </c>
      <c r="BZ25" s="61">
        <v>66.117815158716454</v>
      </c>
      <c r="CA25" s="61">
        <v>66.500105448051315</v>
      </c>
      <c r="CB25" s="61">
        <v>68.753359548637661</v>
      </c>
      <c r="CC25" s="61">
        <v>69.549924007946601</v>
      </c>
      <c r="CD25" s="61">
        <v>71.590879153938005</v>
      </c>
      <c r="CE25" s="61">
        <v>71.850604886087851</v>
      </c>
      <c r="CF25" s="61">
        <v>72.444847879484129</v>
      </c>
      <c r="CG25" s="61">
        <v>73.895823170774506</v>
      </c>
      <c r="CH25" s="61">
        <v>74.211742656211413</v>
      </c>
      <c r="CI25" s="61">
        <v>74.59436074261157</v>
      </c>
      <c r="CJ25" s="61">
        <v>74.941537030129112</v>
      </c>
      <c r="CK25" s="61">
        <v>75.58054372056138</v>
      </c>
      <c r="CL25" s="61">
        <v>75.863275586244967</v>
      </c>
      <c r="CM25" s="61">
        <v>72.144905243021455</v>
      </c>
      <c r="CN25" s="61">
        <v>66.505257008306771</v>
      </c>
      <c r="CO25" s="61">
        <v>63.920285987775962</v>
      </c>
      <c r="CP25" s="61">
        <v>63.977429107607556</v>
      </c>
      <c r="CQ25" s="61">
        <v>64.053747405915303</v>
      </c>
      <c r="CR25" s="61">
        <v>63.310809479767691</v>
      </c>
      <c r="CS25" s="61">
        <v>63.373007519103531</v>
      </c>
      <c r="CT25" s="61">
        <v>63.466002321625616</v>
      </c>
      <c r="CU25" s="61">
        <v>61.69855323343436</v>
      </c>
      <c r="CV25" s="61">
        <v>60.901802502812984</v>
      </c>
      <c r="CW25" s="61">
        <v>61.04955762340122</v>
      </c>
    </row>
    <row r="26" spans="1:101" s="37" customFormat="1" ht="16.5" customHeight="1">
      <c r="A26" s="45"/>
      <c r="B26" s="46" t="s">
        <v>136</v>
      </c>
      <c r="C26" s="61">
        <v>98.24993091458559</v>
      </c>
      <c r="D26" s="61">
        <v>95.382568893429038</v>
      </c>
      <c r="E26" s="61">
        <v>93.234217969602284</v>
      </c>
      <c r="F26" s="61">
        <v>91.938683074061132</v>
      </c>
      <c r="G26" s="61">
        <v>91.926727342606412</v>
      </c>
      <c r="H26" s="61">
        <v>92.015406744746983</v>
      </c>
      <c r="I26" s="61">
        <v>92.215544459112678</v>
      </c>
      <c r="J26" s="61">
        <v>93.1293436879631</v>
      </c>
      <c r="K26" s="61">
        <v>94.429566266039728</v>
      </c>
      <c r="L26" s="61">
        <v>95.445069303342848</v>
      </c>
      <c r="M26" s="61">
        <v>96.5524561886903</v>
      </c>
      <c r="N26" s="61">
        <v>98.091496375866953</v>
      </c>
      <c r="O26" s="61">
        <v>99.983832003601492</v>
      </c>
      <c r="P26" s="61">
        <v>101.51157307116347</v>
      </c>
      <c r="Q26" s="61">
        <v>104.12565099076694</v>
      </c>
      <c r="R26" s="61">
        <v>106.16217828385554</v>
      </c>
      <c r="S26" s="61">
        <v>108.5278960195116</v>
      </c>
      <c r="T26" s="61">
        <v>110.15450923666702</v>
      </c>
      <c r="U26" s="61">
        <v>111.72035557598804</v>
      </c>
      <c r="V26" s="61">
        <v>112.81131176002611</v>
      </c>
      <c r="W26" s="61">
        <v>114.78461541157485</v>
      </c>
      <c r="X26" s="61">
        <v>116.09740377799965</v>
      </c>
      <c r="Y26" s="61">
        <v>117.48575291746448</v>
      </c>
      <c r="Z26" s="61">
        <v>119.06076699003177</v>
      </c>
      <c r="AA26" s="61">
        <v>121.23064342635581</v>
      </c>
      <c r="AB26" s="61">
        <v>122.49670406407945</v>
      </c>
      <c r="AC26" s="61">
        <v>124.41782770291762</v>
      </c>
      <c r="AD26" s="61">
        <v>125.59930309319337</v>
      </c>
      <c r="AE26" s="61">
        <v>125.37713184954744</v>
      </c>
      <c r="AF26" s="61">
        <v>123.86202656587342</v>
      </c>
      <c r="AG26" s="61">
        <v>123.3526713592078</v>
      </c>
      <c r="AH26" s="61">
        <v>123.27163022756936</v>
      </c>
      <c r="AI26" s="61">
        <v>123.6398869206691</v>
      </c>
      <c r="AJ26" s="61">
        <v>124.49128590847964</v>
      </c>
      <c r="AK26" s="61">
        <v>125.76985240749678</v>
      </c>
      <c r="AL26" s="61">
        <v>127.37761162805698</v>
      </c>
      <c r="AM26" s="61">
        <v>128.98192712075675</v>
      </c>
      <c r="AN26" s="61">
        <v>130.33246649836704</v>
      </c>
      <c r="AO26" s="61">
        <v>131.25474865307478</v>
      </c>
      <c r="AP26" s="61">
        <v>132.67571984902966</v>
      </c>
      <c r="AQ26" s="61">
        <v>134.03087683438179</v>
      </c>
      <c r="AR26" s="61">
        <v>133.858790565948</v>
      </c>
      <c r="AS26" s="61">
        <v>133.87973865101608</v>
      </c>
      <c r="AT26" s="61">
        <v>133.37458121295916</v>
      </c>
      <c r="AU26" s="61">
        <v>133.27793628254054</v>
      </c>
      <c r="AV26" s="61">
        <v>133.56471557127986</v>
      </c>
      <c r="AW26" s="61">
        <v>133.72468559944613</v>
      </c>
      <c r="AX26" s="61">
        <v>134.36024618357212</v>
      </c>
      <c r="AY26" s="61">
        <v>135.23026651168854</v>
      </c>
      <c r="AZ26" s="61">
        <v>135.55393055321838</v>
      </c>
      <c r="BA26" s="61">
        <v>135.40864757558214</v>
      </c>
      <c r="BB26" s="61">
        <v>135.57809194783317</v>
      </c>
      <c r="BC26" s="61">
        <v>135.58152326266165</v>
      </c>
      <c r="BD26" s="61">
        <v>135.87417892398318</v>
      </c>
      <c r="BE26" s="61">
        <v>136.13487007791775</v>
      </c>
      <c r="BF26" s="61">
        <v>136.98237223336153</v>
      </c>
      <c r="BG26" s="61">
        <v>137.91371243321331</v>
      </c>
      <c r="BH26" s="61">
        <v>138.58249392953175</v>
      </c>
      <c r="BI26" s="61">
        <v>138.72361368696588</v>
      </c>
      <c r="BJ26" s="61">
        <v>138.85514797179508</v>
      </c>
      <c r="BK26" s="61">
        <v>139.57753395302208</v>
      </c>
      <c r="BL26" s="61">
        <v>140.33346389537158</v>
      </c>
      <c r="BM26" s="61">
        <v>140.56616236691426</v>
      </c>
      <c r="BN26" s="61">
        <v>141.08972488410942</v>
      </c>
      <c r="BO26" s="61">
        <v>142.15840181417821</v>
      </c>
      <c r="BP26" s="61">
        <v>142.25641065455687</v>
      </c>
      <c r="BQ26" s="61">
        <v>141.85329567964041</v>
      </c>
      <c r="BR26" s="61">
        <v>141.20134011823419</v>
      </c>
      <c r="BS26" s="61">
        <v>140.55766296366573</v>
      </c>
      <c r="BT26" s="61">
        <v>140.28077594566756</v>
      </c>
      <c r="BU26" s="61">
        <v>139.59055003905803</v>
      </c>
      <c r="BV26" s="61">
        <v>139.2793065589745</v>
      </c>
      <c r="BW26" s="61">
        <v>139.18373202711521</v>
      </c>
      <c r="BX26" s="61">
        <v>139.04568251471309</v>
      </c>
      <c r="BY26" s="61">
        <v>137.89491017203011</v>
      </c>
      <c r="BZ26" s="61">
        <v>137.42805368995667</v>
      </c>
      <c r="CA26" s="61">
        <v>136.89862548435224</v>
      </c>
      <c r="CB26" s="61">
        <v>136.9589958226934</v>
      </c>
      <c r="CC26" s="61">
        <v>136.57274031113272</v>
      </c>
      <c r="CD26" s="61">
        <v>136.36177291696626</v>
      </c>
      <c r="CE26" s="61">
        <v>137.54221754679295</v>
      </c>
      <c r="CF26" s="61">
        <v>138.34470121677705</v>
      </c>
      <c r="CG26" s="61">
        <v>138.92714929533506</v>
      </c>
      <c r="CH26" s="61">
        <v>139.62433752896231</v>
      </c>
      <c r="CI26" s="61">
        <v>140.5234291324451</v>
      </c>
      <c r="CJ26" s="61">
        <v>141.18746287749426</v>
      </c>
      <c r="CK26" s="61">
        <v>141.74122260458131</v>
      </c>
      <c r="CL26" s="61">
        <v>142.49039955928754</v>
      </c>
      <c r="CM26" s="61">
        <v>143.0690397362678</v>
      </c>
      <c r="CN26" s="61">
        <v>142.89050910161194</v>
      </c>
      <c r="CO26" s="61">
        <v>141.71531335196832</v>
      </c>
      <c r="CP26" s="61">
        <v>141.61351785375959</v>
      </c>
      <c r="CQ26" s="61">
        <v>142.33674839703249</v>
      </c>
      <c r="CR26" s="61">
        <v>142.15079127189844</v>
      </c>
      <c r="CS26" s="61">
        <v>141.25539118644124</v>
      </c>
      <c r="CT26" s="61">
        <v>140.68170624503401</v>
      </c>
      <c r="CU26" s="61">
        <v>140.97119999077572</v>
      </c>
      <c r="CV26" s="61">
        <v>140.83584779733624</v>
      </c>
      <c r="CW26" s="61">
        <v>140.34342715375141</v>
      </c>
    </row>
    <row r="27" spans="1:101" s="39" customFormat="1" ht="21" customHeight="1">
      <c r="A27" s="41" t="s">
        <v>137</v>
      </c>
      <c r="B27" s="42"/>
      <c r="C27" s="59"/>
      <c r="D27" s="59"/>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row>
    <row r="28" spans="1:101" s="37" customFormat="1" ht="16.5" customHeight="1" thickBot="1">
      <c r="A28" s="43" t="s">
        <v>121</v>
      </c>
      <c r="B28" s="44"/>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c r="BK28" s="60"/>
      <c r="BL28" s="60"/>
      <c r="BM28" s="60"/>
      <c r="BN28" s="60"/>
      <c r="BO28" s="60"/>
      <c r="BP28" s="60"/>
      <c r="BQ28" s="60"/>
      <c r="BR28" s="60"/>
      <c r="BS28" s="60"/>
      <c r="BT28" s="60"/>
      <c r="BU28" s="60"/>
      <c r="BV28" s="60"/>
      <c r="BW28" s="60"/>
      <c r="BX28" s="60"/>
      <c r="BY28" s="60"/>
      <c r="BZ28" s="60"/>
      <c r="CA28" s="60"/>
      <c r="CB28" s="60"/>
      <c r="CC28" s="60"/>
      <c r="CD28" s="60"/>
      <c r="CE28" s="60"/>
      <c r="CF28" s="60"/>
      <c r="CG28" s="60"/>
      <c r="CH28" s="60"/>
      <c r="CI28" s="60"/>
      <c r="CJ28" s="60"/>
      <c r="CK28" s="60"/>
      <c r="CL28" s="60"/>
      <c r="CM28" s="60"/>
      <c r="CN28" s="60"/>
      <c r="CO28" s="60"/>
      <c r="CP28" s="60"/>
      <c r="CQ28" s="60"/>
      <c r="CR28" s="60"/>
      <c r="CS28" s="60"/>
      <c r="CT28" s="60"/>
      <c r="CU28" s="60"/>
      <c r="CV28" s="60"/>
      <c r="CW28" s="60"/>
    </row>
    <row r="29" spans="1:101" s="37" customFormat="1" ht="16.5" customHeight="1">
      <c r="A29" s="45"/>
      <c r="B29" s="46" t="s">
        <v>122</v>
      </c>
      <c r="C29" s="61" t="s">
        <v>8</v>
      </c>
      <c r="D29" s="62">
        <v>-3.4062850551469293</v>
      </c>
      <c r="E29" s="62">
        <v>-2.2044919661979856</v>
      </c>
      <c r="F29" s="62">
        <v>-0.29310321700131148</v>
      </c>
      <c r="G29" s="62">
        <v>0.85170660385949226</v>
      </c>
      <c r="H29" s="62">
        <v>1.4225098583163343</v>
      </c>
      <c r="I29" s="62">
        <v>1.5956228813910567</v>
      </c>
      <c r="J29" s="62">
        <v>1.9554821950360957</v>
      </c>
      <c r="K29" s="62">
        <v>3.5771352944692802</v>
      </c>
      <c r="L29" s="62">
        <v>2.9229815371546009</v>
      </c>
      <c r="M29" s="62">
        <v>1.7126656937097584</v>
      </c>
      <c r="N29" s="62">
        <v>1.458452014772571</v>
      </c>
      <c r="O29" s="62">
        <v>2.5214021954726773</v>
      </c>
      <c r="P29" s="62">
        <v>2.1127392664006983</v>
      </c>
      <c r="Q29" s="62">
        <v>1.5897534105759448</v>
      </c>
      <c r="R29" s="62">
        <v>2.0840726431302414</v>
      </c>
      <c r="S29" s="62">
        <v>3.0967363551492433</v>
      </c>
      <c r="T29" s="62">
        <v>1.2265691431612158</v>
      </c>
      <c r="U29" s="62">
        <v>0.96048080884929554</v>
      </c>
      <c r="V29" s="62">
        <v>1.0869431775086369</v>
      </c>
      <c r="W29" s="62">
        <v>1.428765589879899</v>
      </c>
      <c r="X29" s="62">
        <v>1.0608858142437061</v>
      </c>
      <c r="Y29" s="62">
        <v>1.3938776642353989</v>
      </c>
      <c r="Z29" s="62">
        <v>1.4813796820632774</v>
      </c>
      <c r="AA29" s="62">
        <v>2.2514112359445448</v>
      </c>
      <c r="AB29" s="62">
        <v>0.52676899865580218</v>
      </c>
      <c r="AC29" s="62">
        <v>0.78109424669499106</v>
      </c>
      <c r="AD29" s="62">
        <v>0.73268558691321761</v>
      </c>
      <c r="AE29" s="62">
        <v>-0.43667716140129986</v>
      </c>
      <c r="AF29" s="62">
        <v>-1.2535246524412957</v>
      </c>
      <c r="AG29" s="62">
        <v>-1.1130719675512823</v>
      </c>
      <c r="AH29" s="62">
        <v>0.188500920411383</v>
      </c>
      <c r="AI29" s="62">
        <v>1.0807917855178539</v>
      </c>
      <c r="AJ29" s="62">
        <v>0.56693061848323012</v>
      </c>
      <c r="AK29" s="62">
        <v>1.1048844242247391</v>
      </c>
      <c r="AL29" s="62">
        <v>0.71157784481119535</v>
      </c>
      <c r="AM29" s="62">
        <v>1.4652108359276772</v>
      </c>
      <c r="AN29" s="62">
        <v>0.15299037621294698</v>
      </c>
      <c r="AO29" s="62">
        <v>-8.555246648620507E-2</v>
      </c>
      <c r="AP29" s="62">
        <v>1.1424737269562169</v>
      </c>
      <c r="AQ29" s="62">
        <v>1.2119259531965021</v>
      </c>
      <c r="AR29" s="62">
        <v>-0.27929639876672629</v>
      </c>
      <c r="AS29" s="62">
        <v>-0.57027561561545648</v>
      </c>
      <c r="AT29" s="62">
        <v>-9.968922813996528E-2</v>
      </c>
      <c r="AU29" s="62">
        <v>1.1451603336374072</v>
      </c>
      <c r="AV29" s="62">
        <v>-1.2545598601421126E-2</v>
      </c>
      <c r="AW29" s="62">
        <v>-1.0364954350730482</v>
      </c>
      <c r="AX29" s="62">
        <v>1.1763534285814448</v>
      </c>
      <c r="AY29" s="62">
        <v>0.6563760553051301</v>
      </c>
      <c r="AZ29" s="62">
        <v>-0.31457282744901116</v>
      </c>
      <c r="BA29" s="62">
        <v>-1.0878579309346326</v>
      </c>
      <c r="BB29" s="62">
        <v>-0.31778737257048828</v>
      </c>
      <c r="BC29" s="62">
        <v>0.42453577472714166</v>
      </c>
      <c r="BD29" s="62">
        <v>0.25743694879660772</v>
      </c>
      <c r="BE29" s="62">
        <v>7.9768139490843382E-2</v>
      </c>
      <c r="BF29" s="62">
        <v>0.55371295671378107</v>
      </c>
      <c r="BG29" s="62">
        <v>0.21024285318205216</v>
      </c>
      <c r="BH29" s="62">
        <v>-0.72179583740455966</v>
      </c>
      <c r="BI29" s="62">
        <v>-1.7054949661888363</v>
      </c>
      <c r="BJ29" s="62">
        <v>-1.2985310074132839</v>
      </c>
      <c r="BK29" s="62">
        <v>-0.77533818973933855</v>
      </c>
      <c r="BL29" s="62">
        <v>-0.82875611350933243</v>
      </c>
      <c r="BM29" s="62">
        <v>-1.0012946588847993</v>
      </c>
      <c r="BN29" s="62">
        <v>-0.46861896145797832</v>
      </c>
      <c r="BO29" s="62">
        <v>0.394498610807692</v>
      </c>
      <c r="BP29" s="62">
        <v>2.2770098892688218E-2</v>
      </c>
      <c r="BQ29" s="62">
        <v>-0.91605556579601455</v>
      </c>
      <c r="BR29" s="62">
        <v>-0.97857162602685843</v>
      </c>
      <c r="BS29" s="62">
        <v>-1.1640903216586396</v>
      </c>
      <c r="BT29" s="62">
        <v>-1.2422102352568354</v>
      </c>
      <c r="BU29" s="62">
        <v>-1.2605822541791878</v>
      </c>
      <c r="BV29" s="62">
        <v>-0.60057256003345216</v>
      </c>
      <c r="BW29" s="62">
        <v>-1.3242142031871018</v>
      </c>
      <c r="BX29" s="62">
        <v>-0.16120445006212458</v>
      </c>
      <c r="BY29" s="62">
        <v>-0.96576279966434919</v>
      </c>
      <c r="BZ29" s="62">
        <v>-9.6014239493014131E-2</v>
      </c>
      <c r="CA29" s="62">
        <v>0.34406068058878692</v>
      </c>
      <c r="CB29" s="62">
        <v>7.9703016679988359E-2</v>
      </c>
      <c r="CC29" s="62">
        <v>0.17138049913545395</v>
      </c>
      <c r="CD29" s="62">
        <v>0.34694195344060486</v>
      </c>
      <c r="CE29" s="62">
        <v>0.55393453039951357</v>
      </c>
      <c r="CF29" s="62">
        <v>0.79877482695347446</v>
      </c>
      <c r="CG29" s="62">
        <v>0.68220198867150472</v>
      </c>
      <c r="CH29" s="62">
        <v>0.51890962835121623</v>
      </c>
      <c r="CI29" s="62">
        <v>0.36066393072688996</v>
      </c>
      <c r="CJ29" s="62">
        <v>0.3951338569110785</v>
      </c>
      <c r="CK29" s="62">
        <v>0.71686728202058347</v>
      </c>
      <c r="CL29" s="62">
        <v>0.56590842964938659</v>
      </c>
      <c r="CM29" s="62">
        <v>-0.10801095446817399</v>
      </c>
      <c r="CN29" s="62">
        <v>-0.57289181300631542</v>
      </c>
      <c r="CO29" s="62">
        <v>-1.2854833380901431</v>
      </c>
      <c r="CP29" s="62">
        <v>-0.55079758333400619</v>
      </c>
      <c r="CQ29" s="62">
        <v>0.58351185087124335</v>
      </c>
      <c r="CR29" s="62">
        <v>0.68063966365530248</v>
      </c>
      <c r="CS29" s="62">
        <v>-2.186854076475786E-2</v>
      </c>
      <c r="CT29" s="62">
        <v>-0.69706769916353384</v>
      </c>
      <c r="CU29" s="62">
        <v>-0.44550958456044398</v>
      </c>
      <c r="CV29" s="62">
        <v>-0.8581840343878766</v>
      </c>
      <c r="CW29" s="62">
        <v>-0.3615766303494361</v>
      </c>
    </row>
    <row r="30" spans="1:101" s="37" customFormat="1" ht="16.5" customHeight="1">
      <c r="A30" s="45"/>
      <c r="B30" s="46" t="s">
        <v>123</v>
      </c>
      <c r="C30" s="61"/>
      <c r="D30" s="61" t="s">
        <v>124</v>
      </c>
      <c r="E30" s="61" t="s">
        <v>124</v>
      </c>
      <c r="F30" s="61" t="s">
        <v>124</v>
      </c>
      <c r="G30" s="61" t="s">
        <v>124</v>
      </c>
      <c r="H30" s="61" t="s">
        <v>124</v>
      </c>
      <c r="I30" s="61" t="s">
        <v>124</v>
      </c>
      <c r="J30" s="61" t="s">
        <v>124</v>
      </c>
      <c r="K30" s="61" t="s">
        <v>124</v>
      </c>
      <c r="L30" s="61" t="s">
        <v>124</v>
      </c>
      <c r="M30" s="61" t="s">
        <v>124</v>
      </c>
      <c r="N30" s="61" t="s">
        <v>124</v>
      </c>
      <c r="O30" s="61" t="s">
        <v>124</v>
      </c>
      <c r="P30" s="61" t="s">
        <v>124</v>
      </c>
      <c r="Q30" s="61" t="s">
        <v>124</v>
      </c>
      <c r="R30" s="61" t="s">
        <v>124</v>
      </c>
      <c r="S30" s="61" t="s">
        <v>124</v>
      </c>
      <c r="T30" s="61" t="s">
        <v>124</v>
      </c>
      <c r="U30" s="61" t="s">
        <v>124</v>
      </c>
      <c r="V30" s="61" t="s">
        <v>124</v>
      </c>
      <c r="W30" s="61" t="s">
        <v>124</v>
      </c>
      <c r="X30" s="61" t="s">
        <v>124</v>
      </c>
      <c r="Y30" s="61" t="s">
        <v>124</v>
      </c>
      <c r="Z30" s="61" t="s">
        <v>124</v>
      </c>
      <c r="AA30" s="61" t="s">
        <v>124</v>
      </c>
      <c r="AB30" s="61" t="s">
        <v>124</v>
      </c>
      <c r="AC30" s="61" t="s">
        <v>124</v>
      </c>
      <c r="AD30" s="61" t="s">
        <v>124</v>
      </c>
      <c r="AE30" s="61" t="s">
        <v>124</v>
      </c>
      <c r="AF30" s="61" t="s">
        <v>124</v>
      </c>
      <c r="AG30" s="61" t="s">
        <v>124</v>
      </c>
      <c r="AH30" s="61" t="s">
        <v>124</v>
      </c>
      <c r="AI30" s="61" t="s">
        <v>124</v>
      </c>
      <c r="AJ30" s="61" t="s">
        <v>124</v>
      </c>
      <c r="AK30" s="61" t="s">
        <v>124</v>
      </c>
      <c r="AL30" s="61" t="s">
        <v>124</v>
      </c>
      <c r="AM30" s="61" t="s">
        <v>124</v>
      </c>
      <c r="AN30" s="61" t="s">
        <v>124</v>
      </c>
      <c r="AO30" s="61" t="s">
        <v>124</v>
      </c>
      <c r="AP30" s="61" t="s">
        <v>124</v>
      </c>
      <c r="AQ30" s="61" t="s">
        <v>124</v>
      </c>
      <c r="AR30" s="61" t="s">
        <v>124</v>
      </c>
      <c r="AS30" s="61" t="s">
        <v>124</v>
      </c>
      <c r="AT30" s="61" t="s">
        <v>124</v>
      </c>
      <c r="AU30" s="61" t="s">
        <v>124</v>
      </c>
      <c r="AV30" s="61" t="s">
        <v>124</v>
      </c>
      <c r="AW30" s="61" t="s">
        <v>124</v>
      </c>
      <c r="AX30" s="61" t="s">
        <v>124</v>
      </c>
      <c r="AY30" s="61" t="s">
        <v>124</v>
      </c>
      <c r="AZ30" s="61" t="s">
        <v>124</v>
      </c>
      <c r="BA30" s="61" t="s">
        <v>124</v>
      </c>
      <c r="BB30" s="61" t="s">
        <v>124</v>
      </c>
      <c r="BC30" s="61" t="s">
        <v>124</v>
      </c>
      <c r="BD30" s="61" t="s">
        <v>124</v>
      </c>
      <c r="BE30" s="61" t="s">
        <v>124</v>
      </c>
      <c r="BF30" s="61" t="s">
        <v>124</v>
      </c>
      <c r="BG30" s="61" t="s">
        <v>124</v>
      </c>
      <c r="BH30" s="61" t="s">
        <v>124</v>
      </c>
      <c r="BI30" s="61" t="s">
        <v>124</v>
      </c>
      <c r="BJ30" s="61" t="s">
        <v>124</v>
      </c>
      <c r="BK30" s="61" t="s">
        <v>124</v>
      </c>
      <c r="BL30" s="61" t="s">
        <v>124</v>
      </c>
      <c r="BM30" s="61" t="s">
        <v>124</v>
      </c>
      <c r="BN30" s="61" t="s">
        <v>124</v>
      </c>
      <c r="BO30" s="61" t="s">
        <v>124</v>
      </c>
      <c r="BP30" s="61" t="s">
        <v>124</v>
      </c>
      <c r="BQ30" s="61" t="s">
        <v>124</v>
      </c>
      <c r="BR30" s="61" t="s">
        <v>124</v>
      </c>
      <c r="BS30" s="61" t="s">
        <v>124</v>
      </c>
      <c r="BT30" s="61" t="s">
        <v>124</v>
      </c>
      <c r="BU30" s="61" t="s">
        <v>124</v>
      </c>
      <c r="BV30" s="61" t="s">
        <v>124</v>
      </c>
      <c r="BW30" s="61" t="s">
        <v>124</v>
      </c>
      <c r="BX30" s="61" t="s">
        <v>124</v>
      </c>
      <c r="BY30" s="61" t="s">
        <v>124</v>
      </c>
      <c r="BZ30" s="61" t="s">
        <v>8</v>
      </c>
      <c r="CA30" s="61" t="s">
        <v>8</v>
      </c>
      <c r="CB30" s="61" t="s">
        <v>8</v>
      </c>
      <c r="CC30" s="61" t="s">
        <v>8</v>
      </c>
      <c r="CD30" s="61" t="s">
        <v>8</v>
      </c>
      <c r="CE30" s="61" t="s">
        <v>8</v>
      </c>
      <c r="CF30" s="61" t="s">
        <v>8</v>
      </c>
      <c r="CG30" s="61" t="s">
        <v>8</v>
      </c>
      <c r="CH30" s="61" t="s">
        <v>8</v>
      </c>
      <c r="CI30" s="61" t="s">
        <v>8</v>
      </c>
      <c r="CJ30" s="61" t="s">
        <v>8</v>
      </c>
      <c r="CK30" s="61" t="s">
        <v>8</v>
      </c>
      <c r="CL30" s="61" t="s">
        <v>8</v>
      </c>
      <c r="CM30" s="61" t="s">
        <v>8</v>
      </c>
      <c r="CN30" s="61" t="s">
        <v>8</v>
      </c>
      <c r="CO30" s="61" t="s">
        <v>8</v>
      </c>
      <c r="CP30" s="61" t="s">
        <v>8</v>
      </c>
      <c r="CQ30" s="61" t="s">
        <v>8</v>
      </c>
      <c r="CR30" s="61" t="s">
        <v>8</v>
      </c>
      <c r="CS30" s="61" t="s">
        <v>8</v>
      </c>
      <c r="CT30" s="61" t="s">
        <v>8</v>
      </c>
      <c r="CU30" s="61" t="s">
        <v>8</v>
      </c>
      <c r="CV30" s="61" t="s">
        <v>8</v>
      </c>
      <c r="CW30" s="61" t="s">
        <v>8</v>
      </c>
    </row>
    <row r="31" spans="1:101" s="37" customFormat="1" ht="16.5" customHeight="1">
      <c r="A31" s="45"/>
      <c r="B31" s="46" t="s">
        <v>125</v>
      </c>
      <c r="C31" s="61" t="s">
        <v>8</v>
      </c>
      <c r="D31" s="62">
        <v>-19.272958860976431</v>
      </c>
      <c r="E31" s="62">
        <v>-14.380449292286801</v>
      </c>
      <c r="F31" s="62">
        <v>-9.3995596238744987</v>
      </c>
      <c r="G31" s="62">
        <v>0.65736059785082013</v>
      </c>
      <c r="H31" s="62">
        <v>6.3888133419123028</v>
      </c>
      <c r="I31" s="62">
        <v>2.5564810369938407</v>
      </c>
      <c r="J31" s="62">
        <v>9.0953142662926201</v>
      </c>
      <c r="K31" s="62">
        <v>4.8409392394501927</v>
      </c>
      <c r="L31" s="62">
        <v>0.89184596564926277</v>
      </c>
      <c r="M31" s="62">
        <v>-1.4353858294067878</v>
      </c>
      <c r="N31" s="62">
        <v>0.32777118024380769</v>
      </c>
      <c r="O31" s="62">
        <v>5.659032816135845</v>
      </c>
      <c r="P31" s="62">
        <v>8.0767738179730486</v>
      </c>
      <c r="Q31" s="62">
        <v>11.9294494061148</v>
      </c>
      <c r="R31" s="62">
        <v>5.9818148409020777</v>
      </c>
      <c r="S31" s="62">
        <v>6.0314167176838351</v>
      </c>
      <c r="T31" s="62">
        <v>2.465602987436899</v>
      </c>
      <c r="U31" s="62">
        <v>6.1330815413857209</v>
      </c>
      <c r="V31" s="62">
        <v>1.4581957288711145</v>
      </c>
      <c r="W31" s="62">
        <v>4.0376918996694489</v>
      </c>
      <c r="X31" s="62">
        <v>3.5190660325186807</v>
      </c>
      <c r="Y31" s="62">
        <v>2.7528290295071534</v>
      </c>
      <c r="Z31" s="62">
        <v>-4.8343340199119567E-2</v>
      </c>
      <c r="AA31" s="62">
        <v>-1.170359820643796</v>
      </c>
      <c r="AB31" s="62">
        <v>0.90382735794896085</v>
      </c>
      <c r="AC31" s="62">
        <v>3.386424441565139</v>
      </c>
      <c r="AD31" s="62">
        <v>0.13248877072526977</v>
      </c>
      <c r="AE31" s="62">
        <v>-4.88443264633508</v>
      </c>
      <c r="AF31" s="62">
        <v>-2.8426901659618475</v>
      </c>
      <c r="AG31" s="62">
        <v>-3.9123802521181861</v>
      </c>
      <c r="AH31" s="62">
        <v>-1.3119733295255842</v>
      </c>
      <c r="AI31" s="62">
        <v>1.148504757382196</v>
      </c>
      <c r="AJ31" s="62">
        <v>2.2361744719289867</v>
      </c>
      <c r="AK31" s="62">
        <v>0.84624663678847245</v>
      </c>
      <c r="AL31" s="62">
        <v>-2.1713307097220969</v>
      </c>
      <c r="AM31" s="62">
        <v>-1.9765822564460356</v>
      </c>
      <c r="AN31" s="62">
        <v>1.2268411265381474</v>
      </c>
      <c r="AO31" s="62">
        <v>2.4110843725124287</v>
      </c>
      <c r="AP31" s="62">
        <v>-1.0350760570893458</v>
      </c>
      <c r="AQ31" s="62">
        <v>-2.0760995249355152</v>
      </c>
      <c r="AR31" s="62">
        <v>-0.63639322612999427</v>
      </c>
      <c r="AS31" s="62">
        <v>-3.0755327032227386</v>
      </c>
      <c r="AT31" s="62">
        <v>-4.0543627958115387</v>
      </c>
      <c r="AU31" s="62">
        <v>-3.1307330638297381</v>
      </c>
      <c r="AV31" s="62">
        <v>0.15676904856818386</v>
      </c>
      <c r="AW31" s="62">
        <v>-1.0917620655481852</v>
      </c>
      <c r="AX31" s="62">
        <v>-2.0961346088013588</v>
      </c>
      <c r="AY31" s="62">
        <v>-2.0951648007112467</v>
      </c>
      <c r="AZ31" s="62">
        <v>-1.2074908645403504</v>
      </c>
      <c r="BA31" s="62">
        <v>0.72917337646563052</v>
      </c>
      <c r="BB31" s="62">
        <v>-1.2813848553027252</v>
      </c>
      <c r="BC31" s="62">
        <v>-0.64769633080933309</v>
      </c>
      <c r="BD31" s="62">
        <v>-1.0706544588793054</v>
      </c>
      <c r="BE31" s="62">
        <v>-3.5464760380379379</v>
      </c>
      <c r="BF31" s="62">
        <v>-0.52197936221444197</v>
      </c>
      <c r="BG31" s="62">
        <v>-4.5204377203772905</v>
      </c>
      <c r="BH31" s="62">
        <v>-2.7658813848750574</v>
      </c>
      <c r="BI31" s="62">
        <v>-2.9528864876813277</v>
      </c>
      <c r="BJ31" s="62">
        <v>0.70435100677590512</v>
      </c>
      <c r="BK31" s="62">
        <v>-3.9318557513212671E-2</v>
      </c>
      <c r="BL31" s="62">
        <v>2.922545716927849</v>
      </c>
      <c r="BM31" s="62">
        <v>4.514008083631027</v>
      </c>
      <c r="BN31" s="62">
        <v>3.4843087104228676</v>
      </c>
      <c r="BO31" s="62">
        <v>0.61980853531173885</v>
      </c>
      <c r="BP31" s="62">
        <v>-1.1285553515232971</v>
      </c>
      <c r="BQ31" s="62">
        <v>-1.13827441510852</v>
      </c>
      <c r="BR31" s="62">
        <v>-2.4650878284271704</v>
      </c>
      <c r="BS31" s="62">
        <v>-3.1223952072943817</v>
      </c>
      <c r="BT31" s="62">
        <v>4.6993569512632227E-2</v>
      </c>
      <c r="BU31" s="62">
        <v>-2.5773822290261816</v>
      </c>
      <c r="BV31" s="62">
        <v>-4.1196411217881863</v>
      </c>
      <c r="BW31" s="62">
        <v>-6.5117234170938172</v>
      </c>
      <c r="BX31" s="62">
        <v>-6.0493126623304416</v>
      </c>
      <c r="BY31" s="62">
        <v>-6.1793637025605914</v>
      </c>
      <c r="BZ31" s="62">
        <v>-1.142820460341798</v>
      </c>
      <c r="CA31" s="62">
        <v>0.57819558679785832</v>
      </c>
      <c r="CB31" s="62">
        <v>3.3883466581065003</v>
      </c>
      <c r="CC31" s="62">
        <v>1.1585825980553466</v>
      </c>
      <c r="CD31" s="62">
        <v>2.9345181538346532</v>
      </c>
      <c r="CE31" s="62">
        <v>0.36279165058354934</v>
      </c>
      <c r="CF31" s="62">
        <v>0.82705357086192421</v>
      </c>
      <c r="CG31" s="62">
        <v>2.0028688495614677</v>
      </c>
      <c r="CH31" s="62">
        <v>0.42752008419584264</v>
      </c>
      <c r="CI31" s="62">
        <v>0.5155762049311452</v>
      </c>
      <c r="CJ31" s="62">
        <v>0.46541894596492384</v>
      </c>
      <c r="CK31" s="62">
        <v>0.85267358497780332</v>
      </c>
      <c r="CL31" s="62">
        <v>0.37408022192710888</v>
      </c>
      <c r="CM31" s="62">
        <v>-4.9014102205437897</v>
      </c>
      <c r="CN31" s="62">
        <v>-7.8171122627681449</v>
      </c>
      <c r="CO31" s="62">
        <v>-3.8868671993973924</v>
      </c>
      <c r="CP31" s="62">
        <v>8.9397472099106423E-2</v>
      </c>
      <c r="CQ31" s="62">
        <v>0.11928941092549383</v>
      </c>
      <c r="CR31" s="62">
        <v>-1.1598664500291234</v>
      </c>
      <c r="CS31" s="62">
        <v>9.8242369426215781E-2</v>
      </c>
      <c r="CT31" s="62">
        <v>0.14674197448187876</v>
      </c>
      <c r="CU31" s="62">
        <v>-2.7848754034236811</v>
      </c>
      <c r="CV31" s="62">
        <v>-1.2913604758395203</v>
      </c>
      <c r="CW31" s="62">
        <v>0.2426120648586938</v>
      </c>
    </row>
    <row r="32" spans="1:101" s="37" customFormat="1" ht="16.5" customHeight="1">
      <c r="A32" s="45"/>
      <c r="B32" s="46" t="s">
        <v>126</v>
      </c>
      <c r="C32" s="61" t="s">
        <v>8</v>
      </c>
      <c r="D32" s="62">
        <v>-3.9522822683954906</v>
      </c>
      <c r="E32" s="62">
        <v>-3.2468359768257904</v>
      </c>
      <c r="F32" s="62">
        <v>-1.8299256796768915</v>
      </c>
      <c r="G32" s="62">
        <v>-6.481164445231169E-2</v>
      </c>
      <c r="H32" s="62">
        <v>0.1443994196251408</v>
      </c>
      <c r="I32" s="62">
        <v>0.8476721457750136</v>
      </c>
      <c r="J32" s="62">
        <v>2.5772536940124491</v>
      </c>
      <c r="K32" s="62">
        <v>2.9321852143439742</v>
      </c>
      <c r="L32" s="62">
        <v>2.6501384213422963</v>
      </c>
      <c r="M32" s="62">
        <v>1.2032958626004842</v>
      </c>
      <c r="N32" s="62">
        <v>1.4396918865491548</v>
      </c>
      <c r="O32" s="62">
        <v>1.8933594169305179</v>
      </c>
      <c r="P32" s="62">
        <v>1.8634774550028599</v>
      </c>
      <c r="Q32" s="62">
        <v>1.810215821756378</v>
      </c>
      <c r="R32" s="62">
        <v>1.8559800640246982</v>
      </c>
      <c r="S32" s="62">
        <v>1.671373407547172</v>
      </c>
      <c r="T32" s="62">
        <v>1.9101380903052689</v>
      </c>
      <c r="U32" s="62">
        <v>1.2274321183868731</v>
      </c>
      <c r="V32" s="62">
        <v>1.1151700786114604</v>
      </c>
      <c r="W32" s="62">
        <v>1.585775504586695</v>
      </c>
      <c r="X32" s="62">
        <v>0.43210761380167995</v>
      </c>
      <c r="Y32" s="62">
        <v>0.8286912194159779</v>
      </c>
      <c r="Z32" s="62">
        <v>1.5682044466429179</v>
      </c>
      <c r="AA32" s="62">
        <v>2.2902440272108304</v>
      </c>
      <c r="AB32" s="62">
        <v>0.75622009520119882</v>
      </c>
      <c r="AC32" s="62">
        <v>0.86586968154127586</v>
      </c>
      <c r="AD32" s="62">
        <v>0.80076417639636244</v>
      </c>
      <c r="AE32" s="62">
        <v>-1.2394106840863395</v>
      </c>
      <c r="AF32" s="62">
        <v>-1.818303174913205</v>
      </c>
      <c r="AG32" s="62">
        <v>-1.1186707834150877</v>
      </c>
      <c r="AH32" s="62">
        <v>-0.54574010038354048</v>
      </c>
      <c r="AI32" s="62">
        <v>1.1166579662087672</v>
      </c>
      <c r="AJ32" s="62">
        <v>-0.46034974929397565</v>
      </c>
      <c r="AK32" s="62">
        <v>9.0757361701387929E-2</v>
      </c>
      <c r="AL32" s="62">
        <v>1.5266565821082434</v>
      </c>
      <c r="AM32" s="62">
        <v>0.56755338617107132</v>
      </c>
      <c r="AN32" s="62">
        <v>0.25699076292771128</v>
      </c>
      <c r="AO32" s="62">
        <v>0.47135878844415391</v>
      </c>
      <c r="AP32" s="62">
        <v>1.7818854894760205</v>
      </c>
      <c r="AQ32" s="62">
        <v>2.0570857194903036</v>
      </c>
      <c r="AR32" s="62">
        <v>0.1833647936313465</v>
      </c>
      <c r="AS32" s="62">
        <v>-8.5345179283746742E-2</v>
      </c>
      <c r="AT32" s="62">
        <v>-0.71054104089163239</v>
      </c>
      <c r="AU32" s="62">
        <v>0.11697127507215299</v>
      </c>
      <c r="AV32" s="62">
        <v>0.36233684431095092</v>
      </c>
      <c r="AW32" s="62">
        <v>-0.48332235708292703</v>
      </c>
      <c r="AX32" s="62">
        <v>0.46515991230986486</v>
      </c>
      <c r="AY32" s="62">
        <v>1.1036987819441402</v>
      </c>
      <c r="AZ32" s="62">
        <v>-0.25582223916333913</v>
      </c>
      <c r="BA32" s="62">
        <v>-1.6006515819889877</v>
      </c>
      <c r="BB32" s="62">
        <v>-0.53266807418841378</v>
      </c>
      <c r="BC32" s="62">
        <v>-0.16106229472152567</v>
      </c>
      <c r="BD32" s="62">
        <v>0.1763161182675832</v>
      </c>
      <c r="BE32" s="62">
        <v>-0.32501070772134044</v>
      </c>
      <c r="BF32" s="62">
        <v>-1.7970676351752868E-2</v>
      </c>
      <c r="BG32" s="62">
        <v>0.43459448120075628</v>
      </c>
      <c r="BH32" s="62">
        <v>-5.5840955314301333E-3</v>
      </c>
      <c r="BI32" s="62">
        <v>-0.63587164623762904</v>
      </c>
      <c r="BJ32" s="62">
        <v>0.56577921479012971</v>
      </c>
      <c r="BK32" s="62">
        <v>1.7248186782804931</v>
      </c>
      <c r="BL32" s="62">
        <v>1.086400638574303</v>
      </c>
      <c r="BM32" s="62">
        <v>-0.17306768104049519</v>
      </c>
      <c r="BN32" s="62">
        <v>0.93591915744983822</v>
      </c>
      <c r="BO32" s="62">
        <v>0.83768820002327882</v>
      </c>
      <c r="BP32" s="62">
        <v>-0.26909122715261802</v>
      </c>
      <c r="BQ32" s="62">
        <v>-0.54497366948594861</v>
      </c>
      <c r="BR32" s="62">
        <v>-0.97900216249554584</v>
      </c>
      <c r="BS32" s="62">
        <v>-1.4651177670904847</v>
      </c>
      <c r="BT32" s="62">
        <v>-0.51543898659885956</v>
      </c>
      <c r="BU32" s="62">
        <v>-1.0874618550699933</v>
      </c>
      <c r="BV32" s="62">
        <v>-0.79020712222354073</v>
      </c>
      <c r="BW32" s="62">
        <v>-0.78359951802423611</v>
      </c>
      <c r="BX32" s="62">
        <v>-0.24819786008040134</v>
      </c>
      <c r="BY32" s="62">
        <v>-1.3978209764459626</v>
      </c>
      <c r="BZ32" s="62">
        <v>-0.94821097434479862</v>
      </c>
      <c r="CA32" s="62">
        <v>-0.49179707585874644</v>
      </c>
      <c r="CB32" s="62">
        <v>0.21496023535556574</v>
      </c>
      <c r="CC32" s="62">
        <v>-1.1131146081618692</v>
      </c>
      <c r="CD32" s="62">
        <v>0.16929364823017323</v>
      </c>
      <c r="CE32" s="62">
        <v>1.4090700538842871</v>
      </c>
      <c r="CF32" s="62">
        <v>0.4350556347145762</v>
      </c>
      <c r="CG32" s="62">
        <v>3.8630563711050669E-2</v>
      </c>
      <c r="CH32" s="62">
        <v>0.78932857050482141</v>
      </c>
      <c r="CI32" s="62">
        <v>1.2590187944703679</v>
      </c>
      <c r="CJ32" s="62">
        <v>0.51966929431008779</v>
      </c>
      <c r="CK32" s="62">
        <v>0.60442264929700951</v>
      </c>
      <c r="CL32" s="62">
        <v>0.37073500716802155</v>
      </c>
      <c r="CM32" s="62">
        <v>0.52828300215026491</v>
      </c>
      <c r="CN32" s="62">
        <v>-4.5823672008371563E-2</v>
      </c>
      <c r="CO32" s="62">
        <v>-1.1873627333930048</v>
      </c>
      <c r="CP32" s="62">
        <v>0.19656308956823576</v>
      </c>
      <c r="CQ32" s="62">
        <v>0.71200561778672622</v>
      </c>
      <c r="CR32" s="62">
        <v>0.21761188554147992</v>
      </c>
      <c r="CS32" s="62">
        <v>-0.56474853235762845</v>
      </c>
      <c r="CT32" s="62">
        <v>-0.15771156422584864</v>
      </c>
      <c r="CU32" s="62">
        <v>0.48390943796092767</v>
      </c>
      <c r="CV32" s="62">
        <v>0.46060634977931336</v>
      </c>
      <c r="CW32" s="62">
        <v>-0.44179246693911711</v>
      </c>
    </row>
    <row r="33" spans="1:101" s="37" customFormat="1" ht="16.5" customHeight="1">
      <c r="A33" s="45"/>
      <c r="B33" s="46" t="s">
        <v>127</v>
      </c>
      <c r="C33" s="61" t="s">
        <v>8</v>
      </c>
      <c r="D33" s="62">
        <v>-1.4707207182980797</v>
      </c>
      <c r="E33" s="62">
        <v>-2.8778689193278972</v>
      </c>
      <c r="F33" s="62">
        <v>-2.4216638316182815</v>
      </c>
      <c r="G33" s="62">
        <v>-2.1534087851571293E-2</v>
      </c>
      <c r="H33" s="62">
        <v>2.7439092558578793E-2</v>
      </c>
      <c r="I33" s="62">
        <v>0.37609958541784394</v>
      </c>
      <c r="J33" s="62">
        <v>0.33073023020158132</v>
      </c>
      <c r="K33" s="62">
        <v>0.2081310867347641</v>
      </c>
      <c r="L33" s="62">
        <v>0.9485850775821314</v>
      </c>
      <c r="M33" s="62">
        <v>3.4656025727364259E-2</v>
      </c>
      <c r="N33" s="62">
        <v>0.8807816895533227</v>
      </c>
      <c r="O33" s="62">
        <v>2.1066908840787324</v>
      </c>
      <c r="P33" s="62">
        <v>0.6534668397170762</v>
      </c>
      <c r="Q33" s="62">
        <v>1.2781665719800106</v>
      </c>
      <c r="R33" s="62">
        <v>2.2631459858068137</v>
      </c>
      <c r="S33" s="62">
        <v>3.1477806716884382</v>
      </c>
      <c r="T33" s="62">
        <v>1.8202719484204488</v>
      </c>
      <c r="U33" s="62">
        <v>0.63375422322702324</v>
      </c>
      <c r="V33" s="62">
        <v>6.2709125578841451E-2</v>
      </c>
      <c r="W33" s="62">
        <v>1.4869149231820922</v>
      </c>
      <c r="X33" s="62">
        <v>0.93579750865671052</v>
      </c>
      <c r="Y33" s="62">
        <v>0.10322195961516289</v>
      </c>
      <c r="Z33" s="62">
        <v>0.8758197641468346</v>
      </c>
      <c r="AA33" s="62">
        <v>1.6799677796328627</v>
      </c>
      <c r="AB33" s="62">
        <v>2.4146950088824504</v>
      </c>
      <c r="AC33" s="62">
        <v>1.4304969862554806</v>
      </c>
      <c r="AD33" s="62">
        <v>-0.30828388262098549</v>
      </c>
      <c r="AE33" s="62">
        <v>7.3075728359417447E-2</v>
      </c>
      <c r="AF33" s="62">
        <v>-0.6272687893857487</v>
      </c>
      <c r="AG33" s="62">
        <v>-0.76826087822826628</v>
      </c>
      <c r="AH33" s="62">
        <v>-0.40267875407515863</v>
      </c>
      <c r="AI33" s="62">
        <v>-0.12758802488095355</v>
      </c>
      <c r="AJ33" s="62">
        <v>0.16663429060284063</v>
      </c>
      <c r="AK33" s="62">
        <v>-0.40562914092564517</v>
      </c>
      <c r="AL33" s="62">
        <v>1.1895803848035902</v>
      </c>
      <c r="AM33" s="62">
        <v>3.12183013481524</v>
      </c>
      <c r="AN33" s="62">
        <v>0.1874707404464937</v>
      </c>
      <c r="AO33" s="62">
        <v>-0.33906113025451434</v>
      </c>
      <c r="AP33" s="62">
        <v>1.265499444785223</v>
      </c>
      <c r="AQ33" s="62">
        <v>2.1131274420131962</v>
      </c>
      <c r="AR33" s="62">
        <v>1.0907659395958724</v>
      </c>
      <c r="AS33" s="62">
        <v>-0.80059552470377326</v>
      </c>
      <c r="AT33" s="62">
        <v>-0.29896076825071116</v>
      </c>
      <c r="AU33" s="62">
        <v>0.60955842439676111</v>
      </c>
      <c r="AV33" s="62">
        <v>0.22193433560797615</v>
      </c>
      <c r="AW33" s="62">
        <v>-0.60479336877742318</v>
      </c>
      <c r="AX33" s="62">
        <v>2.0900424699903608</v>
      </c>
      <c r="AY33" s="62">
        <v>1.4688447882927669</v>
      </c>
      <c r="AZ33" s="62">
        <v>0.15436187434323401</v>
      </c>
      <c r="BA33" s="62">
        <v>-0.5861630954352326</v>
      </c>
      <c r="BB33" s="62">
        <v>0.40093264826388531</v>
      </c>
      <c r="BC33" s="62">
        <v>1.1561111360279819</v>
      </c>
      <c r="BD33" s="62">
        <v>0.6973338042220556</v>
      </c>
      <c r="BE33" s="62">
        <v>-0.18806742011955313</v>
      </c>
      <c r="BF33" s="62">
        <v>0.91770670227895312</v>
      </c>
      <c r="BG33" s="62">
        <v>1.0983335461279831</v>
      </c>
      <c r="BH33" s="62">
        <v>1.5060493964246913</v>
      </c>
      <c r="BI33" s="62">
        <v>-0.12538436241577022</v>
      </c>
      <c r="BJ33" s="62">
        <v>-0.73194033556511773</v>
      </c>
      <c r="BK33" s="62">
        <v>8.4293203572549658E-2</v>
      </c>
      <c r="BL33" s="62">
        <v>0.33740504139661009</v>
      </c>
      <c r="BM33" s="62">
        <v>-1.2384154923966717</v>
      </c>
      <c r="BN33" s="62">
        <v>-0.12841301209638445</v>
      </c>
      <c r="BO33" s="62">
        <v>0.5144189310349212</v>
      </c>
      <c r="BP33" s="62">
        <v>4.3734590295585463E-2</v>
      </c>
      <c r="BQ33" s="62">
        <v>-1.3676069648895672</v>
      </c>
      <c r="BR33" s="62">
        <v>-0.53722104222413414</v>
      </c>
      <c r="BS33" s="62">
        <v>-0.62759738427847767</v>
      </c>
      <c r="BT33" s="62">
        <v>-6.8778280577430628E-2</v>
      </c>
      <c r="BU33" s="62">
        <v>-1.0692055598684802</v>
      </c>
      <c r="BV33" s="62">
        <v>-0.64357429379395814</v>
      </c>
      <c r="BW33" s="62">
        <v>0.23174818266598063</v>
      </c>
      <c r="BX33" s="62">
        <v>-1.0722968909038233E-2</v>
      </c>
      <c r="BY33" s="62">
        <v>-0.65503370618977819</v>
      </c>
      <c r="BZ33" s="62">
        <v>-0.3601524404949763</v>
      </c>
      <c r="CA33" s="62">
        <v>-0.63181235802386437</v>
      </c>
      <c r="CB33" s="62">
        <v>-0.43928743930454761</v>
      </c>
      <c r="CC33" s="62">
        <v>-0.8511571180734756</v>
      </c>
      <c r="CD33" s="62">
        <v>-0.76093050295622522</v>
      </c>
      <c r="CE33" s="62">
        <v>0.95975011681908029</v>
      </c>
      <c r="CF33" s="62">
        <v>1.2680769844447104</v>
      </c>
      <c r="CG33" s="62">
        <v>0.22019056772444312</v>
      </c>
      <c r="CH33" s="62">
        <v>0.45059163548613057</v>
      </c>
      <c r="CI33" s="62">
        <v>0.49047183138355432</v>
      </c>
      <c r="CJ33" s="62">
        <v>0.66439701736080714</v>
      </c>
      <c r="CK33" s="62">
        <v>-0.55374812770715431</v>
      </c>
      <c r="CL33" s="62">
        <v>0.2624866151150318</v>
      </c>
      <c r="CM33" s="62">
        <v>0.54979512405082254</v>
      </c>
      <c r="CN33" s="62">
        <v>-7.2900460761660124E-2</v>
      </c>
      <c r="CO33" s="62">
        <v>-1.1039325052267568</v>
      </c>
      <c r="CP33" s="62">
        <v>-0.33324049869926098</v>
      </c>
      <c r="CQ33" s="62">
        <v>-0.18474473339246122</v>
      </c>
      <c r="CR33" s="62">
        <v>-0.95808002844315343</v>
      </c>
      <c r="CS33" s="62">
        <v>-1.2508510670787731</v>
      </c>
      <c r="CT33" s="62">
        <v>-0.80487070671343419</v>
      </c>
      <c r="CU33" s="62">
        <v>-0.65562867989392704</v>
      </c>
      <c r="CV33" s="62">
        <v>-0.55121177243963038</v>
      </c>
      <c r="CW33" s="62">
        <v>-0.72431956003120579</v>
      </c>
    </row>
    <row r="34" spans="1:101" s="37" customFormat="1" ht="16.5" customHeight="1">
      <c r="A34" s="45"/>
      <c r="B34" s="46" t="s">
        <v>128</v>
      </c>
      <c r="C34" s="61" t="s">
        <v>8</v>
      </c>
      <c r="D34" s="62">
        <v>-4.2895039208772356</v>
      </c>
      <c r="E34" s="62">
        <v>-2.981212383451648</v>
      </c>
      <c r="F34" s="62">
        <v>-2.2489383313883282</v>
      </c>
      <c r="G34" s="62">
        <v>-0.18843174277003438</v>
      </c>
      <c r="H34" s="62">
        <v>0.91875407571955225</v>
      </c>
      <c r="I34" s="62">
        <v>-2.3618745057564228</v>
      </c>
      <c r="J34" s="62">
        <v>-0.13042780949213961</v>
      </c>
      <c r="K34" s="62">
        <v>1.319961348692944</v>
      </c>
      <c r="L34" s="62">
        <v>0.81860637647201973</v>
      </c>
      <c r="M34" s="62">
        <v>0.73407937818295022</v>
      </c>
      <c r="N34" s="62">
        <v>2.4488967724213051</v>
      </c>
      <c r="O34" s="62">
        <v>1.838738475523094</v>
      </c>
      <c r="P34" s="62">
        <v>2.6070917007395833</v>
      </c>
      <c r="Q34" s="62">
        <v>2.1345100261723093</v>
      </c>
      <c r="R34" s="62">
        <v>2.6149382937231902</v>
      </c>
      <c r="S34" s="62">
        <v>3.8856741318208377</v>
      </c>
      <c r="T34" s="62">
        <v>2.3618107006596833</v>
      </c>
      <c r="U34" s="62">
        <v>1.5294221645617556</v>
      </c>
      <c r="V34" s="62">
        <v>0.81766551284321309</v>
      </c>
      <c r="W34" s="62">
        <v>3.9599080751639537</v>
      </c>
      <c r="X34" s="62">
        <v>3.1822656878573774</v>
      </c>
      <c r="Y34" s="62">
        <v>0.33560730867394639</v>
      </c>
      <c r="Z34" s="62">
        <v>1.3736201068176745</v>
      </c>
      <c r="AA34" s="62">
        <v>2.1497744033045052</v>
      </c>
      <c r="AB34" s="62">
        <v>1.0393447298889802</v>
      </c>
      <c r="AC34" s="62">
        <v>1.81182359686205</v>
      </c>
      <c r="AD34" s="62">
        <v>1.7146032132916655</v>
      </c>
      <c r="AE34" s="62">
        <v>-0.15537608353339838</v>
      </c>
      <c r="AF34" s="62">
        <v>-1.4665597900775262</v>
      </c>
      <c r="AG34" s="62">
        <v>-1.8956779894789499</v>
      </c>
      <c r="AH34" s="62">
        <v>0.14671106602199835</v>
      </c>
      <c r="AI34" s="62">
        <v>-0.41786969904500371</v>
      </c>
      <c r="AJ34" s="62">
        <v>1.2635613412315783</v>
      </c>
      <c r="AK34" s="62">
        <v>1.0309429955465799</v>
      </c>
      <c r="AL34" s="62">
        <v>1.9213242273017128</v>
      </c>
      <c r="AM34" s="62">
        <v>1.8931693937264349</v>
      </c>
      <c r="AN34" s="62">
        <v>2.6420546675476331</v>
      </c>
      <c r="AO34" s="62">
        <v>-0.49567839452999696</v>
      </c>
      <c r="AP34" s="62">
        <v>0.77115896102768478</v>
      </c>
      <c r="AQ34" s="62">
        <v>-5.5734228787829299E-2</v>
      </c>
      <c r="AR34" s="62">
        <v>-1.1390928450730975</v>
      </c>
      <c r="AS34" s="62">
        <v>-0.79487355277593208</v>
      </c>
      <c r="AT34" s="62">
        <v>-1.017839690242861</v>
      </c>
      <c r="AU34" s="62">
        <v>-1.2674574575926023</v>
      </c>
      <c r="AV34" s="62">
        <v>0.12125208924362862</v>
      </c>
      <c r="AW34" s="62">
        <v>-0.39427858636887914</v>
      </c>
      <c r="AX34" s="62">
        <v>1.1249766131463002</v>
      </c>
      <c r="AY34" s="62">
        <v>-3.6584444575604724E-2</v>
      </c>
      <c r="AZ34" s="62">
        <v>0.21535513006583074</v>
      </c>
      <c r="BA34" s="62">
        <v>-0.18911536624105496</v>
      </c>
      <c r="BB34" s="62">
        <v>-0.12961545571447131</v>
      </c>
      <c r="BC34" s="62">
        <v>-0.88928736381107543</v>
      </c>
      <c r="BD34" s="62">
        <v>7.3942279209027184E-2</v>
      </c>
      <c r="BE34" s="62">
        <v>-0.60944379952809768</v>
      </c>
      <c r="BF34" s="62">
        <v>0.76988111982385643</v>
      </c>
      <c r="BG34" s="62">
        <v>0.99649543079893821</v>
      </c>
      <c r="BH34" s="62">
        <v>0.53498000897524989</v>
      </c>
      <c r="BI34" s="62">
        <v>-0.63106118081370788</v>
      </c>
      <c r="BJ34" s="62">
        <v>0.15043810878627717</v>
      </c>
      <c r="BK34" s="62">
        <v>0.16648294017409526</v>
      </c>
      <c r="BL34" s="62">
        <v>1.1591989691575044</v>
      </c>
      <c r="BM34" s="62">
        <v>-0.38429801663859564</v>
      </c>
      <c r="BN34" s="62">
        <v>-0.16106029613937034</v>
      </c>
      <c r="BO34" s="62">
        <v>1.0667232435553675</v>
      </c>
      <c r="BP34" s="62">
        <v>0.38654769394956823</v>
      </c>
      <c r="BQ34" s="62">
        <v>-0.35904835410814906</v>
      </c>
      <c r="BR34" s="62">
        <v>-0.11922876023557905</v>
      </c>
      <c r="BS34" s="62">
        <v>0.19378352489498596</v>
      </c>
      <c r="BT34" s="62">
        <v>-5.0141448040141867E-2</v>
      </c>
      <c r="BU34" s="62">
        <v>-1.2808733718685406</v>
      </c>
      <c r="BV34" s="62">
        <v>-0.41746145326645445</v>
      </c>
      <c r="BW34" s="62">
        <v>0.30565205415948871</v>
      </c>
      <c r="BX34" s="62">
        <v>0.47110927531917035</v>
      </c>
      <c r="BY34" s="62">
        <v>-1.1763949130729645</v>
      </c>
      <c r="BZ34" s="62">
        <v>-0.30110414372812588</v>
      </c>
      <c r="CA34" s="62">
        <v>-0.50703567665211224</v>
      </c>
      <c r="CB34" s="62">
        <v>0.37312718987232429</v>
      </c>
      <c r="CC34" s="62">
        <v>-0.59942650753932458</v>
      </c>
      <c r="CD34" s="62">
        <v>-0.23970203820580238</v>
      </c>
      <c r="CE34" s="62">
        <v>1.3007718807223512</v>
      </c>
      <c r="CF34" s="62">
        <v>1.0805016566892922</v>
      </c>
      <c r="CG34" s="62">
        <v>-0.49742783777002586</v>
      </c>
      <c r="CH34" s="62">
        <v>0.48258882430969319</v>
      </c>
      <c r="CI34" s="62">
        <v>0.54118079452647461</v>
      </c>
      <c r="CJ34" s="62">
        <v>1.2354225353679027</v>
      </c>
      <c r="CK34" s="62">
        <v>-4.7292410908095217E-2</v>
      </c>
      <c r="CL34" s="62">
        <v>0.94344651853042194</v>
      </c>
      <c r="CM34" s="62">
        <v>0.66210377405977461</v>
      </c>
      <c r="CN34" s="62">
        <v>0.52146187051422821</v>
      </c>
      <c r="CO34" s="62">
        <v>-1.3639821736046942</v>
      </c>
      <c r="CP34" s="62">
        <v>-5.9461287206241664E-4</v>
      </c>
      <c r="CQ34" s="62">
        <v>0.89601012756652665</v>
      </c>
      <c r="CR34" s="62">
        <v>-0.29952898207495915</v>
      </c>
      <c r="CS34" s="62">
        <v>-1.4163957155623019</v>
      </c>
      <c r="CT34" s="62">
        <v>-0.64189648557991807</v>
      </c>
      <c r="CU34" s="62">
        <v>0.36933279865218882</v>
      </c>
      <c r="CV34" s="62">
        <v>0.21221593937925665</v>
      </c>
      <c r="CW34" s="62">
        <v>-0.89171511926252611</v>
      </c>
    </row>
    <row r="35" spans="1:101" s="37" customFormat="1" ht="16.5" customHeight="1">
      <c r="A35" s="45"/>
      <c r="B35" s="46" t="s">
        <v>129</v>
      </c>
      <c r="C35" s="61" t="s">
        <v>8</v>
      </c>
      <c r="D35" s="62">
        <v>-2.0246019709994512</v>
      </c>
      <c r="E35" s="62">
        <v>-1.1275309011744117</v>
      </c>
      <c r="F35" s="62">
        <v>-0.18052132317859515</v>
      </c>
      <c r="G35" s="62">
        <v>0.10775829099443079</v>
      </c>
      <c r="H35" s="62">
        <v>-0.33294644812287277</v>
      </c>
      <c r="I35" s="62">
        <v>1.507515936502668</v>
      </c>
      <c r="J35" s="62">
        <v>1.3119660695485535</v>
      </c>
      <c r="K35" s="62">
        <v>1.2427222791546289</v>
      </c>
      <c r="L35" s="62">
        <v>0.48360532832729675</v>
      </c>
      <c r="M35" s="62">
        <v>2.0441405195046336</v>
      </c>
      <c r="N35" s="62">
        <v>1.6368715325139505</v>
      </c>
      <c r="O35" s="62">
        <v>1.8056354351814186</v>
      </c>
      <c r="P35" s="62">
        <v>0.26729446955708891</v>
      </c>
      <c r="Q35" s="62">
        <v>3.6811194271454628</v>
      </c>
      <c r="R35" s="62">
        <v>1.546136350519145</v>
      </c>
      <c r="S35" s="62">
        <v>1.3163707042598283</v>
      </c>
      <c r="T35" s="62">
        <v>0.39870009116482752</v>
      </c>
      <c r="U35" s="62">
        <v>1.9160256207391146</v>
      </c>
      <c r="V35" s="62">
        <v>1.3694218589472618</v>
      </c>
      <c r="W35" s="62">
        <v>0.68651476842611636</v>
      </c>
      <c r="X35" s="62">
        <v>0.48368809022207859</v>
      </c>
      <c r="Y35" s="62">
        <v>2.6177236280576555</v>
      </c>
      <c r="Z35" s="62">
        <v>1.315331876839787</v>
      </c>
      <c r="AA35" s="62">
        <v>1.3350916842908234</v>
      </c>
      <c r="AB35" s="62">
        <v>0.79225763213797151</v>
      </c>
      <c r="AC35" s="62">
        <v>2.0576675354958773</v>
      </c>
      <c r="AD35" s="62">
        <v>1.1046271855535084</v>
      </c>
      <c r="AE35" s="62">
        <v>0.57030900591712452</v>
      </c>
      <c r="AF35" s="62">
        <v>-0.64531675898058527</v>
      </c>
      <c r="AG35" s="62">
        <v>1.7593191630406846</v>
      </c>
      <c r="AH35" s="62">
        <v>0.32727106754850688</v>
      </c>
      <c r="AI35" s="62">
        <v>0.40200358547188841</v>
      </c>
      <c r="AJ35" s="62">
        <v>1.1246589367001514</v>
      </c>
      <c r="AK35" s="62">
        <v>2.1728345457512788</v>
      </c>
      <c r="AL35" s="62">
        <v>0.68845898516609605</v>
      </c>
      <c r="AM35" s="62">
        <v>0.74816770789905007</v>
      </c>
      <c r="AN35" s="62">
        <v>1.0265519037428783</v>
      </c>
      <c r="AO35" s="62">
        <v>2.0283580120938227</v>
      </c>
      <c r="AP35" s="62">
        <v>0.67848293223604639</v>
      </c>
      <c r="AQ35" s="62">
        <v>0.65774759843835184</v>
      </c>
      <c r="AR35" s="62">
        <v>1.5283458689885343E-2</v>
      </c>
      <c r="AS35" s="62">
        <v>1.1621373974545657</v>
      </c>
      <c r="AT35" s="62">
        <v>0.44743972975569424</v>
      </c>
      <c r="AU35" s="62">
        <v>0.44401926809909398</v>
      </c>
      <c r="AV35" s="62">
        <v>0.21684198082332351</v>
      </c>
      <c r="AW35" s="62">
        <v>1.4387919507023561</v>
      </c>
      <c r="AX35" s="62">
        <v>-0.47172808548371359</v>
      </c>
      <c r="AY35" s="62">
        <v>0.47201057428221116</v>
      </c>
      <c r="AZ35" s="62">
        <v>0.74023415176702745</v>
      </c>
      <c r="BA35" s="62">
        <v>1.4131789526618865</v>
      </c>
      <c r="BB35" s="62">
        <v>0.7066871297894517</v>
      </c>
      <c r="BC35" s="62">
        <v>0.20811965089355677</v>
      </c>
      <c r="BD35" s="62">
        <v>1.702156521721232E-2</v>
      </c>
      <c r="BE35" s="62">
        <v>1.4712815408205904</v>
      </c>
      <c r="BF35" s="62">
        <v>0.88628970844621957</v>
      </c>
      <c r="BG35" s="62">
        <v>0.43576018101574299</v>
      </c>
      <c r="BH35" s="62">
        <v>0.33937386509432788</v>
      </c>
      <c r="BI35" s="62">
        <v>1.2563682821535194</v>
      </c>
      <c r="BJ35" s="62">
        <v>5.913290978825092E-2</v>
      </c>
      <c r="BK35" s="62">
        <v>8.4389946133800464E-2</v>
      </c>
      <c r="BL35" s="62">
        <v>-0.23320917595950341</v>
      </c>
      <c r="BM35" s="62">
        <v>1.3285166044406882</v>
      </c>
      <c r="BN35" s="62">
        <v>0.51643163170023154</v>
      </c>
      <c r="BO35" s="62">
        <v>0.58546716959064771</v>
      </c>
      <c r="BP35" s="62">
        <v>0.10709610923291812</v>
      </c>
      <c r="BQ35" s="62">
        <v>0.35005284857221319</v>
      </c>
      <c r="BR35" s="62">
        <v>-0.30205258531287305</v>
      </c>
      <c r="BS35" s="62">
        <v>-0.11760610290707518</v>
      </c>
      <c r="BT35" s="62">
        <v>-0.11852571090115172</v>
      </c>
      <c r="BU35" s="62">
        <v>0.60189437712214744</v>
      </c>
      <c r="BV35" s="62">
        <v>0.39686258883204761</v>
      </c>
      <c r="BW35" s="62">
        <v>7.1161828040078312E-2</v>
      </c>
      <c r="BX35" s="62">
        <v>-0.36028226540425479</v>
      </c>
      <c r="BY35" s="62">
        <v>-0.25082099673289227</v>
      </c>
      <c r="BZ35" s="62">
        <v>7.7990327666910275E-2</v>
      </c>
      <c r="CA35" s="62">
        <v>-0.13685204129778583</v>
      </c>
      <c r="CB35" s="62">
        <v>-0.12807227195785753</v>
      </c>
      <c r="CC35" s="62">
        <v>0.73532204346518082</v>
      </c>
      <c r="CD35" s="62">
        <v>-0.11906716129074235</v>
      </c>
      <c r="CE35" s="62">
        <v>0.14311711518466552</v>
      </c>
      <c r="CF35" s="62">
        <v>0.12555534760332332</v>
      </c>
      <c r="CG35" s="62">
        <v>1.5363280048396488</v>
      </c>
      <c r="CH35" s="62">
        <v>0.3107056634218619</v>
      </c>
      <c r="CI35" s="62">
        <v>0.28515288205273048</v>
      </c>
      <c r="CJ35" s="62">
        <v>-0.26490580819521492</v>
      </c>
      <c r="CK35" s="62">
        <v>0.90410904734850028</v>
      </c>
      <c r="CL35" s="62">
        <v>0.39119751244058865</v>
      </c>
      <c r="CM35" s="62">
        <v>6.3983756283536586E-2</v>
      </c>
      <c r="CN35" s="62">
        <v>-0.67305992920174695</v>
      </c>
      <c r="CO35" s="62">
        <v>9.8507692691596205E-3</v>
      </c>
      <c r="CP35" s="62">
        <v>-0.2504669994013442</v>
      </c>
      <c r="CQ35" s="62">
        <v>0.2802381184919156</v>
      </c>
      <c r="CR35" s="62">
        <v>-3.0211576641614446E-2</v>
      </c>
      <c r="CS35" s="62">
        <v>4.8273569890144863E-2</v>
      </c>
      <c r="CT35" s="62">
        <v>-0.3300896542614562</v>
      </c>
      <c r="CU35" s="62">
        <v>0.11671169648437285</v>
      </c>
      <c r="CV35" s="62">
        <v>-0.65177898890581565</v>
      </c>
      <c r="CW35" s="62">
        <v>0.32056978192787078</v>
      </c>
    </row>
    <row r="36" spans="1:101" s="37" customFormat="1" ht="16.5" customHeight="1" thickBot="1">
      <c r="A36" s="43" t="s">
        <v>130</v>
      </c>
      <c r="B36" s="44"/>
      <c r="C36" s="60"/>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t="s">
        <v>138</v>
      </c>
      <c r="BX36" s="63" t="s">
        <v>138</v>
      </c>
      <c r="BY36" s="63" t="s">
        <v>138</v>
      </c>
      <c r="BZ36" s="63" t="s">
        <v>138</v>
      </c>
      <c r="CA36" s="63" t="s">
        <v>138</v>
      </c>
      <c r="CB36" s="63" t="s">
        <v>138</v>
      </c>
      <c r="CC36" s="63" t="s">
        <v>138</v>
      </c>
      <c r="CD36" s="63" t="s">
        <v>138</v>
      </c>
      <c r="CE36" s="63" t="s">
        <v>138</v>
      </c>
      <c r="CF36" s="63" t="s">
        <v>138</v>
      </c>
      <c r="CG36" s="63" t="s">
        <v>138</v>
      </c>
      <c r="CH36" s="63" t="s">
        <v>138</v>
      </c>
      <c r="CI36" s="63" t="s">
        <v>138</v>
      </c>
      <c r="CJ36" s="63" t="s">
        <v>138</v>
      </c>
      <c r="CK36" s="63" t="s">
        <v>138</v>
      </c>
      <c r="CL36" s="63" t="s">
        <v>138</v>
      </c>
      <c r="CM36" s="63" t="s">
        <v>138</v>
      </c>
      <c r="CN36" s="63" t="s">
        <v>138</v>
      </c>
      <c r="CO36" s="63" t="s">
        <v>138</v>
      </c>
      <c r="CP36" s="63" t="s">
        <v>138</v>
      </c>
      <c r="CQ36" s="63" t="s">
        <v>138</v>
      </c>
      <c r="CR36" s="63" t="s">
        <v>138</v>
      </c>
      <c r="CS36" s="63" t="s">
        <v>138</v>
      </c>
      <c r="CT36" s="63" t="s">
        <v>138</v>
      </c>
      <c r="CU36" s="63" t="s">
        <v>138</v>
      </c>
      <c r="CV36" s="63" t="s">
        <v>138</v>
      </c>
      <c r="CW36" s="63" t="s">
        <v>138</v>
      </c>
    </row>
    <row r="37" spans="1:101" s="37" customFormat="1" ht="16.5" customHeight="1">
      <c r="A37" s="45"/>
      <c r="B37" s="46" t="s">
        <v>131</v>
      </c>
      <c r="C37" s="61" t="s">
        <v>8</v>
      </c>
      <c r="D37" s="62">
        <v>-4.8261459872387285</v>
      </c>
      <c r="E37" s="62">
        <v>-3.3492832492459823</v>
      </c>
      <c r="F37" s="62">
        <v>-1.6927486969253391</v>
      </c>
      <c r="G37" s="62">
        <v>0.1580988188020882</v>
      </c>
      <c r="H37" s="62">
        <v>0.80735970722103367</v>
      </c>
      <c r="I37" s="62">
        <v>1.9306689593217241</v>
      </c>
      <c r="J37" s="62">
        <v>3.2778556738459974</v>
      </c>
      <c r="K37" s="62">
        <v>2.1800170074024905</v>
      </c>
      <c r="L37" s="62">
        <v>1.8088570893450839</v>
      </c>
      <c r="M37" s="62">
        <v>1.300481335866821</v>
      </c>
      <c r="N37" s="62">
        <v>1.6011255698668236</v>
      </c>
      <c r="O37" s="62">
        <v>2.8554654718503825</v>
      </c>
      <c r="P37" s="62">
        <v>1.9618866208137131</v>
      </c>
      <c r="Q37" s="62">
        <v>3.5694605330656159</v>
      </c>
      <c r="R37" s="62">
        <v>2.4626217449096988</v>
      </c>
      <c r="S37" s="62">
        <v>3.2594325395614243</v>
      </c>
      <c r="T37" s="62">
        <v>1.2417030666477702</v>
      </c>
      <c r="U37" s="62">
        <v>2.4047686713113858</v>
      </c>
      <c r="V37" s="62">
        <v>0.88793188306135473</v>
      </c>
      <c r="W37" s="62">
        <v>1.0850987882320418</v>
      </c>
      <c r="X37" s="62">
        <v>0.84976857623049185</v>
      </c>
      <c r="Y37" s="62">
        <v>1.0954930513802141</v>
      </c>
      <c r="Z37" s="62">
        <v>1.1691861183387386</v>
      </c>
      <c r="AA37" s="62">
        <v>1.8957436650851589</v>
      </c>
      <c r="AB37" s="62">
        <v>0.62350055503921364</v>
      </c>
      <c r="AC37" s="62">
        <v>1.1844219388724264</v>
      </c>
      <c r="AD37" s="62">
        <v>0.38799702642213774</v>
      </c>
      <c r="AE37" s="62">
        <v>-0.61960023596511205</v>
      </c>
      <c r="AF37" s="62">
        <v>-0.88997357242784902</v>
      </c>
      <c r="AG37" s="62">
        <v>-0.68526735108579429</v>
      </c>
      <c r="AH37" s="62">
        <v>-5.2528403854734673E-2</v>
      </c>
      <c r="AI37" s="62">
        <v>0.34912711013601605</v>
      </c>
      <c r="AJ37" s="62">
        <v>0.24571133602200312</v>
      </c>
      <c r="AK37" s="62">
        <v>0.5469850397712861</v>
      </c>
      <c r="AL37" s="62">
        <v>0.41067657309028505</v>
      </c>
      <c r="AM37" s="62">
        <v>0.78943696164315291</v>
      </c>
      <c r="AN37" s="62">
        <v>0.70401153849395381</v>
      </c>
      <c r="AO37" s="62">
        <v>0.17169158007339647</v>
      </c>
      <c r="AP37" s="62">
        <v>0.80579671429064081</v>
      </c>
      <c r="AQ37" s="62">
        <v>0.60882403454785017</v>
      </c>
      <c r="AR37" s="62">
        <v>4.8419730660431703E-2</v>
      </c>
      <c r="AS37" s="62">
        <v>-0.89417636926554245</v>
      </c>
      <c r="AT37" s="62">
        <v>-0.37602142152188822</v>
      </c>
      <c r="AU37" s="62">
        <v>0.23226243594764995</v>
      </c>
      <c r="AV37" s="62">
        <v>-4.9054189318509245E-2</v>
      </c>
      <c r="AW37" s="62">
        <v>-0.86583705934009103</v>
      </c>
      <c r="AX37" s="62">
        <v>0.59926039325224334</v>
      </c>
      <c r="AY37" s="62">
        <v>1.0365166848606222</v>
      </c>
      <c r="AZ37" s="62">
        <v>-0.57117147234418963</v>
      </c>
      <c r="BA37" s="62">
        <v>-0.5874418197546194</v>
      </c>
      <c r="BB37" s="62">
        <v>0.37260036326050017</v>
      </c>
      <c r="BC37" s="62">
        <v>-1.6025891640492063E-2</v>
      </c>
      <c r="BD37" s="62">
        <v>0.37309076865403856</v>
      </c>
      <c r="BE37" s="62">
        <v>0.47024606633241373</v>
      </c>
      <c r="BF37" s="62">
        <v>0.20878839420264139</v>
      </c>
      <c r="BG37" s="62">
        <v>-4.1519356735941759E-2</v>
      </c>
      <c r="BH37" s="62">
        <v>2.9745427261684831E-2</v>
      </c>
      <c r="BI37" s="62">
        <v>-1.1019478447129916</v>
      </c>
      <c r="BJ37" s="62">
        <v>-8.4380470970601973E-2</v>
      </c>
      <c r="BK37" s="62">
        <v>0.11540835600614141</v>
      </c>
      <c r="BL37" s="62">
        <v>0.91876685084362197</v>
      </c>
      <c r="BM37" s="62">
        <v>0.37687793168472705</v>
      </c>
      <c r="BN37" s="62">
        <v>1.035824864713808</v>
      </c>
      <c r="BO37" s="62">
        <v>0.50153601702975781</v>
      </c>
      <c r="BP37" s="62">
        <v>0.18380167334381969</v>
      </c>
      <c r="BQ37" s="62">
        <v>-0.82778823593168127</v>
      </c>
      <c r="BR37" s="62">
        <v>-1.0276244167762738</v>
      </c>
      <c r="BS37" s="62">
        <v>-0.94750555930979141</v>
      </c>
      <c r="BT37" s="62">
        <v>-5.3655225922233374E-2</v>
      </c>
      <c r="BU37" s="62">
        <v>-0.63019795636661824</v>
      </c>
      <c r="BV37" s="62">
        <v>-0.64060748278159663</v>
      </c>
      <c r="BW37" s="62">
        <v>-0.73643014446417299</v>
      </c>
      <c r="BX37" s="62">
        <v>-0.52809307422035934</v>
      </c>
      <c r="BY37" s="62">
        <v>-1.8388414038571055</v>
      </c>
      <c r="BZ37" s="62">
        <v>-0.85338449828854523</v>
      </c>
      <c r="CA37" s="62">
        <v>-0.50319368445920221</v>
      </c>
      <c r="CB37" s="62">
        <v>0.30836572226446979</v>
      </c>
      <c r="CC37" s="62">
        <v>-0.51767504305264556</v>
      </c>
      <c r="CD37" s="62">
        <v>0.26440675371011135</v>
      </c>
      <c r="CE37" s="62">
        <v>0.73032543546902584</v>
      </c>
      <c r="CF37" s="62">
        <v>0.36814782851806171</v>
      </c>
      <c r="CG37" s="62">
        <v>0.59946979153893132</v>
      </c>
      <c r="CH37" s="62">
        <v>1.0101519589751362</v>
      </c>
      <c r="CI37" s="62">
        <v>0.70695517265360053</v>
      </c>
      <c r="CJ37" s="62">
        <v>0.67462737164829534</v>
      </c>
      <c r="CK37" s="62">
        <v>0.28575846688780882</v>
      </c>
      <c r="CL37" s="62">
        <v>0.38687444742353527</v>
      </c>
      <c r="CM37" s="62">
        <v>-0.27832818841281304</v>
      </c>
      <c r="CN37" s="62">
        <v>-0.93998351775201883</v>
      </c>
      <c r="CO37" s="62">
        <v>-0.99740340985088327</v>
      </c>
      <c r="CP37" s="62">
        <v>-0.21239958889234245</v>
      </c>
      <c r="CQ37" s="62">
        <v>0.34648065233851</v>
      </c>
      <c r="CR37" s="62">
        <v>-0.19881201276155114</v>
      </c>
      <c r="CS37" s="62">
        <v>-0.70591727699551576</v>
      </c>
      <c r="CT37" s="62">
        <v>-0.56682790266343597</v>
      </c>
      <c r="CU37" s="62">
        <v>2.0587413451567116E-3</v>
      </c>
      <c r="CV37" s="62">
        <v>-0.50950452104741029</v>
      </c>
      <c r="CW37" s="62">
        <v>-0.57637337324140114</v>
      </c>
    </row>
    <row r="38" spans="1:101" s="37" customFormat="1" ht="16.5" customHeight="1">
      <c r="A38" s="45"/>
      <c r="B38" s="46" t="s">
        <v>132</v>
      </c>
      <c r="C38" s="61" t="s">
        <v>8</v>
      </c>
      <c r="D38" s="62">
        <v>-5.341026331567134</v>
      </c>
      <c r="E38" s="62">
        <v>-3.2274988377650971</v>
      </c>
      <c r="F38" s="62">
        <v>-1.5202540211127435</v>
      </c>
      <c r="G38" s="62">
        <v>-3.1786631082941774E-3</v>
      </c>
      <c r="H38" s="62">
        <v>1.0419471710838124</v>
      </c>
      <c r="I38" s="62">
        <v>1.6594735640945046</v>
      </c>
      <c r="J38" s="62">
        <v>1.1092531408140927</v>
      </c>
      <c r="K38" s="62">
        <v>2.7615798033082672</v>
      </c>
      <c r="L38" s="62">
        <v>1.7573130227412248</v>
      </c>
      <c r="M38" s="62">
        <v>1.4035287012064357</v>
      </c>
      <c r="N38" s="62">
        <v>1.7817418021992104</v>
      </c>
      <c r="O38" s="62">
        <v>2.3280752493901824</v>
      </c>
      <c r="P38" s="62">
        <v>2.2287755315333779</v>
      </c>
      <c r="Q38" s="62">
        <v>4.1771740695259574</v>
      </c>
      <c r="R38" s="62">
        <v>3.5676992839901889</v>
      </c>
      <c r="S38" s="62">
        <v>3.0448367446045621</v>
      </c>
      <c r="T38" s="62">
        <v>1.5787268025672763</v>
      </c>
      <c r="U38" s="62">
        <v>1.6626830275972226</v>
      </c>
      <c r="V38" s="62">
        <v>1.1736271714475555</v>
      </c>
      <c r="W38" s="62">
        <v>2.3382145776727148</v>
      </c>
      <c r="X38" s="62">
        <v>1.745979405212128</v>
      </c>
      <c r="Y38" s="62">
        <v>1.9935360417929093</v>
      </c>
      <c r="Z38" s="62">
        <v>0.78450105700245132</v>
      </c>
      <c r="AA38" s="62">
        <v>1.3404044368562573</v>
      </c>
      <c r="AB38" s="62">
        <v>0.51802597067718281</v>
      </c>
      <c r="AC38" s="62">
        <v>1.6474893634222054</v>
      </c>
      <c r="AD38" s="62">
        <v>0.65706414727442208</v>
      </c>
      <c r="AE38" s="62">
        <v>-0.90056275278390663</v>
      </c>
      <c r="AF38" s="62">
        <v>-2.6497747038471187</v>
      </c>
      <c r="AG38" s="62">
        <v>-1.2982791448346132</v>
      </c>
      <c r="AH38" s="62">
        <v>0.10299792633348126</v>
      </c>
      <c r="AI38" s="62">
        <v>0.92131484085147264</v>
      </c>
      <c r="AJ38" s="62">
        <v>1.5735710991091834</v>
      </c>
      <c r="AK38" s="62">
        <v>1.5734777456809068</v>
      </c>
      <c r="AL38" s="62">
        <v>1.026507228665019</v>
      </c>
      <c r="AM38" s="62">
        <v>0.89277570912031923</v>
      </c>
      <c r="AN38" s="62">
        <v>0.90822695960466326</v>
      </c>
      <c r="AO38" s="62">
        <v>1.2553239138628935</v>
      </c>
      <c r="AP38" s="62">
        <v>0.82377824282919843</v>
      </c>
      <c r="AQ38" s="62">
        <v>0.22284013641105105</v>
      </c>
      <c r="AR38" s="62">
        <v>-1.8336617754352358</v>
      </c>
      <c r="AS38" s="62">
        <v>3.6018857643860258E-2</v>
      </c>
      <c r="AT38" s="62">
        <v>-0.66545240242782411</v>
      </c>
      <c r="AU38" s="62">
        <v>-9.1607780312730203E-2</v>
      </c>
      <c r="AV38" s="62">
        <v>0.23330262084797493</v>
      </c>
      <c r="AW38" s="62">
        <v>-0.14732356035788152</v>
      </c>
      <c r="AX38" s="62">
        <v>0.52489086939211393</v>
      </c>
      <c r="AY38" s="62">
        <v>3.5145070015918378E-2</v>
      </c>
      <c r="AZ38" s="62">
        <v>-0.32906622516295503</v>
      </c>
      <c r="BA38" s="62">
        <v>0.14359009413389412</v>
      </c>
      <c r="BB38" s="62">
        <v>-0.17479049902622279</v>
      </c>
      <c r="BC38" s="62">
        <v>-0.10264463033371474</v>
      </c>
      <c r="BD38" s="62">
        <v>-0.26426895356130853</v>
      </c>
      <c r="BE38" s="62">
        <v>-0.42279843611755519</v>
      </c>
      <c r="BF38" s="62">
        <v>0.94818216199565875</v>
      </c>
      <c r="BG38" s="62">
        <v>-6.1533907035471458E-2</v>
      </c>
      <c r="BH38" s="62">
        <v>-0.15934911682096153</v>
      </c>
      <c r="BI38" s="62">
        <v>-7.9949709446802686E-2</v>
      </c>
      <c r="BJ38" s="62">
        <v>-0.43402207108442781</v>
      </c>
      <c r="BK38" s="62">
        <v>-4.1291285306388481E-2</v>
      </c>
      <c r="BL38" s="62">
        <v>-0.25023847691700851</v>
      </c>
      <c r="BM38" s="62">
        <v>0.29788627058437989</v>
      </c>
      <c r="BN38" s="62">
        <v>9.439105761368527E-2</v>
      </c>
      <c r="BO38" s="62">
        <v>0.53984000169371438</v>
      </c>
      <c r="BP38" s="62">
        <v>-0.38800356401189617</v>
      </c>
      <c r="BQ38" s="62">
        <v>-0.20057848712901061</v>
      </c>
      <c r="BR38" s="62">
        <v>-0.47031383660384174</v>
      </c>
      <c r="BS38" s="62">
        <v>-0.7026538609390065</v>
      </c>
      <c r="BT38" s="62">
        <v>-0.61443636297002779</v>
      </c>
      <c r="BU38" s="62">
        <v>-0.52687417183499008</v>
      </c>
      <c r="BV38" s="62">
        <v>-0.50349008292516206</v>
      </c>
      <c r="BW38" s="62">
        <v>-1.0033025083561076</v>
      </c>
      <c r="BX38" s="62">
        <v>-0.85372110618550101</v>
      </c>
      <c r="BY38" s="62">
        <v>-1.2396741113902876</v>
      </c>
      <c r="BZ38" s="62">
        <v>-0.30794975273852332</v>
      </c>
      <c r="CA38" s="62">
        <v>-0.1756033449916039</v>
      </c>
      <c r="CB38" s="62">
        <v>0.47759525036943362</v>
      </c>
      <c r="CC38" s="62">
        <v>0.26110182970711104</v>
      </c>
      <c r="CD38" s="62">
        <v>0.21053652705986803</v>
      </c>
      <c r="CE38" s="62">
        <v>1.0976743904447028</v>
      </c>
      <c r="CF38" s="62">
        <v>0.98343830689837652</v>
      </c>
      <c r="CG38" s="62">
        <v>0.8015032941671496</v>
      </c>
      <c r="CH38" s="62">
        <v>0.23531570408448221</v>
      </c>
      <c r="CI38" s="62">
        <v>0.36066680315454125</v>
      </c>
      <c r="CJ38" s="62">
        <v>0.10970357806565634</v>
      </c>
      <c r="CK38" s="62">
        <v>1.0917591477565436</v>
      </c>
      <c r="CL38" s="62">
        <v>0.4779371049206782</v>
      </c>
      <c r="CM38" s="62">
        <v>-0.41690208191917932</v>
      </c>
      <c r="CN38" s="62">
        <v>-1.1660707813797244</v>
      </c>
      <c r="CO38" s="62">
        <v>-1.069316281538879</v>
      </c>
      <c r="CP38" s="62">
        <v>0.35581312654371366</v>
      </c>
      <c r="CQ38" s="62">
        <v>0.76794745952337706</v>
      </c>
      <c r="CR38" s="62">
        <v>0.12693594294319599</v>
      </c>
      <c r="CS38" s="62">
        <v>1.3859349061662307E-2</v>
      </c>
      <c r="CT38" s="62">
        <v>-0.19611581975148562</v>
      </c>
      <c r="CU38" s="62">
        <v>-9.0340008701783603E-2</v>
      </c>
      <c r="CV38" s="62">
        <v>-0.23018761377552321</v>
      </c>
      <c r="CW38" s="62">
        <v>-1.308710112231104E-2</v>
      </c>
    </row>
    <row r="39" spans="1:101" s="37" customFormat="1" ht="16.5" customHeight="1">
      <c r="A39" s="45"/>
      <c r="B39" s="46" t="s">
        <v>133</v>
      </c>
      <c r="C39" s="61" t="s">
        <v>8</v>
      </c>
      <c r="D39" s="62">
        <v>-1.7994577835413916</v>
      </c>
      <c r="E39" s="62">
        <v>-1.7654075593991569</v>
      </c>
      <c r="F39" s="62">
        <v>-0.92653874835929573</v>
      </c>
      <c r="G39" s="62">
        <v>0.51966614467859884</v>
      </c>
      <c r="H39" s="62">
        <v>0.36038154783235576</v>
      </c>
      <c r="I39" s="62">
        <v>-0.73992977335490817</v>
      </c>
      <c r="J39" s="62">
        <v>0.72290212559360523</v>
      </c>
      <c r="K39" s="62">
        <v>1.9614237020398217</v>
      </c>
      <c r="L39" s="62">
        <v>1.685751919014411</v>
      </c>
      <c r="M39" s="62">
        <v>1.0209162584515097</v>
      </c>
      <c r="N39" s="62">
        <v>1.2217697144180306</v>
      </c>
      <c r="O39" s="62">
        <v>1.4499883790514145</v>
      </c>
      <c r="P39" s="62">
        <v>1.5778095243105916</v>
      </c>
      <c r="Q39" s="62">
        <v>1.2913344971322127</v>
      </c>
      <c r="R39" s="62">
        <v>0.99842051596421566</v>
      </c>
      <c r="S39" s="62">
        <v>1.9044187298398407</v>
      </c>
      <c r="T39" s="62">
        <v>1.6114370698398384</v>
      </c>
      <c r="U39" s="62">
        <v>0.9761827810292445</v>
      </c>
      <c r="V39" s="62">
        <v>1.0358590559037317</v>
      </c>
      <c r="W39" s="62">
        <v>2.0721648787445757</v>
      </c>
      <c r="X39" s="62">
        <v>1.3722920501930691</v>
      </c>
      <c r="Y39" s="62">
        <v>1.0576871245132402</v>
      </c>
      <c r="Z39" s="62">
        <v>1.8240749855007454</v>
      </c>
      <c r="AA39" s="62">
        <v>1.7252987357300187</v>
      </c>
      <c r="AB39" s="62">
        <v>1.6485237119406193</v>
      </c>
      <c r="AC39" s="62">
        <v>1.7579365449655882</v>
      </c>
      <c r="AD39" s="62">
        <v>1.3696456224696396</v>
      </c>
      <c r="AE39" s="62">
        <v>-0.22334118651791135</v>
      </c>
      <c r="AF39" s="62">
        <v>-0.42480566298742639</v>
      </c>
      <c r="AG39" s="62">
        <v>-0.55604880577699856</v>
      </c>
      <c r="AH39" s="62">
        <v>-0.34214349582266657</v>
      </c>
      <c r="AI39" s="62">
        <v>0.4606001688960415</v>
      </c>
      <c r="AJ39" s="62">
        <v>0.58221595457756958</v>
      </c>
      <c r="AK39" s="62">
        <v>0.91769614370615926</v>
      </c>
      <c r="AL39" s="62">
        <v>1.0938368526606679</v>
      </c>
      <c r="AM39" s="62">
        <v>1.3953717001127464</v>
      </c>
      <c r="AN39" s="62">
        <v>0.7969311059407902</v>
      </c>
      <c r="AO39" s="62">
        <v>0.54520588291244731</v>
      </c>
      <c r="AP39" s="62">
        <v>1.1552497768079428</v>
      </c>
      <c r="AQ39" s="62">
        <v>1.5418884294337687</v>
      </c>
      <c r="AR39" s="62">
        <v>1.0924554462719227</v>
      </c>
      <c r="AS39" s="62">
        <v>-0.31965662497913661</v>
      </c>
      <c r="AT39" s="62">
        <v>-0.76928464765958493</v>
      </c>
      <c r="AU39" s="62">
        <v>-0.19527219631637616</v>
      </c>
      <c r="AV39" s="62">
        <v>0.27245850234307589</v>
      </c>
      <c r="AW39" s="62">
        <v>0.28875319279622058</v>
      </c>
      <c r="AX39" s="62">
        <v>4.6559248636945938E-2</v>
      </c>
      <c r="AY39" s="62">
        <v>3.0835310690746631E-2</v>
      </c>
      <c r="AZ39" s="62">
        <v>0.97030895528076311</v>
      </c>
      <c r="BA39" s="62">
        <v>-0.34043943250828823</v>
      </c>
      <c r="BB39" s="62">
        <v>-0.6491822402974412</v>
      </c>
      <c r="BC39" s="62">
        <v>0.30346876460025651</v>
      </c>
      <c r="BD39" s="62">
        <v>0.22903329333436862</v>
      </c>
      <c r="BE39" s="62">
        <v>-0.52219650208773505</v>
      </c>
      <c r="BF39" s="62">
        <v>0.3821730543881463</v>
      </c>
      <c r="BG39" s="62">
        <v>0.58504143111630658</v>
      </c>
      <c r="BH39" s="62">
        <v>1.7994519437891654E-2</v>
      </c>
      <c r="BI39" s="62">
        <v>-0.46668380307475221</v>
      </c>
      <c r="BJ39" s="62">
        <v>-1.2021561349639942E-2</v>
      </c>
      <c r="BK39" s="62">
        <v>0.48251757717010513</v>
      </c>
      <c r="BL39" s="62">
        <v>0.60374455996781151</v>
      </c>
      <c r="BM39" s="62">
        <v>-4.9990975802172155E-2</v>
      </c>
      <c r="BN39" s="62">
        <v>8.8983510797224774E-2</v>
      </c>
      <c r="BO39" s="62">
        <v>0.95038439813623921</v>
      </c>
      <c r="BP39" s="62">
        <v>0.18609556818793838</v>
      </c>
      <c r="BQ39" s="62">
        <v>-0.42550155271946499</v>
      </c>
      <c r="BR39" s="62">
        <v>-0.66840929698160911</v>
      </c>
      <c r="BS39" s="62">
        <v>-0.74606522976887746</v>
      </c>
      <c r="BT39" s="62">
        <v>-0.4678963587831042</v>
      </c>
      <c r="BU39" s="62">
        <v>-1.2699632010860773</v>
      </c>
      <c r="BV39" s="62">
        <v>-0.67181948953918269</v>
      </c>
      <c r="BW39" s="62">
        <v>-0.7737666395639331</v>
      </c>
      <c r="BX39" s="62">
        <v>-0.36002116027409325</v>
      </c>
      <c r="BY39" s="62">
        <v>-0.88384091266469067</v>
      </c>
      <c r="BZ39" s="62">
        <v>-4.221607393863902E-2</v>
      </c>
      <c r="CA39" s="62">
        <v>-4.8350289515308731E-2</v>
      </c>
      <c r="CB39" s="62">
        <v>0.16744433527695612</v>
      </c>
      <c r="CC39" s="62">
        <v>2.6104120620584759E-2</v>
      </c>
      <c r="CD39" s="62">
        <v>6.0736072516442974E-3</v>
      </c>
      <c r="CE39" s="62">
        <v>0.48435514956206571</v>
      </c>
      <c r="CF39" s="62">
        <v>0.59359607547995186</v>
      </c>
      <c r="CG39" s="62">
        <v>0.31790081300457906</v>
      </c>
      <c r="CH39" s="62">
        <v>0.26072426304315499</v>
      </c>
      <c r="CI39" s="62">
        <v>0.68394281279413605</v>
      </c>
      <c r="CJ39" s="62">
        <v>0.61450122933368601</v>
      </c>
      <c r="CK39" s="62">
        <v>6.5449312295751128E-2</v>
      </c>
      <c r="CL39" s="62">
        <v>0.75820177029581881</v>
      </c>
      <c r="CM39" s="62">
        <v>0.27267691116663606</v>
      </c>
      <c r="CN39" s="62">
        <v>-0.48891013514110737</v>
      </c>
      <c r="CO39" s="62">
        <v>-1.3384613366592579</v>
      </c>
      <c r="CP39" s="62">
        <v>-0.48533008297432234</v>
      </c>
      <c r="CQ39" s="62">
        <v>0.40609291154645177</v>
      </c>
      <c r="CR39" s="62">
        <v>-1.9950565412796273E-2</v>
      </c>
      <c r="CS39" s="62">
        <v>-0.6716971772281255</v>
      </c>
      <c r="CT39" s="62">
        <v>-0.52260724120665181</v>
      </c>
      <c r="CU39" s="62">
        <v>-0.2977245858969968</v>
      </c>
      <c r="CV39" s="62">
        <v>-0.25051748672907381</v>
      </c>
      <c r="CW39" s="62">
        <v>-0.34203198286075764</v>
      </c>
    </row>
    <row r="40" spans="1:101" s="37" customFormat="1" ht="16.5" customHeight="1" thickBot="1">
      <c r="A40" s="43" t="s">
        <v>134</v>
      </c>
      <c r="B40" s="44"/>
      <c r="C40" s="60"/>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3"/>
      <c r="BG40" s="63"/>
      <c r="BH40" s="63"/>
      <c r="BI40" s="63"/>
      <c r="BJ40" s="63"/>
      <c r="BK40" s="63"/>
      <c r="BL40" s="63"/>
      <c r="BM40" s="63"/>
      <c r="BN40" s="63"/>
      <c r="BO40" s="63"/>
      <c r="BP40" s="63"/>
      <c r="BQ40" s="63"/>
      <c r="BR40" s="63"/>
      <c r="BS40" s="63"/>
      <c r="BT40" s="63"/>
      <c r="BU40" s="63"/>
      <c r="BV40" s="63"/>
      <c r="BW40" s="63" t="s">
        <v>138</v>
      </c>
      <c r="BX40" s="63" t="s">
        <v>138</v>
      </c>
      <c r="BY40" s="63" t="s">
        <v>138</v>
      </c>
      <c r="BZ40" s="63" t="s">
        <v>138</v>
      </c>
      <c r="CA40" s="63" t="s">
        <v>138</v>
      </c>
      <c r="CB40" s="63" t="s">
        <v>138</v>
      </c>
      <c r="CC40" s="63" t="s">
        <v>138</v>
      </c>
      <c r="CD40" s="63" t="s">
        <v>138</v>
      </c>
      <c r="CE40" s="63" t="s">
        <v>138</v>
      </c>
      <c r="CF40" s="63" t="s">
        <v>138</v>
      </c>
      <c r="CG40" s="63" t="s">
        <v>138</v>
      </c>
      <c r="CH40" s="63" t="s">
        <v>138</v>
      </c>
      <c r="CI40" s="63" t="s">
        <v>138</v>
      </c>
      <c r="CJ40" s="63" t="s">
        <v>138</v>
      </c>
      <c r="CK40" s="63" t="s">
        <v>138</v>
      </c>
      <c r="CL40" s="63" t="s">
        <v>138</v>
      </c>
      <c r="CM40" s="63" t="s">
        <v>138</v>
      </c>
      <c r="CN40" s="63" t="s">
        <v>138</v>
      </c>
      <c r="CO40" s="63" t="s">
        <v>138</v>
      </c>
      <c r="CP40" s="63" t="s">
        <v>138</v>
      </c>
      <c r="CQ40" s="63" t="s">
        <v>138</v>
      </c>
      <c r="CR40" s="63" t="s">
        <v>138</v>
      </c>
      <c r="CS40" s="63" t="s">
        <v>138</v>
      </c>
      <c r="CT40" s="63" t="s">
        <v>138</v>
      </c>
      <c r="CU40" s="63" t="s">
        <v>138</v>
      </c>
      <c r="CV40" s="63" t="s">
        <v>138</v>
      </c>
      <c r="CW40" s="63" t="s">
        <v>138</v>
      </c>
    </row>
    <row r="41" spans="1:101" s="37" customFormat="1" ht="16.5" customHeight="1">
      <c r="A41" s="45"/>
      <c r="B41" s="46" t="s">
        <v>135</v>
      </c>
      <c r="C41" s="61" t="s">
        <v>8</v>
      </c>
      <c r="D41" s="62">
        <v>-3.4062850551469293</v>
      </c>
      <c r="E41" s="62">
        <v>-2.2044919661979856</v>
      </c>
      <c r="F41" s="62">
        <v>-0.29310321700131148</v>
      </c>
      <c r="G41" s="62">
        <v>0.85170660385949226</v>
      </c>
      <c r="H41" s="62">
        <v>1.4225098583163343</v>
      </c>
      <c r="I41" s="62">
        <v>1.5956228813910567</v>
      </c>
      <c r="J41" s="62">
        <v>1.9554821950360957</v>
      </c>
      <c r="K41" s="62">
        <v>3.5771352944692802</v>
      </c>
      <c r="L41" s="62">
        <v>2.9229815371546009</v>
      </c>
      <c r="M41" s="62">
        <v>1.7126656937097584</v>
      </c>
      <c r="N41" s="62">
        <v>1.458452014772571</v>
      </c>
      <c r="O41" s="62">
        <v>2.5214021954726773</v>
      </c>
      <c r="P41" s="62">
        <v>2.1127392664006983</v>
      </c>
      <c r="Q41" s="62">
        <v>1.5897534105759448</v>
      </c>
      <c r="R41" s="62">
        <v>2.0840726431302414</v>
      </c>
      <c r="S41" s="62">
        <v>3.0967363551492433</v>
      </c>
      <c r="T41" s="62">
        <v>1.2265691431612158</v>
      </c>
      <c r="U41" s="62">
        <v>0.96048080884929554</v>
      </c>
      <c r="V41" s="62">
        <v>1.0869431775086369</v>
      </c>
      <c r="W41" s="62">
        <v>1.428765589879899</v>
      </c>
      <c r="X41" s="62">
        <v>1.0608858142437061</v>
      </c>
      <c r="Y41" s="62">
        <v>1.3938776642353989</v>
      </c>
      <c r="Z41" s="62">
        <v>1.4813796820632774</v>
      </c>
      <c r="AA41" s="62">
        <v>2.2514112359445448</v>
      </c>
      <c r="AB41" s="62">
        <v>0.52676899865580218</v>
      </c>
      <c r="AC41" s="62">
        <v>0.78109424669499106</v>
      </c>
      <c r="AD41" s="62">
        <v>0.73268558691321761</v>
      </c>
      <c r="AE41" s="62">
        <v>-0.43667716140129986</v>
      </c>
      <c r="AF41" s="62">
        <v>-1.2535246524412957</v>
      </c>
      <c r="AG41" s="62">
        <v>-1.1130719675512823</v>
      </c>
      <c r="AH41" s="62">
        <v>0.188500920411383</v>
      </c>
      <c r="AI41" s="62">
        <v>1.0807917855178539</v>
      </c>
      <c r="AJ41" s="62">
        <v>0.56693061848323012</v>
      </c>
      <c r="AK41" s="62">
        <v>1.1048844242247391</v>
      </c>
      <c r="AL41" s="62">
        <v>0.71157784481119535</v>
      </c>
      <c r="AM41" s="62">
        <v>1.4652108359276772</v>
      </c>
      <c r="AN41" s="62">
        <v>0.15299037621294698</v>
      </c>
      <c r="AO41" s="62">
        <v>-8.555246648620507E-2</v>
      </c>
      <c r="AP41" s="62">
        <v>1.1424737269562169</v>
      </c>
      <c r="AQ41" s="62">
        <v>1.2119259531965021</v>
      </c>
      <c r="AR41" s="62">
        <v>-0.27929639876672629</v>
      </c>
      <c r="AS41" s="62">
        <v>-0.57027561561545648</v>
      </c>
      <c r="AT41" s="62">
        <v>-9.968922813996528E-2</v>
      </c>
      <c r="AU41" s="62">
        <v>1.1451603336374072</v>
      </c>
      <c r="AV41" s="62">
        <v>-1.2545598601421126E-2</v>
      </c>
      <c r="AW41" s="62">
        <v>-1.0364954350730482</v>
      </c>
      <c r="AX41" s="62">
        <v>1.1763534285814448</v>
      </c>
      <c r="AY41" s="62">
        <v>0.6563760553051301</v>
      </c>
      <c r="AZ41" s="62">
        <v>-0.31457282744901116</v>
      </c>
      <c r="BA41" s="62">
        <v>-1.0878579309346326</v>
      </c>
      <c r="BB41" s="62">
        <v>-0.31778737257048828</v>
      </c>
      <c r="BC41" s="62">
        <v>0.42453577472714166</v>
      </c>
      <c r="BD41" s="62">
        <v>0.25743694879660772</v>
      </c>
      <c r="BE41" s="62">
        <v>7.9768139490843382E-2</v>
      </c>
      <c r="BF41" s="62">
        <v>0.55371295671378107</v>
      </c>
      <c r="BG41" s="62">
        <v>0.21024285318205216</v>
      </c>
      <c r="BH41" s="62">
        <v>-0.72179583740455966</v>
      </c>
      <c r="BI41" s="62">
        <v>-1.7054949661888363</v>
      </c>
      <c r="BJ41" s="62">
        <v>-1.2985310074132839</v>
      </c>
      <c r="BK41" s="62">
        <v>-0.77533818973933855</v>
      </c>
      <c r="BL41" s="62">
        <v>-0.82875611350933243</v>
      </c>
      <c r="BM41" s="62">
        <v>-1.0012946588847993</v>
      </c>
      <c r="BN41" s="62">
        <v>-0.46861896145797832</v>
      </c>
      <c r="BO41" s="62">
        <v>0.394498610807692</v>
      </c>
      <c r="BP41" s="62">
        <v>2.2770098892688218E-2</v>
      </c>
      <c r="BQ41" s="62">
        <v>-0.91605556579601455</v>
      </c>
      <c r="BR41" s="62">
        <v>-0.97857162602685843</v>
      </c>
      <c r="BS41" s="62">
        <v>-1.1640903216586396</v>
      </c>
      <c r="BT41" s="62">
        <v>-1.2422102352568354</v>
      </c>
      <c r="BU41" s="62">
        <v>-1.2605822541791878</v>
      </c>
      <c r="BV41" s="62">
        <v>-0.60057256003345216</v>
      </c>
      <c r="BW41" s="62">
        <v>-1.3242142031871018</v>
      </c>
      <c r="BX41" s="62">
        <v>-0.16120445006212458</v>
      </c>
      <c r="BY41" s="62">
        <v>-0.96576279966434919</v>
      </c>
      <c r="BZ41" s="62">
        <v>-9.6014239493014131E-2</v>
      </c>
      <c r="CA41" s="62">
        <v>0.34406068058878692</v>
      </c>
      <c r="CB41" s="62">
        <v>7.9703016679988359E-2</v>
      </c>
      <c r="CC41" s="62">
        <v>0.17138049913545395</v>
      </c>
      <c r="CD41" s="62">
        <v>0.34694195344060486</v>
      </c>
      <c r="CE41" s="62">
        <v>0.55393453039951357</v>
      </c>
      <c r="CF41" s="62">
        <v>0.79877482695347446</v>
      </c>
      <c r="CG41" s="62">
        <v>0.68220198867150472</v>
      </c>
      <c r="CH41" s="62">
        <v>0.51890962835121623</v>
      </c>
      <c r="CI41" s="62">
        <v>0.36066393072688996</v>
      </c>
      <c r="CJ41" s="62">
        <v>0.3951338569110785</v>
      </c>
      <c r="CK41" s="62">
        <v>0.71686728202058347</v>
      </c>
      <c r="CL41" s="62">
        <v>0.56590842964938659</v>
      </c>
      <c r="CM41" s="62">
        <v>-0.10801095446817399</v>
      </c>
      <c r="CN41" s="62">
        <v>-0.57289181300631542</v>
      </c>
      <c r="CO41" s="62">
        <v>-1.2854833380901431</v>
      </c>
      <c r="CP41" s="62">
        <v>-0.55079758333400619</v>
      </c>
      <c r="CQ41" s="62">
        <v>0.58351185087124335</v>
      </c>
      <c r="CR41" s="62">
        <v>0.68063966365530248</v>
      </c>
      <c r="CS41" s="62">
        <v>-2.186854076475786E-2</v>
      </c>
      <c r="CT41" s="62">
        <v>-0.69706769916353384</v>
      </c>
      <c r="CU41" s="62">
        <v>-0.44550958456044398</v>
      </c>
      <c r="CV41" s="62">
        <v>-0.8581840343878766</v>
      </c>
      <c r="CW41" s="62">
        <v>-0.3615766303494361</v>
      </c>
    </row>
    <row r="42" spans="1:101" s="37" customFormat="1" ht="16.5" customHeight="1">
      <c r="A42" s="45"/>
      <c r="B42" s="46" t="s">
        <v>125</v>
      </c>
      <c r="C42" s="61" t="s">
        <v>8</v>
      </c>
      <c r="D42" s="62">
        <v>-19.272958860976431</v>
      </c>
      <c r="E42" s="62">
        <v>-14.380449292286801</v>
      </c>
      <c r="F42" s="62">
        <v>-9.3995596238744987</v>
      </c>
      <c r="G42" s="62">
        <v>0.65736059785082013</v>
      </c>
      <c r="H42" s="62">
        <v>6.3888133419123028</v>
      </c>
      <c r="I42" s="62">
        <v>2.5564810369938407</v>
      </c>
      <c r="J42" s="62">
        <v>9.0953142662926201</v>
      </c>
      <c r="K42" s="62">
        <v>4.8409392394501927</v>
      </c>
      <c r="L42" s="62">
        <v>0.89184596564926277</v>
      </c>
      <c r="M42" s="62">
        <v>-1.4353858294067878</v>
      </c>
      <c r="N42" s="62">
        <v>0.32777118024380769</v>
      </c>
      <c r="O42" s="62">
        <v>5.659032816135845</v>
      </c>
      <c r="P42" s="62">
        <v>8.0767738179730486</v>
      </c>
      <c r="Q42" s="62">
        <v>11.9294494061148</v>
      </c>
      <c r="R42" s="62">
        <v>5.9818148409020777</v>
      </c>
      <c r="S42" s="62">
        <v>6.0314167176838351</v>
      </c>
      <c r="T42" s="62">
        <v>2.465602987436899</v>
      </c>
      <c r="U42" s="62">
        <v>6.1330815413857209</v>
      </c>
      <c r="V42" s="62">
        <v>1.4581957288711145</v>
      </c>
      <c r="W42" s="62">
        <v>4.0376918996694489</v>
      </c>
      <c r="X42" s="62">
        <v>3.5190660325186807</v>
      </c>
      <c r="Y42" s="62">
        <v>2.7528290295071534</v>
      </c>
      <c r="Z42" s="62">
        <v>-4.8343340199119567E-2</v>
      </c>
      <c r="AA42" s="62">
        <v>-1.170359820643796</v>
      </c>
      <c r="AB42" s="62">
        <v>0.90382735794896085</v>
      </c>
      <c r="AC42" s="62">
        <v>3.386424441565139</v>
      </c>
      <c r="AD42" s="62">
        <v>0.13248877072526977</v>
      </c>
      <c r="AE42" s="62">
        <v>-4.88443264633508</v>
      </c>
      <c r="AF42" s="62">
        <v>-2.8426901659618475</v>
      </c>
      <c r="AG42" s="62">
        <v>-3.9123802521181861</v>
      </c>
      <c r="AH42" s="62">
        <v>-1.3119733295255842</v>
      </c>
      <c r="AI42" s="62">
        <v>1.148504757382196</v>
      </c>
      <c r="AJ42" s="62">
        <v>2.2361744719289867</v>
      </c>
      <c r="AK42" s="62">
        <v>0.84624663678847245</v>
      </c>
      <c r="AL42" s="62">
        <v>-2.1713307097220969</v>
      </c>
      <c r="AM42" s="62">
        <v>-1.9765822564460356</v>
      </c>
      <c r="AN42" s="62">
        <v>1.2268411265381474</v>
      </c>
      <c r="AO42" s="62">
        <v>2.4110843725124287</v>
      </c>
      <c r="AP42" s="62">
        <v>-1.0350760570893458</v>
      </c>
      <c r="AQ42" s="62">
        <v>-2.0760995249355152</v>
      </c>
      <c r="AR42" s="62">
        <v>-0.63639322612999427</v>
      </c>
      <c r="AS42" s="62">
        <v>-3.0755327032227386</v>
      </c>
      <c r="AT42" s="62">
        <v>-4.0543627958115387</v>
      </c>
      <c r="AU42" s="62">
        <v>-3.1307330638297381</v>
      </c>
      <c r="AV42" s="62">
        <v>0.15676904856818386</v>
      </c>
      <c r="AW42" s="62">
        <v>-1.0917620655481852</v>
      </c>
      <c r="AX42" s="62">
        <v>-2.0961346088013588</v>
      </c>
      <c r="AY42" s="62">
        <v>-2.0951648007112467</v>
      </c>
      <c r="AZ42" s="62">
        <v>-1.2074908645403504</v>
      </c>
      <c r="BA42" s="62">
        <v>0.72917337646563052</v>
      </c>
      <c r="BB42" s="62">
        <v>-1.2813848553027252</v>
      </c>
      <c r="BC42" s="62">
        <v>-0.64769633080933309</v>
      </c>
      <c r="BD42" s="62">
        <v>-1.0706544588793054</v>
      </c>
      <c r="BE42" s="62">
        <v>-3.5464760380379379</v>
      </c>
      <c r="BF42" s="62">
        <v>-0.52197936221444197</v>
      </c>
      <c r="BG42" s="62">
        <v>-4.5204377203772905</v>
      </c>
      <c r="BH42" s="62">
        <v>-2.7658813848750574</v>
      </c>
      <c r="BI42" s="62">
        <v>-2.9528864876813277</v>
      </c>
      <c r="BJ42" s="62">
        <v>0.70435100677590512</v>
      </c>
      <c r="BK42" s="62">
        <v>-3.9318557513212671E-2</v>
      </c>
      <c r="BL42" s="62">
        <v>2.922545716927849</v>
      </c>
      <c r="BM42" s="62">
        <v>4.514008083631027</v>
      </c>
      <c r="BN42" s="62">
        <v>3.4843087104228676</v>
      </c>
      <c r="BO42" s="62">
        <v>0.61980853531173885</v>
      </c>
      <c r="BP42" s="62">
        <v>-1.1285553515232971</v>
      </c>
      <c r="BQ42" s="62">
        <v>-1.13827441510852</v>
      </c>
      <c r="BR42" s="62">
        <v>-2.4650878284271704</v>
      </c>
      <c r="BS42" s="62">
        <v>-3.1223952072943817</v>
      </c>
      <c r="BT42" s="62">
        <v>4.6993569512632227E-2</v>
      </c>
      <c r="BU42" s="62">
        <v>-2.5773822290261816</v>
      </c>
      <c r="BV42" s="62">
        <v>-4.1196411217881863</v>
      </c>
      <c r="BW42" s="62">
        <v>-6.5117234170938172</v>
      </c>
      <c r="BX42" s="62">
        <v>-6.0493126623304416</v>
      </c>
      <c r="BY42" s="62">
        <v>-6.1793637025605914</v>
      </c>
      <c r="BZ42" s="62">
        <v>-1.142820460341798</v>
      </c>
      <c r="CA42" s="62">
        <v>0.57819558679785832</v>
      </c>
      <c r="CB42" s="62">
        <v>3.3883466581065003</v>
      </c>
      <c r="CC42" s="62">
        <v>1.1585825980553466</v>
      </c>
      <c r="CD42" s="62">
        <v>2.9345181538346532</v>
      </c>
      <c r="CE42" s="62">
        <v>0.36279165058354934</v>
      </c>
      <c r="CF42" s="62">
        <v>0.82705357086192421</v>
      </c>
      <c r="CG42" s="62">
        <v>2.0028688495614677</v>
      </c>
      <c r="CH42" s="62">
        <v>0.42752008419584264</v>
      </c>
      <c r="CI42" s="62">
        <v>0.5155762049311452</v>
      </c>
      <c r="CJ42" s="62">
        <v>0.46541894596492384</v>
      </c>
      <c r="CK42" s="62">
        <v>0.85267358497780332</v>
      </c>
      <c r="CL42" s="62">
        <v>0.37408022192710888</v>
      </c>
      <c r="CM42" s="62">
        <v>-4.9014102205437897</v>
      </c>
      <c r="CN42" s="62">
        <v>-7.8171122627681449</v>
      </c>
      <c r="CO42" s="62">
        <v>-3.8868671993973924</v>
      </c>
      <c r="CP42" s="62">
        <v>8.9397472099106423E-2</v>
      </c>
      <c r="CQ42" s="62">
        <v>0.11928941092549383</v>
      </c>
      <c r="CR42" s="62">
        <v>-1.1598664500291234</v>
      </c>
      <c r="CS42" s="62">
        <v>9.8242369426215781E-2</v>
      </c>
      <c r="CT42" s="62">
        <v>0.14674197448187876</v>
      </c>
      <c r="CU42" s="62">
        <v>-2.7848754034236811</v>
      </c>
      <c r="CV42" s="62">
        <v>-1.2913604758395203</v>
      </c>
      <c r="CW42" s="62">
        <v>0.2426120648586938</v>
      </c>
    </row>
    <row r="43" spans="1:101" s="37" customFormat="1" ht="16.5" customHeight="1">
      <c r="A43" s="45"/>
      <c r="B43" s="46" t="s">
        <v>136</v>
      </c>
      <c r="C43" s="61" t="s">
        <v>8</v>
      </c>
      <c r="D43" s="62">
        <v>-2.91843667925763</v>
      </c>
      <c r="E43" s="62">
        <v>-2.252351712425682</v>
      </c>
      <c r="F43" s="62">
        <v>-1.3895487340962576</v>
      </c>
      <c r="G43" s="62">
        <v>-1.30040273092491E-2</v>
      </c>
      <c r="H43" s="62">
        <v>9.646748525058424E-2</v>
      </c>
      <c r="I43" s="62">
        <v>0.21750456955635933</v>
      </c>
      <c r="J43" s="62">
        <v>0.99093838702604131</v>
      </c>
      <c r="K43" s="62">
        <v>1.3961470430126965</v>
      </c>
      <c r="L43" s="62">
        <v>1.0754079230249847</v>
      </c>
      <c r="M43" s="62">
        <v>1.160234775279978</v>
      </c>
      <c r="N43" s="62">
        <v>1.5939938225589367</v>
      </c>
      <c r="O43" s="62">
        <v>1.929153593990951</v>
      </c>
      <c r="P43" s="62">
        <v>1.5279881126250006</v>
      </c>
      <c r="Q43" s="62">
        <v>2.5751526062657959</v>
      </c>
      <c r="R43" s="62">
        <v>1.9558363128689304</v>
      </c>
      <c r="S43" s="62">
        <v>2.228399769012479</v>
      </c>
      <c r="T43" s="62">
        <v>1.4987973385782727</v>
      </c>
      <c r="U43" s="62">
        <v>1.4214999913955362</v>
      </c>
      <c r="V43" s="62">
        <v>0.97650618673161826</v>
      </c>
      <c r="W43" s="62">
        <v>1.7492072565793437</v>
      </c>
      <c r="X43" s="62">
        <v>1.1436971424416242</v>
      </c>
      <c r="Y43" s="62">
        <v>1.195848567052904</v>
      </c>
      <c r="Z43" s="62">
        <v>1.3406000586928757</v>
      </c>
      <c r="AA43" s="62">
        <v>1.8224949252222844</v>
      </c>
      <c r="AB43" s="62">
        <v>1.0443404422683988</v>
      </c>
      <c r="AC43" s="62">
        <v>1.5683063911933637</v>
      </c>
      <c r="AD43" s="62">
        <v>0.94960297257147275</v>
      </c>
      <c r="AE43" s="62">
        <v>-0.17688891432867671</v>
      </c>
      <c r="AF43" s="62">
        <v>-1.2084383023629464</v>
      </c>
      <c r="AG43" s="62">
        <v>-0.41122789670708926</v>
      </c>
      <c r="AH43" s="62">
        <v>-6.5698724434148925E-2</v>
      </c>
      <c r="AI43" s="62">
        <v>0.29873596416296611</v>
      </c>
      <c r="AJ43" s="62">
        <v>0.68861191077991268</v>
      </c>
      <c r="AK43" s="62">
        <v>1.0270329281979462</v>
      </c>
      <c r="AL43" s="62">
        <v>1.2783343462557495</v>
      </c>
      <c r="AM43" s="62">
        <v>1.2594956619098596</v>
      </c>
      <c r="AN43" s="62">
        <v>1.0470764453269998</v>
      </c>
      <c r="AO43" s="62">
        <v>0.70763807321891914</v>
      </c>
      <c r="AP43" s="62">
        <v>1.0826055518270872</v>
      </c>
      <c r="AQ43" s="62">
        <v>1.0214054138120598</v>
      </c>
      <c r="AR43" s="62">
        <v>-0.12839300353636451</v>
      </c>
      <c r="AS43" s="62">
        <v>1.5649390659744356E-2</v>
      </c>
      <c r="AT43" s="62">
        <v>-0.37732179876278638</v>
      </c>
      <c r="AU43" s="62">
        <v>-7.2461281257418797E-2</v>
      </c>
      <c r="AV43" s="62">
        <v>0.21517386653659987</v>
      </c>
      <c r="AW43" s="62">
        <v>0.11976967680578099</v>
      </c>
      <c r="AX43" s="62">
        <v>0.47527543719916299</v>
      </c>
      <c r="AY43" s="62">
        <v>0.64752808425769803</v>
      </c>
      <c r="AZ43" s="62">
        <v>0.23934289998746028</v>
      </c>
      <c r="BA43" s="62">
        <v>-0.10717725191982108</v>
      </c>
      <c r="BB43" s="62">
        <v>0.12513556208177956</v>
      </c>
      <c r="BC43" s="62">
        <v>2.5308770607246345E-3</v>
      </c>
      <c r="BD43" s="62">
        <v>0.21585217091459885</v>
      </c>
      <c r="BE43" s="62">
        <v>0.1918621742549087</v>
      </c>
      <c r="BF43" s="62">
        <v>0.62254597588311533</v>
      </c>
      <c r="BG43" s="62">
        <v>0.67989784719537649</v>
      </c>
      <c r="BH43" s="62">
        <v>0.48492748438071498</v>
      </c>
      <c r="BI43" s="62">
        <v>0.10183086869968161</v>
      </c>
      <c r="BJ43" s="62">
        <v>9.4817516162759574E-2</v>
      </c>
      <c r="BK43" s="62">
        <v>0.52024429182397913</v>
      </c>
      <c r="BL43" s="62">
        <v>0.54158425137666999</v>
      </c>
      <c r="BM43" s="62">
        <v>0.16581823400023676</v>
      </c>
      <c r="BN43" s="62">
        <v>0.37246696386896705</v>
      </c>
      <c r="BO43" s="62">
        <v>0.7574449031966024</v>
      </c>
      <c r="BP43" s="62">
        <v>6.8943403364074562E-2</v>
      </c>
      <c r="BQ43" s="62">
        <v>-0.28337209765214588</v>
      </c>
      <c r="BR43" s="62">
        <v>-0.45959845929740561</v>
      </c>
      <c r="BS43" s="62">
        <v>-0.45585768097489154</v>
      </c>
      <c r="BT43" s="62">
        <v>-0.19699176278261676</v>
      </c>
      <c r="BU43" s="62">
        <v>-0.49203171422209646</v>
      </c>
      <c r="BV43" s="62">
        <v>-0.22296887575588009</v>
      </c>
      <c r="BW43" s="62">
        <v>-6.8620769459970532E-2</v>
      </c>
      <c r="BX43" s="62">
        <v>-9.9185091814624204E-2</v>
      </c>
      <c r="BY43" s="62">
        <v>-0.82762177283801641</v>
      </c>
      <c r="BZ43" s="62">
        <v>-0.33855961869152518</v>
      </c>
      <c r="CA43" s="62">
        <v>-0.3852402703736435</v>
      </c>
      <c r="CB43" s="62">
        <v>4.4098571572637191E-2</v>
      </c>
      <c r="CC43" s="62">
        <v>-0.28202273917130594</v>
      </c>
      <c r="CD43" s="62">
        <v>-0.15447254970929469</v>
      </c>
      <c r="CE43" s="62">
        <v>0.86567122484209058</v>
      </c>
      <c r="CF43" s="62">
        <v>0.58344534812453386</v>
      </c>
      <c r="CG43" s="62">
        <v>0.42101220605865741</v>
      </c>
      <c r="CH43" s="62">
        <v>0.50183728462256383</v>
      </c>
      <c r="CI43" s="62">
        <v>0.64393616427815825</v>
      </c>
      <c r="CJ43" s="62">
        <v>0.47254308349058416</v>
      </c>
      <c r="CK43" s="62">
        <v>0.39221593461704618</v>
      </c>
      <c r="CL43" s="62">
        <v>0.52855262635642664</v>
      </c>
      <c r="CM43" s="62">
        <v>0.40609064103263037</v>
      </c>
      <c r="CN43" s="62">
        <v>-0.12478635139018257</v>
      </c>
      <c r="CO43" s="62">
        <v>-0.82244493146002018</v>
      </c>
      <c r="CP43" s="62">
        <v>-7.1830979871534417E-2</v>
      </c>
      <c r="CQ43" s="62">
        <v>0.51070727867925658</v>
      </c>
      <c r="CR43" s="62">
        <v>-0.13064589940986471</v>
      </c>
      <c r="CS43" s="62">
        <v>-0.62989454891216878</v>
      </c>
      <c r="CT43" s="62">
        <v>-0.40613312992070494</v>
      </c>
      <c r="CU43" s="62">
        <v>0.20577923986611069</v>
      </c>
      <c r="CV43" s="62">
        <v>-9.6014074824024576E-2</v>
      </c>
      <c r="CW43" s="62">
        <v>-0.34964155169743272</v>
      </c>
    </row>
    <row r="44" spans="1:101" s="39" customFormat="1" ht="21" customHeight="1">
      <c r="A44" s="41" t="s">
        <v>139</v>
      </c>
      <c r="B44" s="42"/>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59"/>
      <c r="BK44" s="59"/>
      <c r="BL44" s="59"/>
      <c r="BM44" s="59"/>
      <c r="BN44" s="59"/>
      <c r="BO44" s="59"/>
      <c r="BP44" s="59"/>
      <c r="BQ44" s="59"/>
      <c r="BR44" s="59"/>
      <c r="BS44" s="59"/>
      <c r="BT44" s="59"/>
      <c r="BU44" s="59"/>
      <c r="BV44" s="59"/>
      <c r="BW44" s="59"/>
      <c r="BX44" s="59"/>
      <c r="BY44" s="59"/>
      <c r="BZ44" s="59"/>
      <c r="CA44" s="59"/>
      <c r="CB44" s="59"/>
      <c r="CC44" s="59"/>
      <c r="CD44" s="59"/>
      <c r="CE44" s="59"/>
      <c r="CF44" s="59"/>
      <c r="CG44" s="59"/>
      <c r="CH44" s="59"/>
      <c r="CI44" s="59"/>
      <c r="CJ44" s="59"/>
      <c r="CK44" s="59"/>
      <c r="CL44" s="59"/>
      <c r="CM44" s="59"/>
      <c r="CN44" s="59"/>
      <c r="CO44" s="59"/>
      <c r="CP44" s="59"/>
      <c r="CQ44" s="59"/>
      <c r="CR44" s="59"/>
      <c r="CS44" s="59"/>
      <c r="CT44" s="59"/>
      <c r="CU44" s="59"/>
      <c r="CV44" s="59"/>
      <c r="CW44" s="59"/>
    </row>
    <row r="45" spans="1:101" s="37" customFormat="1" ht="16.5" customHeight="1" thickBot="1">
      <c r="A45" s="43" t="s">
        <v>121</v>
      </c>
      <c r="B45" s="44"/>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c r="AC45" s="60"/>
      <c r="AD45" s="60"/>
      <c r="AE45" s="60"/>
      <c r="AF45" s="60"/>
      <c r="AG45" s="60"/>
      <c r="AH45" s="60"/>
      <c r="AI45" s="60"/>
      <c r="AJ45" s="60"/>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c r="BK45" s="60"/>
      <c r="BL45" s="60"/>
      <c r="BM45" s="60"/>
      <c r="BN45" s="60"/>
      <c r="BO45" s="60"/>
      <c r="BP45" s="60"/>
      <c r="BQ45" s="60"/>
      <c r="BR45" s="60"/>
      <c r="BS45" s="60"/>
      <c r="BT45" s="60"/>
      <c r="BU45" s="60"/>
      <c r="BV45" s="60"/>
      <c r="BW45" s="60"/>
      <c r="BX45" s="60"/>
      <c r="BY45" s="60"/>
      <c r="BZ45" s="60"/>
      <c r="CA45" s="60"/>
      <c r="CB45" s="60"/>
      <c r="CC45" s="60"/>
      <c r="CD45" s="60"/>
      <c r="CE45" s="60"/>
      <c r="CF45" s="60"/>
      <c r="CG45" s="60"/>
      <c r="CH45" s="60"/>
      <c r="CI45" s="60"/>
      <c r="CJ45" s="60"/>
      <c r="CK45" s="60"/>
      <c r="CL45" s="60"/>
      <c r="CM45" s="60"/>
      <c r="CN45" s="60"/>
      <c r="CO45" s="60"/>
      <c r="CP45" s="60"/>
      <c r="CQ45" s="60"/>
      <c r="CR45" s="60"/>
      <c r="CS45" s="60"/>
      <c r="CT45" s="60"/>
      <c r="CU45" s="60"/>
      <c r="CV45" s="60"/>
      <c r="CW45" s="60"/>
    </row>
    <row r="46" spans="1:101" s="37" customFormat="1" ht="16.5" customHeight="1">
      <c r="A46" s="45"/>
      <c r="B46" s="46" t="s">
        <v>122</v>
      </c>
      <c r="C46" s="61" t="s">
        <v>8</v>
      </c>
      <c r="D46" s="62" t="s">
        <v>8</v>
      </c>
      <c r="E46" s="62" t="s">
        <v>8</v>
      </c>
      <c r="F46" s="62" t="s">
        <v>8</v>
      </c>
      <c r="G46" s="62">
        <v>-5.0103630698688058</v>
      </c>
      <c r="H46" s="62">
        <v>-0.26175726356131301</v>
      </c>
      <c r="I46" s="62">
        <v>3.6138479121301526</v>
      </c>
      <c r="J46" s="62">
        <v>5.950542708753348</v>
      </c>
      <c r="K46" s="62">
        <v>8.8137629616177993</v>
      </c>
      <c r="L46" s="62">
        <v>10.423582811469778</v>
      </c>
      <c r="M46" s="62">
        <v>10.550795838094484</v>
      </c>
      <c r="N46" s="62">
        <v>10.011863739489213</v>
      </c>
      <c r="O46" s="62">
        <v>8.8905432327780467</v>
      </c>
      <c r="P46" s="62">
        <v>8.0333224284943938</v>
      </c>
      <c r="Q46" s="62">
        <v>7.9027720961080128</v>
      </c>
      <c r="R46" s="62">
        <v>8.5681301686959088</v>
      </c>
      <c r="S46" s="62">
        <v>9.1773976250575373</v>
      </c>
      <c r="T46" s="62">
        <v>8.2299179217077523</v>
      </c>
      <c r="U46" s="62">
        <v>7.5595144632014222</v>
      </c>
      <c r="V46" s="62">
        <v>6.5089023706162985</v>
      </c>
      <c r="W46" s="62">
        <v>4.7857272083771107</v>
      </c>
      <c r="X46" s="62">
        <v>4.6142184014118959</v>
      </c>
      <c r="Y46" s="62">
        <v>5.0632997936616908</v>
      </c>
      <c r="Z46" s="62">
        <v>5.4732518549760689</v>
      </c>
      <c r="AA46" s="62">
        <v>6.3287006116494071</v>
      </c>
      <c r="AB46" s="62">
        <v>5.7667428718302771</v>
      </c>
      <c r="AC46" s="62">
        <v>5.127531632925475</v>
      </c>
      <c r="AD46" s="62">
        <v>4.35193750503855</v>
      </c>
      <c r="AE46" s="62">
        <v>1.6086283510887478</v>
      </c>
      <c r="AF46" s="62">
        <v>-0.19082464786864817</v>
      </c>
      <c r="AG46" s="62">
        <v>-2.0667237858658427</v>
      </c>
      <c r="AH46" s="62">
        <v>-2.5957853009590637</v>
      </c>
      <c r="AI46" s="62">
        <v>-1.1112238491034487</v>
      </c>
      <c r="AJ46" s="62">
        <v>0.71185482935620659</v>
      </c>
      <c r="AK46" s="62">
        <v>2.970742900720813</v>
      </c>
      <c r="AL46" s="62">
        <v>3.5083457094748915</v>
      </c>
      <c r="AM46" s="62">
        <v>3.9019969587801073</v>
      </c>
      <c r="AN46" s="62">
        <v>3.4743293594113878</v>
      </c>
      <c r="AO46" s="62">
        <v>2.2559939682727181</v>
      </c>
      <c r="AP46" s="62">
        <v>2.6934976562148494</v>
      </c>
      <c r="AQ46" s="62">
        <v>2.4371466340584069</v>
      </c>
      <c r="AR46" s="62">
        <v>1.9950008370111627</v>
      </c>
      <c r="AS46" s="62">
        <v>1.5001841291014006</v>
      </c>
      <c r="AT46" s="62">
        <v>0.25362801855008943</v>
      </c>
      <c r="AU46" s="62">
        <v>0.18749455132609505</v>
      </c>
      <c r="AV46" s="62">
        <v>0.45549400753723823</v>
      </c>
      <c r="AW46" s="62">
        <v>-1.5535582152270688E-2</v>
      </c>
      <c r="AX46" s="62">
        <v>1.2615819825565922</v>
      </c>
      <c r="AY46" s="62">
        <v>0.77223509627095677</v>
      </c>
      <c r="AZ46" s="62">
        <v>0.46783731863857536</v>
      </c>
      <c r="BA46" s="62">
        <v>0.41569406743513504</v>
      </c>
      <c r="BB46" s="62">
        <v>-1.0672135537419081</v>
      </c>
      <c r="BC46" s="62">
        <v>-1.2950839169214801</v>
      </c>
      <c r="BD46" s="62">
        <v>-0.72870045883292045</v>
      </c>
      <c r="BE46" s="62">
        <v>0.44316535020341163</v>
      </c>
      <c r="BF46" s="62">
        <v>1.3213185268813099</v>
      </c>
      <c r="BG46" s="62">
        <v>1.1051119873695558</v>
      </c>
      <c r="BH46" s="62">
        <v>0.11759980349896892</v>
      </c>
      <c r="BI46" s="62">
        <v>-1.6683381586000912</v>
      </c>
      <c r="BJ46" s="62">
        <v>-3.4796509562361355</v>
      </c>
      <c r="BK46" s="62">
        <v>-4.4289414036513879</v>
      </c>
      <c r="BL46" s="62">
        <v>-4.5319076780850898</v>
      </c>
      <c r="BM46" s="62">
        <v>-3.847956322638546</v>
      </c>
      <c r="BN46" s="62">
        <v>-3.0394806220686021</v>
      </c>
      <c r="BO46" s="62">
        <v>-1.8963375596577903</v>
      </c>
      <c r="BP46" s="62">
        <v>-1.0539780527405673</v>
      </c>
      <c r="BQ46" s="62">
        <v>-0.96878432069664733</v>
      </c>
      <c r="BR46" s="62">
        <v>-1.4761743697867979</v>
      </c>
      <c r="BS46" s="62">
        <v>-3.005721768661529</v>
      </c>
      <c r="BT46" s="62">
        <v>-4.2324009974647474</v>
      </c>
      <c r="BU46" s="62">
        <v>-4.5653963573806138</v>
      </c>
      <c r="BV46" s="62">
        <v>-4.2010894428800345</v>
      </c>
      <c r="BW46" s="62">
        <v>-4.3562930875323369</v>
      </c>
      <c r="BX46" s="62">
        <v>-3.3093741484173655</v>
      </c>
      <c r="BY46" s="62">
        <v>-3.0206720452345737</v>
      </c>
      <c r="BZ46" s="62">
        <v>-2.5283983158959522</v>
      </c>
      <c r="CA46" s="62">
        <v>-0.88048212594197262</v>
      </c>
      <c r="CB46" s="62">
        <v>-0.641310250678373</v>
      </c>
      <c r="CC46" s="62">
        <v>0.49955851773970661</v>
      </c>
      <c r="CD46" s="62">
        <v>0.94515537249626469</v>
      </c>
      <c r="CE46" s="62">
        <v>1.1562864372954618</v>
      </c>
      <c r="CF46" s="62">
        <v>1.8830934902389407</v>
      </c>
      <c r="CG46" s="62">
        <v>2.4026438180461129</v>
      </c>
      <c r="CH46" s="62">
        <v>2.5781344131681649</v>
      </c>
      <c r="CI46" s="62">
        <v>2.3809731817959978</v>
      </c>
      <c r="CJ46" s="62">
        <v>1.9709964196783059</v>
      </c>
      <c r="CK46" s="62">
        <v>2.0061054502136466</v>
      </c>
      <c r="CL46" s="62">
        <v>2.0537996074521336</v>
      </c>
      <c r="CM46" s="62">
        <v>1.5772179374887063</v>
      </c>
      <c r="CN46" s="62">
        <v>0.59779442695853113</v>
      </c>
      <c r="CO46" s="62">
        <v>-1.402188907397528</v>
      </c>
      <c r="CP46" s="62">
        <v>-2.4970407337610578</v>
      </c>
      <c r="CQ46" s="62">
        <v>-1.8220564776166404</v>
      </c>
      <c r="CR46" s="62">
        <v>-0.58427389735939972</v>
      </c>
      <c r="CS46" s="62">
        <v>0.68831687082919757</v>
      </c>
      <c r="CT46" s="62">
        <v>0.54022426260824652</v>
      </c>
      <c r="CU46" s="62">
        <v>-0.4883543183695549</v>
      </c>
      <c r="CV46" s="62">
        <v>-2.0093108708679752</v>
      </c>
      <c r="CW46" s="62">
        <v>-2.3422659813034596</v>
      </c>
    </row>
    <row r="47" spans="1:101" s="37" customFormat="1" ht="16.5" customHeight="1">
      <c r="A47" s="45"/>
      <c r="B47" s="46" t="s">
        <v>123</v>
      </c>
      <c r="C47" s="61" t="s">
        <v>8</v>
      </c>
      <c r="D47" s="62" t="s">
        <v>8</v>
      </c>
      <c r="E47" s="62" t="s">
        <v>8</v>
      </c>
      <c r="F47" s="62" t="s">
        <v>8</v>
      </c>
      <c r="G47" s="61" t="s">
        <v>124</v>
      </c>
      <c r="H47" s="61" t="s">
        <v>124</v>
      </c>
      <c r="I47" s="61" t="s">
        <v>124</v>
      </c>
      <c r="J47" s="61" t="s">
        <v>124</v>
      </c>
      <c r="K47" s="61" t="s">
        <v>124</v>
      </c>
      <c r="L47" s="61" t="s">
        <v>124</v>
      </c>
      <c r="M47" s="61" t="s">
        <v>124</v>
      </c>
      <c r="N47" s="61" t="s">
        <v>124</v>
      </c>
      <c r="O47" s="61" t="s">
        <v>124</v>
      </c>
      <c r="P47" s="61" t="s">
        <v>124</v>
      </c>
      <c r="Q47" s="61" t="s">
        <v>124</v>
      </c>
      <c r="R47" s="61" t="s">
        <v>124</v>
      </c>
      <c r="S47" s="61" t="s">
        <v>124</v>
      </c>
      <c r="T47" s="61" t="s">
        <v>124</v>
      </c>
      <c r="U47" s="61" t="s">
        <v>124</v>
      </c>
      <c r="V47" s="61" t="s">
        <v>124</v>
      </c>
      <c r="W47" s="61" t="s">
        <v>124</v>
      </c>
      <c r="X47" s="61" t="s">
        <v>124</v>
      </c>
      <c r="Y47" s="61" t="s">
        <v>124</v>
      </c>
      <c r="Z47" s="61" t="s">
        <v>124</v>
      </c>
      <c r="AA47" s="61" t="s">
        <v>124</v>
      </c>
      <c r="AB47" s="61" t="s">
        <v>124</v>
      </c>
      <c r="AC47" s="61" t="s">
        <v>124</v>
      </c>
      <c r="AD47" s="61" t="s">
        <v>124</v>
      </c>
      <c r="AE47" s="61" t="s">
        <v>124</v>
      </c>
      <c r="AF47" s="61" t="s">
        <v>124</v>
      </c>
      <c r="AG47" s="61" t="s">
        <v>124</v>
      </c>
      <c r="AH47" s="61" t="s">
        <v>124</v>
      </c>
      <c r="AI47" s="61" t="s">
        <v>124</v>
      </c>
      <c r="AJ47" s="61" t="s">
        <v>124</v>
      </c>
      <c r="AK47" s="61" t="s">
        <v>124</v>
      </c>
      <c r="AL47" s="61" t="s">
        <v>124</v>
      </c>
      <c r="AM47" s="61" t="s">
        <v>124</v>
      </c>
      <c r="AN47" s="61" t="s">
        <v>124</v>
      </c>
      <c r="AO47" s="61" t="s">
        <v>124</v>
      </c>
      <c r="AP47" s="61" t="s">
        <v>124</v>
      </c>
      <c r="AQ47" s="61" t="s">
        <v>124</v>
      </c>
      <c r="AR47" s="61" t="s">
        <v>124</v>
      </c>
      <c r="AS47" s="61" t="s">
        <v>124</v>
      </c>
      <c r="AT47" s="61" t="s">
        <v>124</v>
      </c>
      <c r="AU47" s="61" t="s">
        <v>124</v>
      </c>
      <c r="AV47" s="61" t="s">
        <v>124</v>
      </c>
      <c r="AW47" s="61" t="s">
        <v>124</v>
      </c>
      <c r="AX47" s="61" t="s">
        <v>124</v>
      </c>
      <c r="AY47" s="61" t="s">
        <v>124</v>
      </c>
      <c r="AZ47" s="61" t="s">
        <v>124</v>
      </c>
      <c r="BA47" s="61" t="s">
        <v>124</v>
      </c>
      <c r="BB47" s="61" t="s">
        <v>124</v>
      </c>
      <c r="BC47" s="61" t="s">
        <v>124</v>
      </c>
      <c r="BD47" s="61" t="s">
        <v>124</v>
      </c>
      <c r="BE47" s="61" t="s">
        <v>124</v>
      </c>
      <c r="BF47" s="61" t="s">
        <v>124</v>
      </c>
      <c r="BG47" s="61" t="s">
        <v>124</v>
      </c>
      <c r="BH47" s="61" t="s">
        <v>124</v>
      </c>
      <c r="BI47" s="61" t="s">
        <v>124</v>
      </c>
      <c r="BJ47" s="61" t="s">
        <v>124</v>
      </c>
      <c r="BK47" s="61" t="s">
        <v>124</v>
      </c>
      <c r="BL47" s="61" t="s">
        <v>124</v>
      </c>
      <c r="BM47" s="61" t="s">
        <v>124</v>
      </c>
      <c r="BN47" s="61" t="s">
        <v>124</v>
      </c>
      <c r="BO47" s="61" t="s">
        <v>124</v>
      </c>
      <c r="BP47" s="61" t="s">
        <v>124</v>
      </c>
      <c r="BQ47" s="61" t="s">
        <v>124</v>
      </c>
      <c r="BR47" s="61" t="s">
        <v>124</v>
      </c>
      <c r="BS47" s="61" t="s">
        <v>124</v>
      </c>
      <c r="BT47" s="61" t="s">
        <v>124</v>
      </c>
      <c r="BU47" s="61" t="s">
        <v>124</v>
      </c>
      <c r="BV47" s="61" t="s">
        <v>124</v>
      </c>
      <c r="BW47" s="61" t="s">
        <v>124</v>
      </c>
      <c r="BX47" s="61" t="s">
        <v>124</v>
      </c>
      <c r="BY47" s="61" t="s">
        <v>124</v>
      </c>
      <c r="BZ47" s="61" t="s">
        <v>8</v>
      </c>
      <c r="CA47" s="61" t="s">
        <v>8</v>
      </c>
      <c r="CB47" s="61" t="s">
        <v>8</v>
      </c>
      <c r="CC47" s="61" t="s">
        <v>8</v>
      </c>
      <c r="CD47" s="61" t="s">
        <v>8</v>
      </c>
      <c r="CE47" s="61" t="s">
        <v>8</v>
      </c>
      <c r="CF47" s="61" t="s">
        <v>8</v>
      </c>
      <c r="CG47" s="61" t="s">
        <v>8</v>
      </c>
      <c r="CH47" s="61" t="s">
        <v>8</v>
      </c>
      <c r="CI47" s="61" t="s">
        <v>8</v>
      </c>
      <c r="CJ47" s="61" t="s">
        <v>8</v>
      </c>
      <c r="CK47" s="61" t="s">
        <v>8</v>
      </c>
      <c r="CL47" s="61" t="s">
        <v>8</v>
      </c>
      <c r="CM47" s="61" t="s">
        <v>8</v>
      </c>
      <c r="CN47" s="61" t="s">
        <v>8</v>
      </c>
      <c r="CO47" s="61" t="s">
        <v>8</v>
      </c>
      <c r="CP47" s="61" t="s">
        <v>8</v>
      </c>
      <c r="CQ47" s="61" t="s">
        <v>8</v>
      </c>
      <c r="CR47" s="61" t="s">
        <v>8</v>
      </c>
      <c r="CS47" s="61" t="s">
        <v>8</v>
      </c>
      <c r="CT47" s="61" t="s">
        <v>8</v>
      </c>
      <c r="CU47" s="61" t="s">
        <v>8</v>
      </c>
      <c r="CV47" s="61" t="s">
        <v>8</v>
      </c>
      <c r="CW47" s="61" t="s">
        <v>8</v>
      </c>
    </row>
    <row r="48" spans="1:101" s="37" customFormat="1" ht="16.5" customHeight="1">
      <c r="A48" s="45"/>
      <c r="B48" s="46" t="s">
        <v>125</v>
      </c>
      <c r="C48" s="61" t="s">
        <v>8</v>
      </c>
      <c r="D48" s="62" t="s">
        <v>8</v>
      </c>
      <c r="E48" s="62" t="s">
        <v>8</v>
      </c>
      <c r="F48" s="62" t="s">
        <v>8</v>
      </c>
      <c r="G48" s="62">
        <v>-36.967021960282942</v>
      </c>
      <c r="H48" s="62">
        <v>-16.929895603338007</v>
      </c>
      <c r="I48" s="62">
        <v>-0.49728694114858918</v>
      </c>
      <c r="J48" s="62">
        <v>19.814867416082137</v>
      </c>
      <c r="K48" s="62">
        <v>24.794681284544385</v>
      </c>
      <c r="L48" s="62">
        <v>18.346707383870807</v>
      </c>
      <c r="M48" s="62">
        <v>13.740228152364487</v>
      </c>
      <c r="N48" s="62">
        <v>4.5993923827480243</v>
      </c>
      <c r="O48" s="62">
        <v>5.4156011238592372</v>
      </c>
      <c r="P48" s="62">
        <v>12.9226843904509</v>
      </c>
      <c r="Q48" s="62">
        <v>28.234397259524858</v>
      </c>
      <c r="R48" s="62">
        <v>35.461138892217711</v>
      </c>
      <c r="S48" s="62">
        <v>35.938557112547251</v>
      </c>
      <c r="T48" s="62">
        <v>28.880847676292333</v>
      </c>
      <c r="U48" s="62">
        <v>22.206636306419458</v>
      </c>
      <c r="V48" s="62">
        <v>16.990493551715581</v>
      </c>
      <c r="W48" s="62">
        <v>14.790703549033225</v>
      </c>
      <c r="X48" s="62">
        <v>15.970882658725971</v>
      </c>
      <c r="Y48" s="62">
        <v>12.277304165397563</v>
      </c>
      <c r="Z48" s="62">
        <v>10.610113613861682</v>
      </c>
      <c r="AA48" s="62">
        <v>5.0730512091492486</v>
      </c>
      <c r="AB48" s="62">
        <v>2.4185536589985235</v>
      </c>
      <c r="AC48" s="62">
        <v>3.0500878592814251</v>
      </c>
      <c r="AD48" s="62">
        <v>3.2365256387167696</v>
      </c>
      <c r="AE48" s="62">
        <v>-0.64316039269743941</v>
      </c>
      <c r="AF48" s="62">
        <v>-4.332238898992868</v>
      </c>
      <c r="AG48" s="62">
        <v>-11.086126631640681</v>
      </c>
      <c r="AH48" s="62">
        <v>-12.368754496420632</v>
      </c>
      <c r="AI48" s="62">
        <v>-6.810528504169266</v>
      </c>
      <c r="AJ48" s="62">
        <v>-1.9390812377475641</v>
      </c>
      <c r="AK48" s="62">
        <v>2.917270974923758</v>
      </c>
      <c r="AL48" s="62">
        <v>2.0210861048249651</v>
      </c>
      <c r="AM48" s="62">
        <v>-1.1309602065622704</v>
      </c>
      <c r="AN48" s="62">
        <v>-2.1070512937507058</v>
      </c>
      <c r="AO48" s="62">
        <v>-0.5880400731492097</v>
      </c>
      <c r="AP48" s="62">
        <v>0.56660409009763324</v>
      </c>
      <c r="AQ48" s="62">
        <v>0.46450487777989213</v>
      </c>
      <c r="AR48" s="62">
        <v>-1.3846975138869677</v>
      </c>
      <c r="AS48" s="62">
        <v>-6.6679576791735196</v>
      </c>
      <c r="AT48" s="62">
        <v>-9.5153927748614429</v>
      </c>
      <c r="AU48" s="62">
        <v>-10.489905647309794</v>
      </c>
      <c r="AV48" s="62">
        <v>-9.7753982703100757</v>
      </c>
      <c r="AW48" s="62">
        <v>-7.9287549954061509</v>
      </c>
      <c r="AX48" s="62">
        <v>-6.0496022539697218</v>
      </c>
      <c r="AY48" s="62">
        <v>-5.0452377812081455</v>
      </c>
      <c r="AZ48" s="62">
        <v>-6.3386398835766027</v>
      </c>
      <c r="BA48" s="62">
        <v>-4.6143013072869055</v>
      </c>
      <c r="BB48" s="62">
        <v>-3.8205075772165809</v>
      </c>
      <c r="BC48" s="62">
        <v>-2.398547339504431</v>
      </c>
      <c r="BD48" s="62">
        <v>-2.2633606529202654</v>
      </c>
      <c r="BE48" s="62">
        <v>-6.4119860291861119</v>
      </c>
      <c r="BF48" s="62">
        <v>-5.6920483376728619</v>
      </c>
      <c r="BG48" s="62">
        <v>-9.3681614651969234</v>
      </c>
      <c r="BH48" s="62">
        <v>-10.921204520281469</v>
      </c>
      <c r="BI48" s="62">
        <v>-10.373000162543677</v>
      </c>
      <c r="BJ48" s="62">
        <v>-9.268109744766118</v>
      </c>
      <c r="BK48" s="62">
        <v>-5.0098119227160893</v>
      </c>
      <c r="BL48" s="62">
        <v>0.547339907939004</v>
      </c>
      <c r="BM48" s="62">
        <v>8.2835451318397535</v>
      </c>
      <c r="BN48" s="62">
        <v>11.27272755005726</v>
      </c>
      <c r="BO48" s="62">
        <v>12.006444731276877</v>
      </c>
      <c r="BP48" s="62">
        <v>7.5977952486625089</v>
      </c>
      <c r="BQ48" s="62">
        <v>1.7787366732768595</v>
      </c>
      <c r="BR48" s="62">
        <v>-4.0726051507955834</v>
      </c>
      <c r="BS48" s="62">
        <v>-7.6402908903005162</v>
      </c>
      <c r="BT48" s="62">
        <v>-6.5421643606729196</v>
      </c>
      <c r="BU48" s="62">
        <v>-7.9026089689849366</v>
      </c>
      <c r="BV48" s="62">
        <v>-9.4649217680396358</v>
      </c>
      <c r="BW48" s="62">
        <v>-12.63235241710009</v>
      </c>
      <c r="BX48" s="62">
        <v>-17.956049965802912</v>
      </c>
      <c r="BY48" s="62">
        <v>-20.989439899272845</v>
      </c>
      <c r="BZ48" s="62">
        <v>-18.536379955274818</v>
      </c>
      <c r="CA48" s="62">
        <v>-12.358381076787495</v>
      </c>
      <c r="CB48" s="62">
        <v>-3.5544886825144006</v>
      </c>
      <c r="CC48" s="62">
        <v>3.9887556495694199</v>
      </c>
      <c r="CD48" s="62">
        <v>8.2777447834345494</v>
      </c>
      <c r="CE48" s="62">
        <v>8.0458510584111131</v>
      </c>
      <c r="CF48" s="62">
        <v>5.3691752011551186</v>
      </c>
      <c r="CG48" s="62">
        <v>6.2486037545222306</v>
      </c>
      <c r="CH48" s="62">
        <v>3.6608902324525294</v>
      </c>
      <c r="CI48" s="62">
        <v>3.8186955570849834</v>
      </c>
      <c r="CJ48" s="62">
        <v>3.4463308623386979</v>
      </c>
      <c r="CK48" s="62">
        <v>2.2798589656325419</v>
      </c>
      <c r="CL48" s="62">
        <v>2.2254334299685485</v>
      </c>
      <c r="CM48" s="62">
        <v>-3.283700637963749</v>
      </c>
      <c r="CN48" s="62">
        <v>-11.25714838011751</v>
      </c>
      <c r="CO48" s="62">
        <v>-15.427591756809889</v>
      </c>
      <c r="CP48" s="62">
        <v>-15.667457523798877</v>
      </c>
      <c r="CQ48" s="62">
        <v>-11.215147916337177</v>
      </c>
      <c r="CR48" s="62">
        <v>-4.8033007798768175</v>
      </c>
      <c r="CS48" s="62">
        <v>-0.85618901764158428</v>
      </c>
      <c r="CT48" s="62">
        <v>-0.79938627280840002</v>
      </c>
      <c r="CU48" s="62">
        <v>-3.6769030195155206</v>
      </c>
      <c r="CV48" s="62">
        <v>-3.8050484534154605</v>
      </c>
      <c r="CW48" s="62">
        <v>-3.6663083963656251</v>
      </c>
    </row>
    <row r="49" spans="1:101" s="37" customFormat="1" ht="16.5" customHeight="1">
      <c r="A49" s="45"/>
      <c r="B49" s="46" t="s">
        <v>126</v>
      </c>
      <c r="C49" s="61" t="s">
        <v>8</v>
      </c>
      <c r="D49" s="62" t="s">
        <v>8</v>
      </c>
      <c r="E49" s="62" t="s">
        <v>8</v>
      </c>
      <c r="F49" s="62" t="s">
        <v>8</v>
      </c>
      <c r="G49" s="62">
        <v>-8.8304563264420928</v>
      </c>
      <c r="H49" s="62">
        <v>-4.9418412828618923</v>
      </c>
      <c r="I49" s="62">
        <v>-0.91906428206455226</v>
      </c>
      <c r="J49" s="62">
        <v>3.5290066728081548</v>
      </c>
      <c r="K49" s="62">
        <v>6.6337800053885898</v>
      </c>
      <c r="L49" s="62">
        <v>9.3018914825009791</v>
      </c>
      <c r="M49" s="62">
        <v>9.6873276961289214</v>
      </c>
      <c r="N49" s="62">
        <v>8.4709165498329639</v>
      </c>
      <c r="O49" s="62">
        <v>7.3761920363447642</v>
      </c>
      <c r="P49" s="62">
        <v>6.5533128830556953</v>
      </c>
      <c r="Q49" s="62">
        <v>7.1923170948425375</v>
      </c>
      <c r="R49" s="62">
        <v>7.6322128939415368</v>
      </c>
      <c r="S49" s="62">
        <v>7.3977241543598193</v>
      </c>
      <c r="T49" s="62">
        <v>7.4469198637963752</v>
      </c>
      <c r="U49" s="62">
        <v>6.8318704469137126</v>
      </c>
      <c r="V49" s="62">
        <v>6.0548702517587483</v>
      </c>
      <c r="W49" s="62">
        <v>5.9655818494480206</v>
      </c>
      <c r="X49" s="62">
        <v>4.4287341680609549</v>
      </c>
      <c r="Y49" s="62">
        <v>4.0173831491803647</v>
      </c>
      <c r="Z49" s="62">
        <v>4.4834205341013345</v>
      </c>
      <c r="AA49" s="62">
        <v>5.2079834026404592</v>
      </c>
      <c r="AB49" s="62">
        <v>5.5475084945044495</v>
      </c>
      <c r="AC49" s="62">
        <v>5.5864269213879325</v>
      </c>
      <c r="AD49" s="62">
        <v>4.7886253214444618</v>
      </c>
      <c r="AE49" s="62">
        <v>1.1727607922934924</v>
      </c>
      <c r="AF49" s="62">
        <v>-1.4124059270948175</v>
      </c>
      <c r="AG49" s="62">
        <v>-3.35212121828391</v>
      </c>
      <c r="AH49" s="62">
        <v>-4.6431509360105867</v>
      </c>
      <c r="AI49" s="62">
        <v>-2.3682831549777572</v>
      </c>
      <c r="AJ49" s="62">
        <v>-1.0179365157769849</v>
      </c>
      <c r="AK49" s="62">
        <v>0.19272372097323132</v>
      </c>
      <c r="AL49" s="62">
        <v>2.2805082810186006</v>
      </c>
      <c r="AM49" s="62">
        <v>1.7250835203974857</v>
      </c>
      <c r="AN49" s="62">
        <v>2.4581735336185906</v>
      </c>
      <c r="AO49" s="62">
        <v>2.84777720988445</v>
      </c>
      <c r="AP49" s="62">
        <v>3.106327296001532</v>
      </c>
      <c r="AQ49" s="62">
        <v>4.6334620736316001</v>
      </c>
      <c r="AR49" s="62">
        <v>4.5566221444916621</v>
      </c>
      <c r="AS49" s="62">
        <v>3.97728205093697</v>
      </c>
      <c r="AT49" s="62">
        <v>1.4310948282010294</v>
      </c>
      <c r="AU49" s="62">
        <v>-0.49711947266801726</v>
      </c>
      <c r="AV49" s="62">
        <v>-0.31936306956469318</v>
      </c>
      <c r="AW49" s="62">
        <v>-0.71640811403772542</v>
      </c>
      <c r="AX49" s="62">
        <v>0.45922336629562466</v>
      </c>
      <c r="AY49" s="62">
        <v>1.4493240230780913</v>
      </c>
      <c r="AZ49" s="62">
        <v>0.8244698882598156</v>
      </c>
      <c r="BA49" s="62">
        <v>-0.30754264933753328</v>
      </c>
      <c r="BB49" s="62">
        <v>-1.297696092323164</v>
      </c>
      <c r="BC49" s="62">
        <v>-2.5324168163284533</v>
      </c>
      <c r="BD49" s="62">
        <v>-2.1101417297490044</v>
      </c>
      <c r="BE49" s="62">
        <v>-0.84110584289202039</v>
      </c>
      <c r="BF49" s="62">
        <v>-0.32800446772804914</v>
      </c>
      <c r="BG49" s="62">
        <v>0.26665630163782428</v>
      </c>
      <c r="BH49" s="62">
        <v>8.4592048080645021E-2</v>
      </c>
      <c r="BI49" s="62">
        <v>-0.22754633724544338</v>
      </c>
      <c r="BJ49" s="62">
        <v>0.35497993631175007</v>
      </c>
      <c r="BK49" s="62">
        <v>1.6441813721329357</v>
      </c>
      <c r="BL49" s="62">
        <v>2.7541822993355503</v>
      </c>
      <c r="BM49" s="62">
        <v>3.2327759708808079</v>
      </c>
      <c r="BN49" s="62">
        <v>3.6127319964474713</v>
      </c>
      <c r="BO49" s="62">
        <v>2.7091372426416127</v>
      </c>
      <c r="BP49" s="62">
        <v>1.3318857113896021</v>
      </c>
      <c r="BQ49" s="62">
        <v>0.95437300774241507</v>
      </c>
      <c r="BR49" s="62">
        <v>-0.96089841226304484</v>
      </c>
      <c r="BS49" s="62">
        <v>-3.2226304906644132</v>
      </c>
      <c r="BT49" s="62">
        <v>-3.4616826404651024</v>
      </c>
      <c r="BU49" s="62">
        <v>-3.988261321864961</v>
      </c>
      <c r="BV49" s="62">
        <v>-3.8052037839064967</v>
      </c>
      <c r="BW49" s="62">
        <v>-3.1398707810059157</v>
      </c>
      <c r="BX49" s="62">
        <v>-2.8796795535076081</v>
      </c>
      <c r="BY49" s="62">
        <v>-3.1844152107542212</v>
      </c>
      <c r="BZ49" s="62">
        <v>-3.3386059906999055</v>
      </c>
      <c r="CA49" s="62">
        <v>-3.0543180030485173</v>
      </c>
      <c r="CB49" s="62">
        <v>-2.6041890181960348</v>
      </c>
      <c r="CC49" s="62">
        <v>-2.3229659468064212</v>
      </c>
      <c r="CD49" s="62">
        <v>-1.2209713422911328</v>
      </c>
      <c r="CE49" s="62">
        <v>0.66596665041409597</v>
      </c>
      <c r="CF49" s="62">
        <v>0.88705256492975781</v>
      </c>
      <c r="CG49" s="62">
        <v>2.0620938784034371</v>
      </c>
      <c r="CH49" s="62">
        <v>2.6938449883525006</v>
      </c>
      <c r="CI49" s="62">
        <v>2.5418926948705511</v>
      </c>
      <c r="CJ49" s="62">
        <v>2.6282813043847497</v>
      </c>
      <c r="CK49" s="62">
        <v>3.2087197709262272</v>
      </c>
      <c r="CL49" s="62">
        <v>2.7800781043025635</v>
      </c>
      <c r="CM49" s="62">
        <v>2.0383655862234118</v>
      </c>
      <c r="CN49" s="62">
        <v>1.4643288982922664</v>
      </c>
      <c r="CO49" s="62">
        <v>-0.3427715908996265</v>
      </c>
      <c r="CP49" s="62">
        <v>-0.51570537058605037</v>
      </c>
      <c r="CQ49" s="62">
        <v>-0.33389071824911909</v>
      </c>
      <c r="CR49" s="62">
        <v>-7.1214379630624158E-2</v>
      </c>
      <c r="CS49" s="62">
        <v>0.55843262444228436</v>
      </c>
      <c r="CT49" s="62">
        <v>0.20287847362523426</v>
      </c>
      <c r="CU49" s="62">
        <v>-2.4064616696328756E-2</v>
      </c>
      <c r="CV49" s="62">
        <v>0.21834386219345969</v>
      </c>
      <c r="CW49" s="62">
        <v>0.34226825582828191</v>
      </c>
    </row>
    <row r="50" spans="1:101" s="37" customFormat="1" ht="16.5" customHeight="1">
      <c r="A50" s="45"/>
      <c r="B50" s="46" t="s">
        <v>127</v>
      </c>
      <c r="C50" s="61" t="s">
        <v>8</v>
      </c>
      <c r="D50" s="62" t="s">
        <v>8</v>
      </c>
      <c r="E50" s="62" t="s">
        <v>8</v>
      </c>
      <c r="F50" s="62" t="s">
        <v>8</v>
      </c>
      <c r="G50" s="62">
        <v>-6.6437525579743362</v>
      </c>
      <c r="H50" s="62">
        <v>-5.2242498575622349</v>
      </c>
      <c r="I50" s="62">
        <v>-2.0488942249620723</v>
      </c>
      <c r="J50" s="62">
        <v>0.71401455653918866</v>
      </c>
      <c r="K50" s="62">
        <v>0.94536939405733822</v>
      </c>
      <c r="L50" s="62">
        <v>1.8749685377284386</v>
      </c>
      <c r="M50" s="62">
        <v>1.5284263624043559</v>
      </c>
      <c r="N50" s="62">
        <v>2.0850440503070722</v>
      </c>
      <c r="O50" s="62">
        <v>4.0191641505636477</v>
      </c>
      <c r="P50" s="62">
        <v>3.7150692253626882</v>
      </c>
      <c r="Q50" s="62">
        <v>5.0043302426034719</v>
      </c>
      <c r="R50" s="62">
        <v>6.4431993180441793</v>
      </c>
      <c r="S50" s="62">
        <v>7.5285045689638119</v>
      </c>
      <c r="T50" s="62">
        <v>8.7750071724170589</v>
      </c>
      <c r="U50" s="62">
        <v>8.0828939536436764</v>
      </c>
      <c r="V50" s="62">
        <v>5.7572312574391438</v>
      </c>
      <c r="W50" s="62">
        <v>4.0543486369063686</v>
      </c>
      <c r="X50" s="62">
        <v>3.1504676124849418</v>
      </c>
      <c r="Y50" s="62">
        <v>2.6066674581780136</v>
      </c>
      <c r="Z50" s="62">
        <v>3.4404503292129185</v>
      </c>
      <c r="AA50" s="62">
        <v>3.6372192863117325</v>
      </c>
      <c r="AB50" s="62">
        <v>5.1556976489533612</v>
      </c>
      <c r="AC50" s="62">
        <v>6.5499637741206707</v>
      </c>
      <c r="AD50" s="62">
        <v>5.2992557158080045</v>
      </c>
      <c r="AE50" s="62">
        <v>3.6351665081731932</v>
      </c>
      <c r="AF50" s="62">
        <v>0.55695175863927915</v>
      </c>
      <c r="AG50" s="62">
        <v>-1.6228698441059231</v>
      </c>
      <c r="AH50" s="62">
        <v>-1.7160199765017037</v>
      </c>
      <c r="AI50" s="62">
        <v>-1.9130962847032307</v>
      </c>
      <c r="AJ50" s="62">
        <v>-1.1294658660014001</v>
      </c>
      <c r="AK50" s="62">
        <v>-0.76815411354835827</v>
      </c>
      <c r="AL50" s="62">
        <v>0.81826218263263417</v>
      </c>
      <c r="AM50" s="62">
        <v>4.0984542345365416</v>
      </c>
      <c r="AN50" s="62">
        <v>4.1201085731875642</v>
      </c>
      <c r="AO50" s="62">
        <v>4.1897015475574229</v>
      </c>
      <c r="AP50" s="62">
        <v>4.2678714952059771</v>
      </c>
      <c r="AQ50" s="62">
        <v>3.2479586153390194</v>
      </c>
      <c r="AR50" s="62">
        <v>4.1788473247748037</v>
      </c>
      <c r="AS50" s="62">
        <v>3.6963902883494937</v>
      </c>
      <c r="AT50" s="62">
        <v>2.0943750143318729</v>
      </c>
      <c r="AU50" s="62">
        <v>0.59108211762146645</v>
      </c>
      <c r="AV50" s="62">
        <v>-0.27345491907836417</v>
      </c>
      <c r="AW50" s="62">
        <v>-7.6612280423282719E-2</v>
      </c>
      <c r="AX50" s="62">
        <v>2.3177187985457426</v>
      </c>
      <c r="AY50" s="62">
        <v>3.1915942227640492</v>
      </c>
      <c r="AZ50" s="62">
        <v>3.1220195328552247</v>
      </c>
      <c r="BA50" s="62">
        <v>3.1413483463524683</v>
      </c>
      <c r="BB50" s="62">
        <v>1.4348443592555382</v>
      </c>
      <c r="BC50" s="62">
        <v>1.1222154985488952</v>
      </c>
      <c r="BD50" s="62">
        <v>1.6704345024476597</v>
      </c>
      <c r="BE50" s="62">
        <v>2.0775665631661777</v>
      </c>
      <c r="BF50" s="62">
        <v>2.6029704265111864</v>
      </c>
      <c r="BG50" s="62">
        <v>2.5443664303586022</v>
      </c>
      <c r="BH50" s="62">
        <v>3.3679158223018479</v>
      </c>
      <c r="BI50" s="62">
        <v>3.4328320789530631</v>
      </c>
      <c r="BJ50" s="62">
        <v>1.7420716501787226</v>
      </c>
      <c r="BK50" s="62">
        <v>0.72157446125749036</v>
      </c>
      <c r="BL50" s="62">
        <v>-0.43803819359021778</v>
      </c>
      <c r="BM50" s="62">
        <v>-1.547585020329667</v>
      </c>
      <c r="BN50" s="62">
        <v>-0.94901663184123741</v>
      </c>
      <c r="BO50" s="62">
        <v>-0.52333169254277223</v>
      </c>
      <c r="BP50" s="62">
        <v>-0.81448291420157526</v>
      </c>
      <c r="BQ50" s="62">
        <v>-0.94422893909749117</v>
      </c>
      <c r="BR50" s="62">
        <v>-1.3496975599685879</v>
      </c>
      <c r="BS50" s="62">
        <v>-2.4705343124987511</v>
      </c>
      <c r="BT50" s="62">
        <v>-2.5802195439042941</v>
      </c>
      <c r="BU50" s="62">
        <v>-2.2854867642322363</v>
      </c>
      <c r="BV50" s="62">
        <v>-2.3899706356571238</v>
      </c>
      <c r="BW50" s="62">
        <v>-1.5458655942610866</v>
      </c>
      <c r="BX50" s="62">
        <v>-1.4886684004349671</v>
      </c>
      <c r="BY50" s="62">
        <v>-1.0762526198092481</v>
      </c>
      <c r="BZ50" s="62">
        <v>-0.79406501474504898</v>
      </c>
      <c r="CA50" s="62">
        <v>-1.6487875194287072</v>
      </c>
      <c r="CB50" s="62">
        <v>-2.0703310743079517</v>
      </c>
      <c r="CC50" s="62">
        <v>-2.2636604548579964</v>
      </c>
      <c r="CD50" s="62">
        <v>-2.6567821000066827</v>
      </c>
      <c r="CE50" s="62">
        <v>-1.097653203057336</v>
      </c>
      <c r="CF50" s="62">
        <v>0.5984209209950242</v>
      </c>
      <c r="CG50" s="62">
        <v>1.6854319472052071</v>
      </c>
      <c r="CH50" s="62">
        <v>2.9268195638513239</v>
      </c>
      <c r="CI50" s="62">
        <v>2.4483980012546702</v>
      </c>
      <c r="CJ50" s="62">
        <v>1.8376818962900554</v>
      </c>
      <c r="CK50" s="62">
        <v>1.0512523133275886</v>
      </c>
      <c r="CL50" s="62">
        <v>0.86202248834159612</v>
      </c>
      <c r="CM50" s="62">
        <v>0.92156512129017987</v>
      </c>
      <c r="CN50" s="62">
        <v>0.18238406366892779</v>
      </c>
      <c r="CO50" s="62">
        <v>-0.37187295031367862</v>
      </c>
      <c r="CP50" s="62">
        <v>-0.96383090573392005</v>
      </c>
      <c r="CQ50" s="62">
        <v>-1.687313369705945</v>
      </c>
      <c r="CR50" s="62">
        <v>-2.5581920587730567</v>
      </c>
      <c r="CS50" s="62">
        <v>-2.7029501937488654</v>
      </c>
      <c r="CT50" s="62">
        <v>-3.1633667666252863</v>
      </c>
      <c r="CU50" s="62">
        <v>-3.6201989001609092</v>
      </c>
      <c r="CV50" s="62">
        <v>-3.224266737307846</v>
      </c>
      <c r="CW50" s="62">
        <v>-2.7082575034961032</v>
      </c>
    </row>
    <row r="51" spans="1:101" s="37" customFormat="1" ht="16.5" customHeight="1">
      <c r="A51" s="45"/>
      <c r="B51" s="46" t="s">
        <v>128</v>
      </c>
      <c r="C51" s="61" t="s">
        <v>8</v>
      </c>
      <c r="D51" s="62" t="s">
        <v>8</v>
      </c>
      <c r="E51" s="62" t="s">
        <v>8</v>
      </c>
      <c r="F51" s="62" t="s">
        <v>8</v>
      </c>
      <c r="G51" s="62">
        <v>-9.4021747622140985</v>
      </c>
      <c r="H51" s="62">
        <v>-4.4721319027674289</v>
      </c>
      <c r="I51" s="62">
        <v>-3.8623115933040131</v>
      </c>
      <c r="J51" s="62">
        <v>-1.77876691395491</v>
      </c>
      <c r="K51" s="62">
        <v>-0.29440761564045737</v>
      </c>
      <c r="L51" s="62">
        <v>-0.39335142217926666</v>
      </c>
      <c r="M51" s="62">
        <v>2.7650212828443488</v>
      </c>
      <c r="N51" s="62">
        <v>5.4191264296058916</v>
      </c>
      <c r="O51" s="62">
        <v>5.9588920472997353</v>
      </c>
      <c r="P51" s="62">
        <v>7.8385641655057903</v>
      </c>
      <c r="Q51" s="62">
        <v>9.3377631577909135</v>
      </c>
      <c r="R51" s="62">
        <v>9.5149696392896175</v>
      </c>
      <c r="S51" s="62">
        <v>11.716195809298657</v>
      </c>
      <c r="T51" s="62">
        <v>11.449139607051473</v>
      </c>
      <c r="U51" s="62">
        <v>10.788867956011238</v>
      </c>
      <c r="V51" s="62">
        <v>8.8484310165873445</v>
      </c>
      <c r="W51" s="62">
        <v>8.926211214180535</v>
      </c>
      <c r="X51" s="62">
        <v>9.7992814795021097</v>
      </c>
      <c r="Y51" s="62">
        <v>8.5082270186229714</v>
      </c>
      <c r="Z51" s="62">
        <v>9.1065908766647219</v>
      </c>
      <c r="AA51" s="62">
        <v>7.2068439682233087</v>
      </c>
      <c r="AB51" s="62">
        <v>4.9803393334817203</v>
      </c>
      <c r="AC51" s="62">
        <v>6.5248925685743808</v>
      </c>
      <c r="AD51" s="62">
        <v>6.8832026372743549</v>
      </c>
      <c r="AE51" s="62">
        <v>4.4712358166590693</v>
      </c>
      <c r="AF51" s="62">
        <v>1.8802160239306698</v>
      </c>
      <c r="AG51" s="62">
        <v>-1.8297760887843073</v>
      </c>
      <c r="AH51" s="62">
        <v>-3.3430329693458383</v>
      </c>
      <c r="AI51" s="62">
        <v>-3.5971461678841021</v>
      </c>
      <c r="AJ51" s="62">
        <v>-0.92605838484473013</v>
      </c>
      <c r="AK51" s="62">
        <v>2.0294880238956647</v>
      </c>
      <c r="AL51" s="62">
        <v>3.8374642455657915</v>
      </c>
      <c r="AM51" s="62">
        <v>6.2472584369585693</v>
      </c>
      <c r="AN51" s="62">
        <v>7.6935944610412088</v>
      </c>
      <c r="AO51" s="62">
        <v>6.0662975161269506</v>
      </c>
      <c r="AP51" s="62">
        <v>4.8693569126741387</v>
      </c>
      <c r="AQ51" s="62">
        <v>2.8635279567791327</v>
      </c>
      <c r="AR51" s="62">
        <v>-0.92577823095194578</v>
      </c>
      <c r="AS51" s="62">
        <v>-1.223680140959571</v>
      </c>
      <c r="AT51" s="62">
        <v>-2.9772642500163315</v>
      </c>
      <c r="AU51" s="62">
        <v>-4.1535668795195217</v>
      </c>
      <c r="AV51" s="62">
        <v>-2.931652475412172</v>
      </c>
      <c r="AW51" s="62">
        <v>-2.5396859227916568</v>
      </c>
      <c r="AX51" s="62">
        <v>-0.42981532303386638</v>
      </c>
      <c r="AY51" s="62">
        <v>0.81150035732910908</v>
      </c>
      <c r="AZ51" s="62">
        <v>0.90625215612820664</v>
      </c>
      <c r="BA51" s="62">
        <v>1.1140941488327227</v>
      </c>
      <c r="BB51" s="62">
        <v>-0.14036290834372744</v>
      </c>
      <c r="BC51" s="62">
        <v>-0.99218058172683143</v>
      </c>
      <c r="BD51" s="62">
        <v>-1.1318894914331468</v>
      </c>
      <c r="BE51" s="62">
        <v>-1.5482476686460189</v>
      </c>
      <c r="BF51" s="62">
        <v>-0.66152820239092636</v>
      </c>
      <c r="BG51" s="62">
        <v>1.2285881732871484</v>
      </c>
      <c r="BH51" s="62">
        <v>1.6949453229699429</v>
      </c>
      <c r="BI51" s="62">
        <v>1.672826738550004</v>
      </c>
      <c r="BJ51" s="62">
        <v>1.0478332262450651</v>
      </c>
      <c r="BK51" s="62">
        <v>0.21739882977804825</v>
      </c>
      <c r="BL51" s="62">
        <v>0.83964593704466406</v>
      </c>
      <c r="BM51" s="62">
        <v>1.0900613123260738</v>
      </c>
      <c r="BN51" s="62">
        <v>0.77564039268496199</v>
      </c>
      <c r="BO51" s="62">
        <v>1.6813554624127924</v>
      </c>
      <c r="BP51" s="62">
        <v>0.90471596977648172</v>
      </c>
      <c r="BQ51" s="62">
        <v>0.93029235959496415</v>
      </c>
      <c r="BR51" s="62">
        <v>0.97258116155081176</v>
      </c>
      <c r="BS51" s="62">
        <v>0.10045457267184865</v>
      </c>
      <c r="BT51" s="62">
        <v>-0.33499004241132058</v>
      </c>
      <c r="BU51" s="62">
        <v>-1.2570376348585377</v>
      </c>
      <c r="BV51" s="62">
        <v>-1.5518729592004954</v>
      </c>
      <c r="BW51" s="62">
        <v>-1.4419534932072597</v>
      </c>
      <c r="BX51" s="62">
        <v>-0.92796123970305677</v>
      </c>
      <c r="BY51" s="62">
        <v>-0.82310927967302883</v>
      </c>
      <c r="BZ51" s="62">
        <v>-0.7072259497137634</v>
      </c>
      <c r="CA51" s="62">
        <v>-1.5117072284491329</v>
      </c>
      <c r="CB51" s="62">
        <v>-1.6077556187521824</v>
      </c>
      <c r="CC51" s="62">
        <v>-1.0333056550255071</v>
      </c>
      <c r="CD51" s="62">
        <v>-0.97235449446174682</v>
      </c>
      <c r="CE51" s="62">
        <v>0.82699812460480526</v>
      </c>
      <c r="CF51" s="62">
        <v>1.5375712235601524</v>
      </c>
      <c r="CG51" s="62">
        <v>1.6417627471351448</v>
      </c>
      <c r="CH51" s="62">
        <v>2.3776759108101286</v>
      </c>
      <c r="CI51" s="62">
        <v>1.6100097953054338</v>
      </c>
      <c r="CJ51" s="62">
        <v>1.7657422238354759</v>
      </c>
      <c r="CK51" s="62">
        <v>2.2261159088610372</v>
      </c>
      <c r="CL51" s="62">
        <v>2.6949701911613388</v>
      </c>
      <c r="CM51" s="62">
        <v>2.8184835782179229</v>
      </c>
      <c r="CN51" s="62">
        <v>2.0933584090203183</v>
      </c>
      <c r="CO51" s="62">
        <v>0.7484695801043495</v>
      </c>
      <c r="CP51" s="62">
        <v>-0.19374809216433642</v>
      </c>
      <c r="CQ51" s="62">
        <v>3.8169536870480414E-2</v>
      </c>
      <c r="CR51" s="62">
        <v>-0.77887411302522969</v>
      </c>
      <c r="CS51" s="62">
        <v>-0.83159857169012863</v>
      </c>
      <c r="CT51" s="62">
        <v>-1.4675711687592519</v>
      </c>
      <c r="CU51" s="62">
        <v>-1.9819105996511932</v>
      </c>
      <c r="CV51" s="62">
        <v>-1.47880104611402</v>
      </c>
      <c r="CW51" s="62">
        <v>-0.95445258279197587</v>
      </c>
    </row>
    <row r="52" spans="1:101" s="37" customFormat="1" ht="16.5" customHeight="1">
      <c r="A52" s="45"/>
      <c r="B52" s="46" t="s">
        <v>129</v>
      </c>
      <c r="C52" s="61" t="s">
        <v>8</v>
      </c>
      <c r="D52" s="62" t="s">
        <v>8</v>
      </c>
      <c r="E52" s="62" t="s">
        <v>8</v>
      </c>
      <c r="F52" s="62" t="s">
        <v>8</v>
      </c>
      <c r="G52" s="62">
        <v>-3.1999793537667798</v>
      </c>
      <c r="H52" s="62">
        <v>-1.5286180443460418</v>
      </c>
      <c r="I52" s="62">
        <v>1.095739433412346</v>
      </c>
      <c r="J52" s="62">
        <v>2.6073093049732377</v>
      </c>
      <c r="K52" s="62">
        <v>3.7706117599602296</v>
      </c>
      <c r="L52" s="62">
        <v>4.6207831491626772</v>
      </c>
      <c r="M52" s="62">
        <v>5.1738661757030791</v>
      </c>
      <c r="N52" s="62">
        <v>5.5111566756053332</v>
      </c>
      <c r="O52" s="62">
        <v>6.0978024795035779</v>
      </c>
      <c r="P52" s="62">
        <v>5.8694059496121165</v>
      </c>
      <c r="Q52" s="62">
        <v>7.5677492706659466</v>
      </c>
      <c r="R52" s="62">
        <v>7.4717193638055734</v>
      </c>
      <c r="S52" s="62">
        <v>6.9552241655639113</v>
      </c>
      <c r="T52" s="62">
        <v>7.0953946747017271</v>
      </c>
      <c r="U52" s="62">
        <v>5.2721753761505674</v>
      </c>
      <c r="V52" s="62">
        <v>5.0889766881764054</v>
      </c>
      <c r="W52" s="62">
        <v>4.4356675013427216</v>
      </c>
      <c r="X52" s="62">
        <v>4.5240728133944641</v>
      </c>
      <c r="Y52" s="62">
        <v>5.2437273835492348</v>
      </c>
      <c r="Z52" s="62">
        <v>5.1875701003497587</v>
      </c>
      <c r="AA52" s="62">
        <v>5.8651407756273422</v>
      </c>
      <c r="AB52" s="62">
        <v>6.1902359091246861</v>
      </c>
      <c r="AC52" s="62">
        <v>5.6106821391829875</v>
      </c>
      <c r="AD52" s="62">
        <v>5.3910444420601111</v>
      </c>
      <c r="AE52" s="62">
        <v>4.5956512183966458</v>
      </c>
      <c r="AF52" s="62">
        <v>3.1038299897987232</v>
      </c>
      <c r="AG52" s="62">
        <v>2.8024233379109198</v>
      </c>
      <c r="AH52" s="62">
        <v>2.0120134926641553</v>
      </c>
      <c r="AI52" s="62">
        <v>1.8412953653057063</v>
      </c>
      <c r="AJ52" s="62">
        <v>3.6555693555509361</v>
      </c>
      <c r="AK52" s="62">
        <v>4.076790456327628</v>
      </c>
      <c r="AL52" s="62">
        <v>4.4514770078230237</v>
      </c>
      <c r="AM52" s="62">
        <v>4.8116028278605949</v>
      </c>
      <c r="AN52" s="62">
        <v>4.709918871829899</v>
      </c>
      <c r="AO52" s="62">
        <v>4.5618547979944912</v>
      </c>
      <c r="AP52" s="62">
        <v>4.551494975146464</v>
      </c>
      <c r="AQ52" s="62">
        <v>4.4576614312219487</v>
      </c>
      <c r="AR52" s="62">
        <v>3.4120478290664336</v>
      </c>
      <c r="AS52" s="62">
        <v>2.5340796898459805</v>
      </c>
      <c r="AT52" s="62">
        <v>2.2987781492887827</v>
      </c>
      <c r="AU52" s="62">
        <v>2.0815653904973086</v>
      </c>
      <c r="AV52" s="62">
        <v>2.2872880435323761</v>
      </c>
      <c r="AW52" s="62">
        <v>2.5670196180584526</v>
      </c>
      <c r="AX52" s="62">
        <v>1.6284560907889434</v>
      </c>
      <c r="AY52" s="62">
        <v>1.6567774707186178</v>
      </c>
      <c r="AZ52" s="62">
        <v>2.1876898443266679</v>
      </c>
      <c r="BA52" s="62">
        <v>2.1618877517601831</v>
      </c>
      <c r="BB52" s="62">
        <v>3.3714849911366196</v>
      </c>
      <c r="BC52" s="62">
        <v>3.099978563919259</v>
      </c>
      <c r="BD52" s="62">
        <v>2.3598254086455217</v>
      </c>
      <c r="BE52" s="62">
        <v>2.4184703583565614</v>
      </c>
      <c r="BF52" s="62">
        <v>2.6011257698560497</v>
      </c>
      <c r="BG52" s="62">
        <v>2.8342024381215802</v>
      </c>
      <c r="BH52" s="62">
        <v>3.1656344398268255</v>
      </c>
      <c r="BI52" s="62">
        <v>2.9471325904045331</v>
      </c>
      <c r="BJ52" s="62">
        <v>2.1030791429977214</v>
      </c>
      <c r="BK52" s="62">
        <v>1.745875863647961</v>
      </c>
      <c r="BL52" s="62">
        <v>1.1652666693448221</v>
      </c>
      <c r="BM52" s="62">
        <v>1.2373500788898983</v>
      </c>
      <c r="BN52" s="62">
        <v>1.7000335886757867</v>
      </c>
      <c r="BO52" s="62">
        <v>2.2091996083068999</v>
      </c>
      <c r="BP52" s="62">
        <v>2.5578359685095364</v>
      </c>
      <c r="BQ52" s="62">
        <v>1.5675014729674031</v>
      </c>
      <c r="BR52" s="62">
        <v>0.74045861472429308</v>
      </c>
      <c r="BS52" s="62">
        <v>3.6301981522446347E-2</v>
      </c>
      <c r="BT52" s="62">
        <v>-0.1891602824905303</v>
      </c>
      <c r="BU52" s="62">
        <v>6.1328020472717348E-2</v>
      </c>
      <c r="BV52" s="62">
        <v>0.76279061134947312</v>
      </c>
      <c r="BW52" s="62">
        <v>0.95322240576323214</v>
      </c>
      <c r="BX52" s="62">
        <v>0.70887175526963553</v>
      </c>
      <c r="BY52" s="62">
        <v>-0.14475037342900343</v>
      </c>
      <c r="BZ52" s="62">
        <v>-0.46190240803031246</v>
      </c>
      <c r="CA52" s="62">
        <v>-0.66880821833972259</v>
      </c>
      <c r="CB52" s="62">
        <v>-0.43731724348489154</v>
      </c>
      <c r="CC52" s="62">
        <v>0.54698205245788944</v>
      </c>
      <c r="CD52" s="62">
        <v>0.34900110039584042</v>
      </c>
      <c r="CE52" s="62">
        <v>0.63033235988660952</v>
      </c>
      <c r="CF52" s="62">
        <v>0.8858859697216781</v>
      </c>
      <c r="CG52" s="62">
        <v>1.6880891536795728</v>
      </c>
      <c r="CH52" s="62">
        <v>2.1256379037075224</v>
      </c>
      <c r="CI52" s="62">
        <v>2.2704855349217734</v>
      </c>
      <c r="CJ52" s="62">
        <v>1.8716597621466713</v>
      </c>
      <c r="CK52" s="62">
        <v>1.2373528515240206</v>
      </c>
      <c r="CL52" s="62">
        <v>1.3185882656992831</v>
      </c>
      <c r="CM52" s="62">
        <v>1.0951399989628463</v>
      </c>
      <c r="CN52" s="62">
        <v>0.6814200507472723</v>
      </c>
      <c r="CO52" s="62">
        <v>-0.21086465578449287</v>
      </c>
      <c r="CP52" s="62">
        <v>-0.84868100228080445</v>
      </c>
      <c r="CQ52" s="62">
        <v>-0.63439905539974806</v>
      </c>
      <c r="CR52" s="62">
        <v>8.6995120468502662E-3</v>
      </c>
      <c r="CS52" s="62">
        <v>4.7121870366129137E-2</v>
      </c>
      <c r="CT52" s="62">
        <v>-3.2738327619796781E-2</v>
      </c>
      <c r="CU52" s="62">
        <v>-0.195754380691604</v>
      </c>
      <c r="CV52" s="62">
        <v>-0.81629252187346291</v>
      </c>
      <c r="CW52" s="62">
        <v>-0.54634935465545098</v>
      </c>
    </row>
    <row r="53" spans="1:101" s="37" customFormat="1" ht="16.5" customHeight="1" thickBot="1">
      <c r="A53" s="43" t="s">
        <v>130</v>
      </c>
      <c r="B53" s="44"/>
      <c r="C53" s="60"/>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c r="BN53" s="63"/>
      <c r="BO53" s="63"/>
      <c r="BP53" s="63"/>
      <c r="BQ53" s="63"/>
      <c r="BR53" s="63"/>
      <c r="BS53" s="63"/>
      <c r="BT53" s="63"/>
      <c r="BU53" s="63"/>
      <c r="BV53" s="63"/>
      <c r="BW53" s="63" t="s">
        <v>138</v>
      </c>
      <c r="BX53" s="63" t="s">
        <v>138</v>
      </c>
      <c r="BY53" s="63" t="s">
        <v>138</v>
      </c>
      <c r="BZ53" s="63" t="s">
        <v>138</v>
      </c>
      <c r="CA53" s="63" t="s">
        <v>138</v>
      </c>
      <c r="CB53" s="63" t="s">
        <v>138</v>
      </c>
      <c r="CC53" s="63" t="s">
        <v>138</v>
      </c>
      <c r="CD53" s="63" t="s">
        <v>138</v>
      </c>
      <c r="CE53" s="63" t="s">
        <v>138</v>
      </c>
      <c r="CF53" s="63" t="s">
        <v>138</v>
      </c>
      <c r="CG53" s="63" t="s">
        <v>138</v>
      </c>
      <c r="CH53" s="63" t="s">
        <v>138</v>
      </c>
      <c r="CI53" s="63" t="s">
        <v>138</v>
      </c>
      <c r="CJ53" s="63" t="s">
        <v>138</v>
      </c>
      <c r="CK53" s="63" t="s">
        <v>138</v>
      </c>
      <c r="CL53" s="63" t="s">
        <v>138</v>
      </c>
      <c r="CM53" s="63" t="s">
        <v>138</v>
      </c>
      <c r="CN53" s="63" t="s">
        <v>138</v>
      </c>
      <c r="CO53" s="63" t="s">
        <v>138</v>
      </c>
      <c r="CP53" s="63" t="s">
        <v>138</v>
      </c>
      <c r="CQ53" s="63" t="s">
        <v>138</v>
      </c>
      <c r="CR53" s="63" t="s">
        <v>138</v>
      </c>
      <c r="CS53" s="63" t="s">
        <v>138</v>
      </c>
      <c r="CT53" s="63" t="s">
        <v>138</v>
      </c>
      <c r="CU53" s="63" t="s">
        <v>138</v>
      </c>
      <c r="CV53" s="63" t="s">
        <v>138</v>
      </c>
      <c r="CW53" s="63" t="s">
        <v>138</v>
      </c>
    </row>
    <row r="54" spans="1:101" s="37" customFormat="1" ht="16.5" customHeight="1">
      <c r="A54" s="45"/>
      <c r="B54" s="46" t="s">
        <v>131</v>
      </c>
      <c r="C54" s="61" t="s">
        <v>8</v>
      </c>
      <c r="D54" s="62" t="s">
        <v>8</v>
      </c>
      <c r="E54" s="62" t="s">
        <v>8</v>
      </c>
      <c r="F54" s="62" t="s">
        <v>8</v>
      </c>
      <c r="G54" s="62">
        <v>-9.4279159781041955</v>
      </c>
      <c r="H54" s="62">
        <v>-4.0667970406697451</v>
      </c>
      <c r="I54" s="62">
        <v>1.1739579570022141</v>
      </c>
      <c r="J54" s="62">
        <v>6.2895085492867597</v>
      </c>
      <c r="K54" s="62">
        <v>8.4352031374198546</v>
      </c>
      <c r="L54" s="62">
        <v>9.5124813479356298</v>
      </c>
      <c r="M54" s="62">
        <v>8.8354190754723163</v>
      </c>
      <c r="N54" s="62">
        <v>7.0684611700009503</v>
      </c>
      <c r="O54" s="62">
        <v>7.7762240947500949</v>
      </c>
      <c r="P54" s="62">
        <v>7.9382232129820318</v>
      </c>
      <c r="Q54" s="62">
        <v>10.355877895597466</v>
      </c>
      <c r="R54" s="62">
        <v>11.291607358901313</v>
      </c>
      <c r="S54" s="62">
        <v>11.728707556536655</v>
      </c>
      <c r="T54" s="62">
        <v>10.939538383846914</v>
      </c>
      <c r="U54" s="62">
        <v>9.6919662053552855</v>
      </c>
      <c r="V54" s="62">
        <v>8.006172652855593</v>
      </c>
      <c r="W54" s="62">
        <v>5.7318868004610612</v>
      </c>
      <c r="X54" s="62">
        <v>5.3225695732832756</v>
      </c>
      <c r="Y54" s="62">
        <v>3.9759889954450678</v>
      </c>
      <c r="Z54" s="62">
        <v>4.2658520814087941</v>
      </c>
      <c r="AA54" s="62">
        <v>5.102004786740677</v>
      </c>
      <c r="AB54" s="62">
        <v>4.8661963859672586</v>
      </c>
      <c r="AC54" s="62">
        <v>4.9584421814885538</v>
      </c>
      <c r="AD54" s="62">
        <v>4.1479939285903988</v>
      </c>
      <c r="AE54" s="62">
        <v>1.5770521805626325</v>
      </c>
      <c r="AF54" s="62">
        <v>4.9235720474749556E-2</v>
      </c>
      <c r="AG54" s="62">
        <v>-1.7994775588093481</v>
      </c>
      <c r="AH54" s="62">
        <v>-2.2304038516253399</v>
      </c>
      <c r="AI54" s="62">
        <v>-1.2773780876811802</v>
      </c>
      <c r="AJ54" s="62">
        <v>-0.14613238157339392</v>
      </c>
      <c r="AK54" s="62">
        <v>1.0928093527220462</v>
      </c>
      <c r="AL54" s="62">
        <v>1.5613223793921494</v>
      </c>
      <c r="AM54" s="62">
        <v>2.0069510765571952</v>
      </c>
      <c r="AN54" s="62">
        <v>2.4733032596967686</v>
      </c>
      <c r="AO54" s="62">
        <v>2.090819782029163</v>
      </c>
      <c r="AP54" s="62">
        <v>2.4925513558441414</v>
      </c>
      <c r="AQ54" s="62">
        <v>2.3088864772230933</v>
      </c>
      <c r="AR54" s="62">
        <v>1.6428467950064585</v>
      </c>
      <c r="AS54" s="62">
        <v>0.56132514982425441</v>
      </c>
      <c r="AT54" s="62">
        <v>-0.61762687175680453</v>
      </c>
      <c r="AU54" s="62">
        <v>-0.98959807465053284</v>
      </c>
      <c r="AV54" s="62">
        <v>-1.0860606876566647</v>
      </c>
      <c r="AW54" s="62">
        <v>-1.0577762470514007</v>
      </c>
      <c r="AX54" s="62">
        <v>-8.9168559259156233E-2</v>
      </c>
      <c r="AY54" s="62">
        <v>0.71250655757253423</v>
      </c>
      <c r="AZ54" s="62">
        <v>0.186411082796889</v>
      </c>
      <c r="BA54" s="62">
        <v>0.46776131655335007</v>
      </c>
      <c r="BB54" s="62">
        <v>0.24139756691747838</v>
      </c>
      <c r="BC54" s="62">
        <v>-0.80286189816527465</v>
      </c>
      <c r="BD54" s="62">
        <v>0.13920000995220061</v>
      </c>
      <c r="BE54" s="62">
        <v>1.2046189138791519</v>
      </c>
      <c r="BF54" s="62">
        <v>1.0394490583405469</v>
      </c>
      <c r="BG54" s="62">
        <v>1.0136864729782147</v>
      </c>
      <c r="BH54" s="62">
        <v>0.66814985154146633</v>
      </c>
      <c r="BI54" s="62">
        <v>-0.90714092786308154</v>
      </c>
      <c r="BJ54" s="62">
        <v>-1.1970450521068376</v>
      </c>
      <c r="BK54" s="62">
        <v>-1.0419314326084783</v>
      </c>
      <c r="BL54" s="62">
        <v>-0.16243461276826965</v>
      </c>
      <c r="BM54" s="62">
        <v>1.3304397354100717</v>
      </c>
      <c r="BN54" s="62">
        <v>2.4665073471999754</v>
      </c>
      <c r="BO54" s="62">
        <v>2.8617027867924527</v>
      </c>
      <c r="BP54" s="62">
        <v>2.112587711314351</v>
      </c>
      <c r="BQ54" s="62">
        <v>0.88709054266058462</v>
      </c>
      <c r="BR54" s="62">
        <v>-1.1733211456749326</v>
      </c>
      <c r="BS54" s="62">
        <v>-2.5982144576259913</v>
      </c>
      <c r="BT54" s="62">
        <v>-2.8290773874764863</v>
      </c>
      <c r="BU54" s="62">
        <v>-2.6354744676355901</v>
      </c>
      <c r="BV54" s="62">
        <v>-2.2547447950443167</v>
      </c>
      <c r="BW54" s="62">
        <v>-2.0464550350733579</v>
      </c>
      <c r="BX54" s="62">
        <v>-2.5114332112275872</v>
      </c>
      <c r="BY54" s="62">
        <v>-3.6971950325377478</v>
      </c>
      <c r="BZ54" s="62">
        <v>-3.9034264003711683</v>
      </c>
      <c r="CA54" s="62">
        <v>-3.6776313309655029</v>
      </c>
      <c r="CB54" s="62">
        <v>-2.8676569868365087</v>
      </c>
      <c r="CC54" s="62">
        <v>-1.5603376156065774</v>
      </c>
      <c r="CD54" s="62">
        <v>-0.45051664081922072</v>
      </c>
      <c r="CE54" s="62">
        <v>0.78365554670902782</v>
      </c>
      <c r="CF54" s="62">
        <v>0.84372091773898816</v>
      </c>
      <c r="CG54" s="62">
        <v>1.9761536586605732</v>
      </c>
      <c r="CH54" s="62">
        <v>2.7346304711661329</v>
      </c>
      <c r="CI54" s="62">
        <v>2.710795193120763</v>
      </c>
      <c r="CJ54" s="62">
        <v>3.024428136104973</v>
      </c>
      <c r="CK54" s="62">
        <v>2.7031547746352302</v>
      </c>
      <c r="CL54" s="62">
        <v>2.069430683591067</v>
      </c>
      <c r="CM54" s="62">
        <v>1.0708173151931177</v>
      </c>
      <c r="CN54" s="62">
        <v>-0.55014763395213606</v>
      </c>
      <c r="CO54" s="62">
        <v>-1.8226140454769446</v>
      </c>
      <c r="CP54" s="62">
        <v>-2.4086982191277806</v>
      </c>
      <c r="CQ54" s="62">
        <v>-1.7972372696129502</v>
      </c>
      <c r="CR54" s="62">
        <v>-1.06247977580467</v>
      </c>
      <c r="CS54" s="62">
        <v>-0.77118524255279652</v>
      </c>
      <c r="CT54" s="62">
        <v>-1.1236288462379673</v>
      </c>
      <c r="CU54" s="62">
        <v>-1.463004861056616</v>
      </c>
      <c r="CV54" s="62">
        <v>-1.7697617924729458</v>
      </c>
      <c r="CW54" s="62">
        <v>-1.6416058321666482</v>
      </c>
    </row>
    <row r="55" spans="1:101" s="37" customFormat="1" ht="16.5" customHeight="1">
      <c r="A55" s="45"/>
      <c r="B55" s="46" t="s">
        <v>132</v>
      </c>
      <c r="C55" s="61" t="s">
        <v>8</v>
      </c>
      <c r="D55" s="62" t="s">
        <v>8</v>
      </c>
      <c r="E55" s="62" t="s">
        <v>8</v>
      </c>
      <c r="F55" s="62" t="s">
        <v>8</v>
      </c>
      <c r="G55" s="62">
        <v>-9.7916224284388278</v>
      </c>
      <c r="H55" s="62">
        <v>-3.7087582113252582</v>
      </c>
      <c r="I55" s="62">
        <v>1.1539107856571418</v>
      </c>
      <c r="J55" s="62">
        <v>3.8548208075495305</v>
      </c>
      <c r="K55" s="62">
        <v>6.7262470315740508</v>
      </c>
      <c r="L55" s="62">
        <v>7.48185709986251</v>
      </c>
      <c r="M55" s="62">
        <v>7.2112534048607291</v>
      </c>
      <c r="N55" s="62">
        <v>7.9243271349895394</v>
      </c>
      <c r="O55" s="62">
        <v>7.4690432888175007</v>
      </c>
      <c r="P55" s="62">
        <v>7.9669694158086557</v>
      </c>
      <c r="Q55" s="62">
        <v>10.920141642527149</v>
      </c>
      <c r="R55" s="62">
        <v>12.866450021025599</v>
      </c>
      <c r="S55" s="62">
        <v>13.657028024955098</v>
      </c>
      <c r="T55" s="62">
        <v>12.934309727474403</v>
      </c>
      <c r="U55" s="62">
        <v>10.20845051049637</v>
      </c>
      <c r="V55" s="62">
        <v>7.660870717203605</v>
      </c>
      <c r="W55" s="62">
        <v>6.9225944467630862</v>
      </c>
      <c r="X55" s="62">
        <v>7.0986458973538946</v>
      </c>
      <c r="Y55" s="62">
        <v>7.4471898149071958</v>
      </c>
      <c r="Z55" s="62">
        <v>7.0339348130887158</v>
      </c>
      <c r="AA55" s="62">
        <v>5.9903408241890332</v>
      </c>
      <c r="AB55" s="62">
        <v>4.7111629755562712</v>
      </c>
      <c r="AC55" s="62">
        <v>4.3558958523419289</v>
      </c>
      <c r="AD55" s="62">
        <v>4.2239430943300293</v>
      </c>
      <c r="AE55" s="62">
        <v>1.9192114510411251</v>
      </c>
      <c r="AF55" s="62">
        <v>-1.2927472366053849</v>
      </c>
      <c r="AG55" s="62">
        <v>-4.1533069862649263</v>
      </c>
      <c r="AH55" s="62">
        <v>-4.6808945474330894</v>
      </c>
      <c r="AI55" s="62">
        <v>-2.9285158529286481</v>
      </c>
      <c r="AJ55" s="62">
        <v>1.2827373199540748</v>
      </c>
      <c r="AK55" s="62">
        <v>4.2295896774287689</v>
      </c>
      <c r="AL55" s="62">
        <v>5.1911692268858278</v>
      </c>
      <c r="AM55" s="62">
        <v>5.1614226402479702</v>
      </c>
      <c r="AN55" s="62">
        <v>4.472576757421054</v>
      </c>
      <c r="AO55" s="62">
        <v>4.1453422139854368</v>
      </c>
      <c r="AP55" s="62">
        <v>3.936354689960897</v>
      </c>
      <c r="AQ55" s="62">
        <v>3.2462095253033008</v>
      </c>
      <c r="AR55" s="62">
        <v>0.44079288720972887</v>
      </c>
      <c r="AS55" s="62">
        <v>-0.76870367933333794</v>
      </c>
      <c r="AT55" s="62">
        <v>-2.2344123645742342</v>
      </c>
      <c r="AU55" s="62">
        <v>-2.5411506820814389</v>
      </c>
      <c r="AV55" s="62">
        <v>-0.48908298467943423</v>
      </c>
      <c r="AW55" s="62">
        <v>-0.67146301490758065</v>
      </c>
      <c r="AX55" s="62">
        <v>0.51880823069088144</v>
      </c>
      <c r="AY55" s="62">
        <v>0.64633551014967594</v>
      </c>
      <c r="AZ55" s="62">
        <v>8.1649302311403993E-2</v>
      </c>
      <c r="BA55" s="62">
        <v>0.37323005291551858</v>
      </c>
      <c r="BB55" s="62">
        <v>-0.32539571378378263</v>
      </c>
      <c r="BC55" s="62">
        <v>-0.46268880060295059</v>
      </c>
      <c r="BD55" s="62">
        <v>-0.39797839864308404</v>
      </c>
      <c r="BE55" s="62">
        <v>-0.96130394520915763</v>
      </c>
      <c r="BF55" s="62">
        <v>0.15282091972992351</v>
      </c>
      <c r="BG55" s="62">
        <v>0.19403677467555447</v>
      </c>
      <c r="BH55" s="62">
        <v>0.29943873915165842</v>
      </c>
      <c r="BI55" s="62">
        <v>0.64477416048751568</v>
      </c>
      <c r="BJ55" s="62">
        <v>-0.73327574494591596</v>
      </c>
      <c r="BK55" s="62">
        <v>-0.71316918510027083</v>
      </c>
      <c r="BL55" s="62">
        <v>-0.80355437829466858</v>
      </c>
      <c r="BM55" s="62">
        <v>-0.42845462466064577</v>
      </c>
      <c r="BN55" s="62">
        <v>9.9988051397370548E-2</v>
      </c>
      <c r="BO55" s="62">
        <v>0.681940695974248</v>
      </c>
      <c r="BP55" s="62">
        <v>0.54288816976191256</v>
      </c>
      <c r="BQ55" s="62">
        <v>4.3205791051170728E-2</v>
      </c>
      <c r="BR55" s="62">
        <v>-0.5212103300369697</v>
      </c>
      <c r="BS55" s="62">
        <v>-1.7505914950058044</v>
      </c>
      <c r="BT55" s="62">
        <v>-1.9739269300912965</v>
      </c>
      <c r="BU55" s="62">
        <v>-2.2944246258345458</v>
      </c>
      <c r="BV55" s="62">
        <v>-2.3269928410126539</v>
      </c>
      <c r="BW55" s="62">
        <v>-2.6227233779636205</v>
      </c>
      <c r="BX55" s="62">
        <v>-2.8571728873171609</v>
      </c>
      <c r="BY55" s="62">
        <v>-3.5532744797589721</v>
      </c>
      <c r="BZ55" s="62">
        <v>-3.3637278859199871</v>
      </c>
      <c r="CA55" s="62">
        <v>-2.5557639476659899</v>
      </c>
      <c r="CB55" s="62">
        <v>-1.2473022811680168</v>
      </c>
      <c r="CC55" s="62">
        <v>0.25335774117785093</v>
      </c>
      <c r="CD55" s="62">
        <v>0.77476331327308579</v>
      </c>
      <c r="CE55" s="62">
        <v>2.0601631425763989</v>
      </c>
      <c r="CF55" s="62">
        <v>2.5739734576544882</v>
      </c>
      <c r="CG55" s="62">
        <v>3.1268411646756089</v>
      </c>
      <c r="CH55" s="62">
        <v>3.1523414597720123</v>
      </c>
      <c r="CI55" s="62">
        <v>2.4003552369338044</v>
      </c>
      <c r="CJ55" s="62">
        <v>1.5143609777226397</v>
      </c>
      <c r="CK55" s="62">
        <v>1.8066694903366098</v>
      </c>
      <c r="CL55" s="62">
        <v>2.0530943815309843</v>
      </c>
      <c r="CM55" s="62">
        <v>1.2624129986321453</v>
      </c>
      <c r="CN55" s="62">
        <v>-2.8051216742164264E-2</v>
      </c>
      <c r="CO55" s="62">
        <v>-2.165188051194733</v>
      </c>
      <c r="CP55" s="62">
        <v>-2.2840994938776671</v>
      </c>
      <c r="CQ55" s="62">
        <v>-1.121466051789255</v>
      </c>
      <c r="CR55" s="62">
        <v>0.17212421925443255</v>
      </c>
      <c r="CS55" s="62">
        <v>1.2688921757821658</v>
      </c>
      <c r="CT55" s="62">
        <v>0.71194154970748436</v>
      </c>
      <c r="CU55" s="62">
        <v>-0.14586889013956661</v>
      </c>
      <c r="CV55" s="62">
        <v>-0.50201943164153162</v>
      </c>
      <c r="CW55" s="62">
        <v>-0.52882689007019978</v>
      </c>
    </row>
    <row r="56" spans="1:101" s="37" customFormat="1" ht="16.5" customHeight="1">
      <c r="A56" s="45"/>
      <c r="B56" s="46" t="s">
        <v>133</v>
      </c>
      <c r="C56" s="61" t="s">
        <v>8</v>
      </c>
      <c r="D56" s="62" t="s">
        <v>8</v>
      </c>
      <c r="E56" s="62" t="s">
        <v>8</v>
      </c>
      <c r="F56" s="62" t="s">
        <v>8</v>
      </c>
      <c r="G56" s="62">
        <v>-3.9302397695590741</v>
      </c>
      <c r="H56" s="62">
        <v>-1.8172652175043602</v>
      </c>
      <c r="I56" s="62">
        <v>-0.79232877718266037</v>
      </c>
      <c r="J56" s="62">
        <v>0.85934651362975512</v>
      </c>
      <c r="K56" s="62">
        <v>2.3059761199919926</v>
      </c>
      <c r="L56" s="62">
        <v>3.6570402296842497</v>
      </c>
      <c r="M56" s="62">
        <v>5.4958872861136099</v>
      </c>
      <c r="N56" s="62">
        <v>6.0183948569904944</v>
      </c>
      <c r="O56" s="62">
        <v>5.4866098931511509</v>
      </c>
      <c r="P56" s="62">
        <v>5.3746327767295377</v>
      </c>
      <c r="Q56" s="62">
        <v>5.6567052786677063</v>
      </c>
      <c r="R56" s="62">
        <v>5.4235702475193603</v>
      </c>
      <c r="S56" s="62">
        <v>5.8957996757766695</v>
      </c>
      <c r="T56" s="62">
        <v>5.9308567009441537</v>
      </c>
      <c r="U56" s="62">
        <v>5.601269856785196</v>
      </c>
      <c r="V56" s="62">
        <v>5.6404146012178247</v>
      </c>
      <c r="W56" s="62">
        <v>5.8143106200453598</v>
      </c>
      <c r="X56" s="62">
        <v>5.5652740339891427</v>
      </c>
      <c r="Y56" s="62">
        <v>5.6504825269018344</v>
      </c>
      <c r="Z56" s="62">
        <v>6.474698741575069</v>
      </c>
      <c r="AA56" s="62">
        <v>6.1128717133642096</v>
      </c>
      <c r="AB56" s="62">
        <v>6.4020210883401152</v>
      </c>
      <c r="AC56" s="62">
        <v>7.1393024938631422</v>
      </c>
      <c r="AD56" s="62">
        <v>6.6611518699088768</v>
      </c>
      <c r="AE56" s="62">
        <v>4.617961225400613</v>
      </c>
      <c r="AF56" s="62">
        <v>2.4840641038998967</v>
      </c>
      <c r="AG56" s="62">
        <v>0.15356654200999742</v>
      </c>
      <c r="AH56" s="62">
        <v>-1.53768712975757</v>
      </c>
      <c r="AI56" s="62">
        <v>-0.86275525167620604</v>
      </c>
      <c r="AJ56" s="62">
        <v>0.13983730395072946</v>
      </c>
      <c r="AK56" s="62">
        <v>1.6238951847616478</v>
      </c>
      <c r="AL56" s="62">
        <v>3.0882043876746312</v>
      </c>
      <c r="AM56" s="62">
        <v>4.0474254007268895</v>
      </c>
      <c r="AN56" s="62">
        <v>4.2695378137598272</v>
      </c>
      <c r="AO56" s="62">
        <v>3.8846758042488272</v>
      </c>
      <c r="AP56" s="62">
        <v>3.947784119392983</v>
      </c>
      <c r="AQ56" s="62">
        <v>4.0979890951623466</v>
      </c>
      <c r="AR56" s="62">
        <v>4.4031917359531825</v>
      </c>
      <c r="AS56" s="62">
        <v>3.5051438833107351</v>
      </c>
      <c r="AT56" s="62">
        <v>1.5359014272601224</v>
      </c>
      <c r="AU56" s="62">
        <v>-0.20115677391823183</v>
      </c>
      <c r="AV56" s="62">
        <v>-1.0106607679775559</v>
      </c>
      <c r="AW56" s="62">
        <v>-0.40646856914779983</v>
      </c>
      <c r="AX56" s="62">
        <v>0.4123582874355769</v>
      </c>
      <c r="AY56" s="62">
        <v>0.63984238067151811</v>
      </c>
      <c r="AZ56" s="62">
        <v>1.3402496573843736</v>
      </c>
      <c r="BA56" s="62">
        <v>0.70446014259832879</v>
      </c>
      <c r="BB56" s="62">
        <v>4.1434943483853459E-3</v>
      </c>
      <c r="BC56" s="62">
        <v>0.27670419986929318</v>
      </c>
      <c r="BD56" s="62">
        <v>-0.45947934807333279</v>
      </c>
      <c r="BE56" s="62">
        <v>-0.64101931508788734</v>
      </c>
      <c r="BF56" s="62">
        <v>0.39042071846875359</v>
      </c>
      <c r="BG56" s="62">
        <v>0.67223747717632953</v>
      </c>
      <c r="BH56" s="62">
        <v>0.46026550793243359</v>
      </c>
      <c r="BI56" s="62">
        <v>0.51632646108792368</v>
      </c>
      <c r="BJ56" s="62">
        <v>0.12160503317826254</v>
      </c>
      <c r="BK56" s="62">
        <v>1.9553548531714426E-2</v>
      </c>
      <c r="BL56" s="62">
        <v>0.6053127194322272</v>
      </c>
      <c r="BM56" s="62">
        <v>1.0264934235168832</v>
      </c>
      <c r="BN56" s="62">
        <v>1.1285475745891338</v>
      </c>
      <c r="BO56" s="62">
        <v>1.5994224412176239</v>
      </c>
      <c r="BP56" s="62">
        <v>1.1776399664838122</v>
      </c>
      <c r="BQ56" s="62">
        <v>0.79751719985408087</v>
      </c>
      <c r="BR56" s="62">
        <v>3.4762779824437651E-2</v>
      </c>
      <c r="BS56" s="62">
        <v>-1.6463000225331759</v>
      </c>
      <c r="BT56" s="62">
        <v>-2.2883304900167323</v>
      </c>
      <c r="BU56" s="62">
        <v>-3.1169940412847374</v>
      </c>
      <c r="BV56" s="62">
        <v>-3.1203201705004013</v>
      </c>
      <c r="BW56" s="62">
        <v>-3.1473589344343744</v>
      </c>
      <c r="BX56" s="62">
        <v>-3.0423877995055748</v>
      </c>
      <c r="BY56" s="62">
        <v>-2.6631972682695793</v>
      </c>
      <c r="BZ56" s="62">
        <v>-2.0462164361573887</v>
      </c>
      <c r="CA56" s="62">
        <v>-1.330102624921381</v>
      </c>
      <c r="CB56" s="62">
        <v>-0.80777246266157121</v>
      </c>
      <c r="CC56" s="62">
        <v>0.10287092403959974</v>
      </c>
      <c r="CD56" s="62">
        <v>0.15123069686857615</v>
      </c>
      <c r="CE56" s="62">
        <v>0.68499982901446543</v>
      </c>
      <c r="CF56" s="62">
        <v>1.1133534540291645</v>
      </c>
      <c r="CG56" s="62">
        <v>1.4083218760538641</v>
      </c>
      <c r="CH56" s="62">
        <v>1.6665431493924299</v>
      </c>
      <c r="CI56" s="62">
        <v>1.8684789407488855</v>
      </c>
      <c r="CJ56" s="62">
        <v>1.8896490381326458</v>
      </c>
      <c r="CK56" s="62">
        <v>1.6332422094618604</v>
      </c>
      <c r="CL56" s="62">
        <v>2.137529928905435</v>
      </c>
      <c r="CM56" s="62">
        <v>1.7203265282170088</v>
      </c>
      <c r="CN56" s="62">
        <v>0.60478788400615269</v>
      </c>
      <c r="CO56" s="62">
        <v>-0.80668964412062838</v>
      </c>
      <c r="CP56" s="62">
        <v>-2.0309080093913301</v>
      </c>
      <c r="CQ56" s="62">
        <v>-1.9005570023487128</v>
      </c>
      <c r="CR56" s="62">
        <v>-1.438250010824027</v>
      </c>
      <c r="CS56" s="62">
        <v>-0.77216023284236712</v>
      </c>
      <c r="CT56" s="62">
        <v>-0.80932994748983411</v>
      </c>
      <c r="CU56" s="62">
        <v>-1.5046276843273643</v>
      </c>
      <c r="CV56" s="62">
        <v>-1.7317707482401579</v>
      </c>
      <c r="CW56" s="62">
        <v>-1.4056238799681653</v>
      </c>
    </row>
    <row r="57" spans="1:101" s="37" customFormat="1" ht="16.5" customHeight="1" thickBot="1">
      <c r="A57" s="43" t="s">
        <v>134</v>
      </c>
      <c r="B57" s="44"/>
      <c r="C57" s="60"/>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3"/>
      <c r="BG57" s="63"/>
      <c r="BH57" s="63"/>
      <c r="BI57" s="63"/>
      <c r="BJ57" s="63"/>
      <c r="BK57" s="63"/>
      <c r="BL57" s="63"/>
      <c r="BM57" s="63"/>
      <c r="BN57" s="63"/>
      <c r="BO57" s="63"/>
      <c r="BP57" s="63"/>
      <c r="BQ57" s="63"/>
      <c r="BR57" s="63"/>
      <c r="BS57" s="63"/>
      <c r="BT57" s="63"/>
      <c r="BU57" s="63"/>
      <c r="BV57" s="63"/>
      <c r="BW57" s="63" t="s">
        <v>138</v>
      </c>
      <c r="BX57" s="63" t="s">
        <v>138</v>
      </c>
      <c r="BY57" s="63" t="s">
        <v>138</v>
      </c>
      <c r="BZ57" s="63" t="s">
        <v>138</v>
      </c>
      <c r="CA57" s="63" t="s">
        <v>138</v>
      </c>
      <c r="CB57" s="63" t="s">
        <v>138</v>
      </c>
      <c r="CC57" s="63" t="s">
        <v>138</v>
      </c>
      <c r="CD57" s="63"/>
      <c r="CE57" s="63" t="s">
        <v>138</v>
      </c>
      <c r="CF57" s="63" t="s">
        <v>138</v>
      </c>
      <c r="CG57" s="63" t="s">
        <v>138</v>
      </c>
      <c r="CH57" s="63" t="s">
        <v>138</v>
      </c>
      <c r="CI57" s="63" t="s">
        <v>138</v>
      </c>
      <c r="CJ57" s="63" t="s">
        <v>138</v>
      </c>
      <c r="CK57" s="63" t="s">
        <v>138</v>
      </c>
      <c r="CL57" s="63" t="s">
        <v>138</v>
      </c>
      <c r="CM57" s="63" t="s">
        <v>138</v>
      </c>
      <c r="CN57" s="63" t="s">
        <v>138</v>
      </c>
      <c r="CO57" s="63" t="s">
        <v>138</v>
      </c>
      <c r="CP57" s="63" t="s">
        <v>138</v>
      </c>
      <c r="CQ57" s="63" t="s">
        <v>138</v>
      </c>
      <c r="CR57" s="63" t="s">
        <v>138</v>
      </c>
      <c r="CS57" s="63" t="s">
        <v>138</v>
      </c>
      <c r="CT57" s="63" t="s">
        <v>138</v>
      </c>
      <c r="CU57" s="63" t="s">
        <v>138</v>
      </c>
      <c r="CV57" s="63" t="s">
        <v>138</v>
      </c>
      <c r="CW57" s="63" t="s">
        <v>138</v>
      </c>
    </row>
    <row r="58" spans="1:101" s="37" customFormat="1" ht="16.5" customHeight="1">
      <c r="A58" s="45"/>
      <c r="B58" s="46" t="s">
        <v>135</v>
      </c>
      <c r="C58" s="61" t="s">
        <v>8</v>
      </c>
      <c r="D58" s="62" t="s">
        <v>8</v>
      </c>
      <c r="E58" s="62" t="s">
        <v>8</v>
      </c>
      <c r="F58" s="62" t="s">
        <v>8</v>
      </c>
      <c r="G58" s="62">
        <v>-5.0103630698688058</v>
      </c>
      <c r="H58" s="62">
        <v>-0.26175726356131301</v>
      </c>
      <c r="I58" s="62">
        <v>3.6138479121301526</v>
      </c>
      <c r="J58" s="62">
        <v>5.950542708753348</v>
      </c>
      <c r="K58" s="62">
        <v>8.8137629616177993</v>
      </c>
      <c r="L58" s="62">
        <v>10.423582811469778</v>
      </c>
      <c r="M58" s="62">
        <v>10.550795838094484</v>
      </c>
      <c r="N58" s="62">
        <v>10.011863739489213</v>
      </c>
      <c r="O58" s="62">
        <v>8.8905432327780467</v>
      </c>
      <c r="P58" s="62">
        <v>8.0333224284943938</v>
      </c>
      <c r="Q58" s="62">
        <v>7.9027720961080128</v>
      </c>
      <c r="R58" s="62">
        <v>8.5681301686959088</v>
      </c>
      <c r="S58" s="62">
        <v>9.1773976250575373</v>
      </c>
      <c r="T58" s="62">
        <v>8.2299179217077523</v>
      </c>
      <c r="U58" s="62">
        <v>7.5595144632014222</v>
      </c>
      <c r="V58" s="62">
        <v>6.5089023706162985</v>
      </c>
      <c r="W58" s="62">
        <v>4.7857272083771107</v>
      </c>
      <c r="X58" s="62">
        <v>4.6142184014118959</v>
      </c>
      <c r="Y58" s="62">
        <v>5.0632997936616908</v>
      </c>
      <c r="Z58" s="62">
        <v>5.4732518549760689</v>
      </c>
      <c r="AA58" s="62">
        <v>6.3287006116494071</v>
      </c>
      <c r="AB58" s="62">
        <v>5.7667428718302771</v>
      </c>
      <c r="AC58" s="62">
        <v>5.127531632925475</v>
      </c>
      <c r="AD58" s="62">
        <v>4.35193750503855</v>
      </c>
      <c r="AE58" s="62">
        <v>1.6086283510887478</v>
      </c>
      <c r="AF58" s="62">
        <v>-0.19082464786864817</v>
      </c>
      <c r="AG58" s="62">
        <v>-2.0667237858658427</v>
      </c>
      <c r="AH58" s="62">
        <v>-2.5957853009590637</v>
      </c>
      <c r="AI58" s="62">
        <v>-1.1112238491034487</v>
      </c>
      <c r="AJ58" s="62">
        <v>0.71185482935620659</v>
      </c>
      <c r="AK58" s="62">
        <v>2.970742900720813</v>
      </c>
      <c r="AL58" s="62">
        <v>3.5083457094748915</v>
      </c>
      <c r="AM58" s="62">
        <v>3.9019969587801073</v>
      </c>
      <c r="AN58" s="62">
        <v>3.4743293594113878</v>
      </c>
      <c r="AO58" s="62">
        <v>2.2559939682727181</v>
      </c>
      <c r="AP58" s="62">
        <v>2.6934976562148494</v>
      </c>
      <c r="AQ58" s="62">
        <v>2.4371466340584069</v>
      </c>
      <c r="AR58" s="62">
        <v>1.9950008370111627</v>
      </c>
      <c r="AS58" s="62">
        <v>1.5001841291014006</v>
      </c>
      <c r="AT58" s="62">
        <v>0.25362801855008943</v>
      </c>
      <c r="AU58" s="62">
        <v>0.18749455132609505</v>
      </c>
      <c r="AV58" s="62">
        <v>0.45549400753723823</v>
      </c>
      <c r="AW58" s="62">
        <v>-1.5535582152270688E-2</v>
      </c>
      <c r="AX58" s="62">
        <v>1.2615819825565922</v>
      </c>
      <c r="AY58" s="62">
        <v>0.77223509627095677</v>
      </c>
      <c r="AZ58" s="62">
        <v>0.46783731863857536</v>
      </c>
      <c r="BA58" s="62">
        <v>0.41569406743513504</v>
      </c>
      <c r="BB58" s="62">
        <v>-1.0672135537419081</v>
      </c>
      <c r="BC58" s="62">
        <v>-1.2950839169214801</v>
      </c>
      <c r="BD58" s="62">
        <v>-0.72870045883292045</v>
      </c>
      <c r="BE58" s="62">
        <v>0.44316535020341163</v>
      </c>
      <c r="BF58" s="62">
        <v>1.3213185268813099</v>
      </c>
      <c r="BG58" s="62">
        <v>1.1051119873695558</v>
      </c>
      <c r="BH58" s="62">
        <v>0.11759980349896892</v>
      </c>
      <c r="BI58" s="62">
        <v>-1.6683381586000912</v>
      </c>
      <c r="BJ58" s="62">
        <v>-3.4796509562361355</v>
      </c>
      <c r="BK58" s="62">
        <v>-4.4289414036513879</v>
      </c>
      <c r="BL58" s="62">
        <v>-4.5319076780850898</v>
      </c>
      <c r="BM58" s="62">
        <v>-3.847956322638546</v>
      </c>
      <c r="BN58" s="62">
        <v>-3.0394806220686021</v>
      </c>
      <c r="BO58" s="62">
        <v>-1.8963375596577903</v>
      </c>
      <c r="BP58" s="62">
        <v>-1.0539780527405673</v>
      </c>
      <c r="BQ58" s="62">
        <v>-0.96878432069664733</v>
      </c>
      <c r="BR58" s="62">
        <v>-1.4761743697867979</v>
      </c>
      <c r="BS58" s="62">
        <v>-3.005721768661529</v>
      </c>
      <c r="BT58" s="62">
        <v>-4.2324009974647474</v>
      </c>
      <c r="BU58" s="62">
        <v>-4.5653963573806138</v>
      </c>
      <c r="BV58" s="62">
        <v>-4.2010894428800345</v>
      </c>
      <c r="BW58" s="62">
        <v>-4.3562930875323369</v>
      </c>
      <c r="BX58" s="62">
        <v>-3.3093741484173655</v>
      </c>
      <c r="BY58" s="62">
        <v>-3.0206720452345737</v>
      </c>
      <c r="BZ58" s="62">
        <v>-2.5283983158959522</v>
      </c>
      <c r="CA58" s="62">
        <v>-0.88048212594197262</v>
      </c>
      <c r="CB58" s="62">
        <v>-0.641310250678373</v>
      </c>
      <c r="CC58" s="62">
        <v>0.49955851773970661</v>
      </c>
      <c r="CD58" s="62">
        <v>0.94515537249626469</v>
      </c>
      <c r="CE58" s="62">
        <v>1.1562864372954618</v>
      </c>
      <c r="CF58" s="62">
        <v>1.8830934902389407</v>
      </c>
      <c r="CG58" s="62">
        <v>2.4026438180461129</v>
      </c>
      <c r="CH58" s="62">
        <v>2.5781344131681649</v>
      </c>
      <c r="CI58" s="62">
        <v>2.3809731817959978</v>
      </c>
      <c r="CJ58" s="62">
        <v>1.9709964196783059</v>
      </c>
      <c r="CK58" s="62">
        <v>2.0061054502136466</v>
      </c>
      <c r="CL58" s="62">
        <v>2.0537996074521336</v>
      </c>
      <c r="CM58" s="62">
        <v>1.5772179374887063</v>
      </c>
      <c r="CN58" s="62">
        <v>0.59779442695853113</v>
      </c>
      <c r="CO58" s="62">
        <v>-1.402188907397528</v>
      </c>
      <c r="CP58" s="62">
        <v>-2.4970407337610578</v>
      </c>
      <c r="CQ58" s="62">
        <v>-1.8220564776166404</v>
      </c>
      <c r="CR58" s="62">
        <v>-0.58427389735939972</v>
      </c>
      <c r="CS58" s="62">
        <v>0.68831687082919757</v>
      </c>
      <c r="CT58" s="62">
        <v>0.54022426260824652</v>
      </c>
      <c r="CU58" s="62">
        <v>-0.4883543183695549</v>
      </c>
      <c r="CV58" s="62">
        <v>-2.0093108708679752</v>
      </c>
      <c r="CW58" s="62">
        <v>-2.3422659813034596</v>
      </c>
    </row>
    <row r="59" spans="1:101" s="37" customFormat="1" ht="16.5" customHeight="1">
      <c r="A59" s="45"/>
      <c r="B59" s="46" t="s">
        <v>125</v>
      </c>
      <c r="C59" s="61" t="s">
        <v>8</v>
      </c>
      <c r="D59" s="62" t="s">
        <v>8</v>
      </c>
      <c r="E59" s="62" t="s">
        <v>8</v>
      </c>
      <c r="F59" s="62" t="s">
        <v>8</v>
      </c>
      <c r="G59" s="62">
        <v>-36.967021960282942</v>
      </c>
      <c r="H59" s="62">
        <v>-16.929895603338007</v>
      </c>
      <c r="I59" s="62">
        <v>-0.49728694114858918</v>
      </c>
      <c r="J59" s="62">
        <v>19.814867416082137</v>
      </c>
      <c r="K59" s="62">
        <v>24.794681284544385</v>
      </c>
      <c r="L59" s="62">
        <v>18.346707383870807</v>
      </c>
      <c r="M59" s="62">
        <v>13.740228152364487</v>
      </c>
      <c r="N59" s="62">
        <v>4.5993923827480243</v>
      </c>
      <c r="O59" s="62">
        <v>5.4156011238592372</v>
      </c>
      <c r="P59" s="62">
        <v>12.9226843904509</v>
      </c>
      <c r="Q59" s="62">
        <v>28.234397259524858</v>
      </c>
      <c r="R59" s="62">
        <v>35.461138892217711</v>
      </c>
      <c r="S59" s="62">
        <v>35.938557112547251</v>
      </c>
      <c r="T59" s="62">
        <v>28.880847676292333</v>
      </c>
      <c r="U59" s="62">
        <v>22.206636306419458</v>
      </c>
      <c r="V59" s="62">
        <v>16.990493551715581</v>
      </c>
      <c r="W59" s="62">
        <v>14.790703549033225</v>
      </c>
      <c r="X59" s="62">
        <v>15.970882658725971</v>
      </c>
      <c r="Y59" s="62">
        <v>12.277304165397563</v>
      </c>
      <c r="Z59" s="62">
        <v>10.610113613861682</v>
      </c>
      <c r="AA59" s="62">
        <v>5.0730512091492486</v>
      </c>
      <c r="AB59" s="62">
        <v>2.4185536589985235</v>
      </c>
      <c r="AC59" s="62">
        <v>3.0500878592814251</v>
      </c>
      <c r="AD59" s="62">
        <v>3.2365256387167696</v>
      </c>
      <c r="AE59" s="62">
        <v>-0.64316039269743941</v>
      </c>
      <c r="AF59" s="62">
        <v>-4.332238898992868</v>
      </c>
      <c r="AG59" s="62">
        <v>-11.086126631640681</v>
      </c>
      <c r="AH59" s="62">
        <v>-12.368754496420632</v>
      </c>
      <c r="AI59" s="62">
        <v>-6.810528504169266</v>
      </c>
      <c r="AJ59" s="62">
        <v>-1.9390812377475641</v>
      </c>
      <c r="AK59" s="62">
        <v>2.917270974923758</v>
      </c>
      <c r="AL59" s="62">
        <v>2.0210861048249651</v>
      </c>
      <c r="AM59" s="62">
        <v>-1.1309602065622704</v>
      </c>
      <c r="AN59" s="62">
        <v>-2.1070512937507058</v>
      </c>
      <c r="AO59" s="62">
        <v>-0.5880400731492097</v>
      </c>
      <c r="AP59" s="62">
        <v>0.56660409009763324</v>
      </c>
      <c r="AQ59" s="62">
        <v>0.46450487777989213</v>
      </c>
      <c r="AR59" s="62">
        <v>-1.3846975138869677</v>
      </c>
      <c r="AS59" s="62">
        <v>-6.6679576791735196</v>
      </c>
      <c r="AT59" s="62">
        <v>-9.5153927748614429</v>
      </c>
      <c r="AU59" s="62">
        <v>-10.489905647309794</v>
      </c>
      <c r="AV59" s="62">
        <v>-9.7753982703100757</v>
      </c>
      <c r="AW59" s="62">
        <v>-7.9287549954061509</v>
      </c>
      <c r="AX59" s="62">
        <v>-6.0496022539697218</v>
      </c>
      <c r="AY59" s="62">
        <v>-5.0452377812081455</v>
      </c>
      <c r="AZ59" s="62">
        <v>-6.3386398835766027</v>
      </c>
      <c r="BA59" s="62">
        <v>-4.6143013072869055</v>
      </c>
      <c r="BB59" s="62">
        <v>-3.8205075772165809</v>
      </c>
      <c r="BC59" s="62">
        <v>-2.398547339504431</v>
      </c>
      <c r="BD59" s="62">
        <v>-2.2633606529202654</v>
      </c>
      <c r="BE59" s="62">
        <v>-6.4119860291861119</v>
      </c>
      <c r="BF59" s="62">
        <v>-5.6920483376728619</v>
      </c>
      <c r="BG59" s="62">
        <v>-9.3681614651969234</v>
      </c>
      <c r="BH59" s="62">
        <v>-10.921204520281469</v>
      </c>
      <c r="BI59" s="62">
        <v>-10.373000162543677</v>
      </c>
      <c r="BJ59" s="62">
        <v>-9.268109744766118</v>
      </c>
      <c r="BK59" s="62">
        <v>-5.0098119227160893</v>
      </c>
      <c r="BL59" s="62">
        <v>0.547339907939004</v>
      </c>
      <c r="BM59" s="62">
        <v>8.2835451318397535</v>
      </c>
      <c r="BN59" s="62">
        <v>11.27272755005726</v>
      </c>
      <c r="BO59" s="62">
        <v>12.006444731276877</v>
      </c>
      <c r="BP59" s="62">
        <v>7.5977952486625089</v>
      </c>
      <c r="BQ59" s="62">
        <v>1.7787366732768595</v>
      </c>
      <c r="BR59" s="62">
        <v>-4.0726051507955834</v>
      </c>
      <c r="BS59" s="62">
        <v>-7.6402908903005162</v>
      </c>
      <c r="BT59" s="62">
        <v>-6.5421643606729196</v>
      </c>
      <c r="BU59" s="62">
        <v>-7.9026089689849366</v>
      </c>
      <c r="BV59" s="62">
        <v>-9.4649217680396358</v>
      </c>
      <c r="BW59" s="62">
        <v>-12.63235241710009</v>
      </c>
      <c r="BX59" s="62">
        <v>-17.956049965802912</v>
      </c>
      <c r="BY59" s="62">
        <v>-20.989439899272845</v>
      </c>
      <c r="BZ59" s="62">
        <v>-18.536379955274818</v>
      </c>
      <c r="CA59" s="62">
        <v>-12.358381076787495</v>
      </c>
      <c r="CB59" s="62">
        <v>-3.5544886825144006</v>
      </c>
      <c r="CC59" s="62">
        <v>3.9887556495694199</v>
      </c>
      <c r="CD59" s="62">
        <v>8.2777447834345494</v>
      </c>
      <c r="CE59" s="62">
        <v>8.0458510584111131</v>
      </c>
      <c r="CF59" s="62">
        <v>5.3691752011551186</v>
      </c>
      <c r="CG59" s="62">
        <v>6.2486037545222306</v>
      </c>
      <c r="CH59" s="62">
        <v>3.6608902324525294</v>
      </c>
      <c r="CI59" s="62">
        <v>3.8186955570849834</v>
      </c>
      <c r="CJ59" s="62">
        <v>3.4463308623386979</v>
      </c>
      <c r="CK59" s="62">
        <v>2.2798589656325419</v>
      </c>
      <c r="CL59" s="62">
        <v>2.2254334299685485</v>
      </c>
      <c r="CM59" s="62">
        <v>-3.283700637963749</v>
      </c>
      <c r="CN59" s="62">
        <v>-11.25714838011751</v>
      </c>
      <c r="CO59" s="62">
        <v>-15.427591756809889</v>
      </c>
      <c r="CP59" s="62">
        <v>-15.667457523798877</v>
      </c>
      <c r="CQ59" s="62">
        <v>-11.215147916337177</v>
      </c>
      <c r="CR59" s="62">
        <v>-4.8033007798768175</v>
      </c>
      <c r="CS59" s="62">
        <v>-0.85618901764158428</v>
      </c>
      <c r="CT59" s="62">
        <v>-0.79938627280840002</v>
      </c>
      <c r="CU59" s="62">
        <v>-3.6769030195155206</v>
      </c>
      <c r="CV59" s="62">
        <v>-3.8050484534154605</v>
      </c>
      <c r="CW59" s="62">
        <v>-3.6663083963656251</v>
      </c>
    </row>
    <row r="60" spans="1:101" s="37" customFormat="1" ht="16.5" customHeight="1" thickBot="1">
      <c r="A60" s="47"/>
      <c r="B60" s="48" t="s">
        <v>136</v>
      </c>
      <c r="C60" s="60" t="s">
        <v>8</v>
      </c>
      <c r="D60" s="63" t="s">
        <v>8</v>
      </c>
      <c r="E60" s="63" t="s">
        <v>8</v>
      </c>
      <c r="F60" s="63" t="s">
        <v>8</v>
      </c>
      <c r="G60" s="63">
        <v>-6.4358351330305874</v>
      </c>
      <c r="H60" s="63">
        <v>-3.5301650896446102</v>
      </c>
      <c r="I60" s="63">
        <v>-1.0925961869726053</v>
      </c>
      <c r="J60" s="63">
        <v>1.2950594614704602</v>
      </c>
      <c r="K60" s="63">
        <v>2.7226455197359112</v>
      </c>
      <c r="L60" s="63">
        <v>3.7272698996047904</v>
      </c>
      <c r="M60" s="63">
        <v>4.7030159123558235</v>
      </c>
      <c r="N60" s="63">
        <v>5.328237579478623</v>
      </c>
      <c r="O60" s="63">
        <v>5.8819138509156543</v>
      </c>
      <c r="P60" s="63">
        <v>6.3560158865201277</v>
      </c>
      <c r="Q60" s="63">
        <v>7.8436065751414041</v>
      </c>
      <c r="R60" s="63">
        <v>8.2277080136114566</v>
      </c>
      <c r="S60" s="63">
        <v>8.5454456432539452</v>
      </c>
      <c r="T60" s="63">
        <v>8.5142372480470954</v>
      </c>
      <c r="U60" s="63">
        <v>7.2937883345329801</v>
      </c>
      <c r="V60" s="63">
        <v>6.2631848589166816</v>
      </c>
      <c r="W60" s="63">
        <v>5.7650794141797412</v>
      </c>
      <c r="X60" s="63">
        <v>5.3950533505299436</v>
      </c>
      <c r="Y60" s="63">
        <v>5.1605612171141235</v>
      </c>
      <c r="Z60" s="63">
        <v>5.5397416557832369</v>
      </c>
      <c r="AA60" s="63">
        <v>5.6157595612163824</v>
      </c>
      <c r="AB60" s="63">
        <v>5.5120098105867044</v>
      </c>
      <c r="AC60" s="63">
        <v>5.900353543567971</v>
      </c>
      <c r="AD60" s="63">
        <v>5.4917638013444403</v>
      </c>
      <c r="AE60" s="63">
        <v>3.4203302943867531</v>
      </c>
      <c r="AF60" s="63">
        <v>1.1145789694714914</v>
      </c>
      <c r="AG60" s="63">
        <v>-0.85611231394682186</v>
      </c>
      <c r="AH60" s="63">
        <v>-1.8532530104063527</v>
      </c>
      <c r="AI60" s="63">
        <v>-1.3856154653171027</v>
      </c>
      <c r="AJ60" s="63">
        <v>0.50803249393918115</v>
      </c>
      <c r="AK60" s="63">
        <v>1.959569275358497</v>
      </c>
      <c r="AL60" s="63">
        <v>3.3308405128638752</v>
      </c>
      <c r="AM60" s="63">
        <v>4.3206446828241374</v>
      </c>
      <c r="AN60" s="63">
        <v>4.6920397257214974</v>
      </c>
      <c r="AO60" s="63">
        <v>4.3610580282839484</v>
      </c>
      <c r="AP60" s="63">
        <v>4.159371614254459</v>
      </c>
      <c r="AQ60" s="63">
        <v>3.9144629223116345</v>
      </c>
      <c r="AR60" s="63">
        <v>2.7056374841376352</v>
      </c>
      <c r="AS60" s="63">
        <v>1.9999200218496771</v>
      </c>
      <c r="AT60" s="63">
        <v>0.52674397751504287</v>
      </c>
      <c r="AU60" s="63">
        <v>-0.56176648965121645</v>
      </c>
      <c r="AV60" s="63">
        <v>-0.21969046143686111</v>
      </c>
      <c r="AW60" s="63">
        <v>-0.11581517347754033</v>
      </c>
      <c r="AX60" s="63">
        <v>0.73902010536710527</v>
      </c>
      <c r="AY60" s="63">
        <v>1.4648562872471294</v>
      </c>
      <c r="AZ60" s="63">
        <v>1.4893267083528006</v>
      </c>
      <c r="BA60" s="63">
        <v>1.259275330196008</v>
      </c>
      <c r="BB60" s="63">
        <v>0.90640334388576438</v>
      </c>
      <c r="BC60" s="63">
        <v>0.25974714095733376</v>
      </c>
      <c r="BD60" s="63">
        <v>0.23625163022409357</v>
      </c>
      <c r="BE60" s="63">
        <v>0.53631914603553543</v>
      </c>
      <c r="BF60" s="63">
        <v>1.0357722736418884</v>
      </c>
      <c r="BG60" s="63">
        <v>1.72013790259129</v>
      </c>
      <c r="BH60" s="63">
        <v>1.9932521594583363</v>
      </c>
      <c r="BI60" s="63">
        <v>1.9016021446719877</v>
      </c>
      <c r="BJ60" s="63">
        <v>1.3671655030496277</v>
      </c>
      <c r="BK60" s="63">
        <v>1.2064221102122241</v>
      </c>
      <c r="BL60" s="63">
        <v>1.2634856800384897</v>
      </c>
      <c r="BM60" s="63">
        <v>1.3282156014953195</v>
      </c>
      <c r="BN60" s="63">
        <v>1.6092863282016978</v>
      </c>
      <c r="BO60" s="63">
        <v>1.8490567844713146</v>
      </c>
      <c r="BP60" s="63">
        <v>1.3702695749169269</v>
      </c>
      <c r="BQ60" s="63">
        <v>0.91567792066942211</v>
      </c>
      <c r="BR60" s="63">
        <v>7.9109399509036393E-2</v>
      </c>
      <c r="BS60" s="63">
        <v>-1.1260247935291678</v>
      </c>
      <c r="BT60" s="63">
        <v>-1.3887843084181117</v>
      </c>
      <c r="BU60" s="63">
        <v>-1.5951308214174564</v>
      </c>
      <c r="BV60" s="63">
        <v>-1.3612006498311402</v>
      </c>
      <c r="BW60" s="63">
        <v>-0.97748561521379118</v>
      </c>
      <c r="BX60" s="63">
        <v>-0.88044382605413363</v>
      </c>
      <c r="BY60" s="63">
        <v>-1.2147239670260435</v>
      </c>
      <c r="BZ60" s="63">
        <v>-1.3291657711075433</v>
      </c>
      <c r="CA60" s="63">
        <v>-1.6417914001025657</v>
      </c>
      <c r="CB60" s="63">
        <v>-1.5007202340129422</v>
      </c>
      <c r="CC60" s="63">
        <v>-0.95882426642718288</v>
      </c>
      <c r="CD60" s="63">
        <v>-0.77588290335245391</v>
      </c>
      <c r="CE60" s="63">
        <v>0.47012310033329729</v>
      </c>
      <c r="CF60" s="63">
        <v>1.0117666136203241</v>
      </c>
      <c r="CG60" s="63">
        <v>1.723923074867395</v>
      </c>
      <c r="CH60" s="63">
        <v>2.3925800773965555</v>
      </c>
      <c r="CI60" s="63">
        <v>2.1674883819856383</v>
      </c>
      <c r="CJ60" s="63">
        <v>2.0548395679157894</v>
      </c>
      <c r="CK60" s="63">
        <v>2.0255747875917551</v>
      </c>
      <c r="CL60" s="63">
        <v>2.0526951683697003</v>
      </c>
      <c r="CM60" s="63">
        <v>1.8115204130290774</v>
      </c>
      <c r="CN60" s="63">
        <v>1.2062304891726772</v>
      </c>
      <c r="CO60" s="63">
        <v>-1.8279264237242021E-2</v>
      </c>
      <c r="CP60" s="63">
        <v>-0.61539704305699772</v>
      </c>
      <c r="CQ60" s="63">
        <v>-0.51184472935947856</v>
      </c>
      <c r="CR60" s="63">
        <v>-0.51768156917089136</v>
      </c>
      <c r="CS60" s="63">
        <v>-0.32453949728410425</v>
      </c>
      <c r="CT60" s="63">
        <v>-0.65799623005470265</v>
      </c>
      <c r="CU60" s="63">
        <v>-0.95937867180141412</v>
      </c>
      <c r="CV60" s="63">
        <v>-0.92503422794675272</v>
      </c>
      <c r="CW60" s="63">
        <v>-0.64561361165050846</v>
      </c>
    </row>
    <row r="61" spans="1:101" s="37" customFormat="1" ht="11.25" customHeight="1">
      <c r="A61" s="45"/>
      <c r="B61" s="46"/>
      <c r="C61" s="64"/>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row>
    <row r="62" spans="1:101" s="37" customFormat="1" ht="16.5" customHeight="1">
      <c r="A62" s="49" t="s">
        <v>140</v>
      </c>
      <c r="B62" s="16"/>
      <c r="C62" s="8"/>
      <c r="D62" s="12"/>
      <c r="E62" s="12"/>
      <c r="F62" s="8"/>
      <c r="G62" s="12"/>
      <c r="H62" s="12"/>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row>
    <row r="63" spans="1:101" s="37" customFormat="1" ht="16.5" customHeight="1">
      <c r="A63" s="246" t="s">
        <v>19</v>
      </c>
      <c r="B63" s="246"/>
      <c r="C63" s="246"/>
      <c r="D63" s="246"/>
      <c r="E63" s="246"/>
      <c r="F63" s="246"/>
      <c r="G63" s="246"/>
      <c r="H63" s="246"/>
      <c r="I63" s="246"/>
      <c r="J63" s="246"/>
      <c r="K63" s="246"/>
      <c r="L63" s="246"/>
      <c r="M63" s="246"/>
      <c r="N63" s="246"/>
      <c r="O63" s="246"/>
      <c r="P63" s="246"/>
      <c r="Q63" s="246"/>
      <c r="R63" s="246"/>
      <c r="S63" s="246"/>
      <c r="T63" s="246"/>
      <c r="U63" s="246"/>
      <c r="V63" s="246"/>
      <c r="W63" s="246"/>
      <c r="X63" s="246"/>
      <c r="Y63" s="246"/>
      <c r="Z63" s="246"/>
      <c r="AA63" s="246"/>
      <c r="AB63" s="246"/>
      <c r="AC63" s="246"/>
      <c r="AD63" s="246"/>
      <c r="AE63" s="246"/>
      <c r="AF63" s="246"/>
      <c r="AG63" s="246"/>
      <c r="AH63" s="246"/>
      <c r="AI63" s="246"/>
      <c r="AJ63" s="246"/>
      <c r="AK63" s="246"/>
      <c r="AL63" s="246"/>
      <c r="AM63" s="246"/>
      <c r="AN63" s="246"/>
      <c r="AO63" s="246"/>
      <c r="AP63" s="246"/>
      <c r="AQ63" s="246"/>
      <c r="AR63" s="246"/>
      <c r="AS63" s="246"/>
      <c r="AT63" s="246"/>
      <c r="AU63" s="246"/>
      <c r="AV63" s="246"/>
      <c r="AW63" s="246"/>
      <c r="AX63" s="246"/>
      <c r="AY63" s="246"/>
      <c r="AZ63" s="246"/>
      <c r="BA63" s="246"/>
      <c r="BB63" s="246"/>
      <c r="BC63" s="246"/>
      <c r="BD63" s="246"/>
      <c r="BE63" s="246"/>
      <c r="BF63" s="246"/>
      <c r="BG63" s="246"/>
      <c r="BH63" s="2"/>
      <c r="BI63" s="2"/>
      <c r="BJ63" s="2"/>
      <c r="BK63" s="2"/>
      <c r="BL63" s="2"/>
      <c r="BM63" s="2"/>
      <c r="BN63" s="45"/>
      <c r="BO63" s="45"/>
      <c r="BP63" s="45"/>
      <c r="BQ63" s="45"/>
      <c r="BR63" s="45"/>
      <c r="BS63" s="45"/>
      <c r="BT63" s="45"/>
      <c r="BU63" s="45"/>
      <c r="BV63" s="45"/>
      <c r="BW63" s="45"/>
      <c r="BX63" s="45"/>
      <c r="BY63" s="45"/>
      <c r="BZ63" s="45"/>
      <c r="CA63" s="45"/>
      <c r="CB63" s="45"/>
      <c r="CC63" s="45"/>
      <c r="CD63" s="45"/>
      <c r="CE63" s="45"/>
      <c r="CF63" s="45"/>
      <c r="CG63" s="45"/>
      <c r="CH63" s="45"/>
      <c r="CI63" s="45"/>
      <c r="CJ63" s="45"/>
      <c r="CK63" s="45"/>
      <c r="CL63" s="45"/>
      <c r="CM63" s="45"/>
      <c r="CN63" s="45"/>
      <c r="CO63" s="45"/>
      <c r="CP63" s="45"/>
      <c r="CQ63" s="45"/>
      <c r="CR63" s="45"/>
      <c r="CS63" s="45"/>
      <c r="CT63" s="45"/>
      <c r="CU63" s="45"/>
      <c r="CV63" s="45"/>
      <c r="CW63" s="45"/>
    </row>
    <row r="64" spans="1:101" s="10" customFormat="1" ht="17.25" customHeight="1">
      <c r="A64" s="236" t="s">
        <v>141</v>
      </c>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c r="AI64" s="236"/>
      <c r="AJ64" s="236"/>
      <c r="AK64" s="236"/>
      <c r="AL64" s="236"/>
      <c r="AM64" s="236"/>
      <c r="AN64" s="236"/>
      <c r="AO64" s="236"/>
      <c r="AP64" s="236"/>
      <c r="AQ64" s="236"/>
      <c r="AR64" s="236"/>
      <c r="AS64" s="236"/>
      <c r="AT64" s="236"/>
      <c r="AU64" s="236"/>
      <c r="AV64" s="236"/>
      <c r="AW64" s="236"/>
      <c r="AX64" s="236"/>
      <c r="AY64" s="236"/>
      <c r="AZ64" s="236"/>
      <c r="BA64" s="236"/>
      <c r="BB64" s="236"/>
      <c r="BC64" s="236"/>
      <c r="BD64" s="236"/>
      <c r="BE64" s="236"/>
      <c r="BF64" s="236"/>
      <c r="BG64" s="236"/>
      <c r="BH64" s="236"/>
      <c r="BI64" s="236"/>
      <c r="BJ64" s="236"/>
      <c r="BK64" s="236"/>
      <c r="BL64" s="236"/>
      <c r="BM64" s="236"/>
      <c r="BN64" s="236"/>
      <c r="BO64" s="50"/>
      <c r="BP64" s="50"/>
      <c r="BQ64" s="50"/>
      <c r="BR64" s="50"/>
      <c r="BS64" s="50"/>
      <c r="BT64" s="50"/>
      <c r="BU64" s="50"/>
      <c r="BV64" s="50"/>
      <c r="BW64" s="50"/>
      <c r="BX64" s="50"/>
      <c r="BY64" s="50"/>
      <c r="BZ64" s="50"/>
      <c r="CA64" s="50"/>
      <c r="CB64" s="50"/>
      <c r="CC64" s="50"/>
      <c r="CD64" s="50"/>
      <c r="CE64" s="50"/>
      <c r="CF64" s="50"/>
      <c r="CG64" s="50"/>
      <c r="CH64" s="50"/>
      <c r="CI64" s="50"/>
      <c r="CJ64" s="50"/>
      <c r="CK64" s="50"/>
      <c r="CL64" s="50"/>
      <c r="CM64" s="50"/>
      <c r="CN64" s="50"/>
      <c r="CO64" s="50"/>
      <c r="CP64" s="50"/>
      <c r="CQ64" s="50"/>
      <c r="CR64" s="50"/>
      <c r="CS64" s="50"/>
      <c r="CT64" s="50"/>
      <c r="CU64" s="50"/>
      <c r="CV64" s="50"/>
      <c r="CW64" s="50"/>
    </row>
    <row r="65" spans="1:98" ht="12.75" customHeight="1">
      <c r="A65" s="51"/>
      <c r="B65" s="52"/>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c r="AC65" s="65"/>
      <c r="AD65" s="65"/>
      <c r="AE65" s="65"/>
      <c r="AF65" s="65"/>
      <c r="AG65" s="65"/>
      <c r="AH65" s="65"/>
      <c r="AI65" s="65"/>
      <c r="AJ65" s="65"/>
      <c r="AK65" s="65"/>
      <c r="AL65" s="65"/>
      <c r="AM65" s="65"/>
      <c r="AN65" s="65"/>
      <c r="AO65" s="65"/>
      <c r="AP65" s="65"/>
      <c r="AQ65" s="65"/>
      <c r="AR65" s="65"/>
      <c r="AS65" s="65"/>
      <c r="AT65" s="65"/>
      <c r="AU65" s="65"/>
      <c r="AV65" s="65"/>
      <c r="AW65" s="65"/>
      <c r="AX65" s="65"/>
      <c r="AY65" s="65"/>
      <c r="AZ65" s="65"/>
      <c r="BA65" s="65"/>
      <c r="BB65" s="65"/>
      <c r="BC65" s="65"/>
      <c r="BD65" s="65"/>
      <c r="BE65" s="65"/>
      <c r="BF65" s="65"/>
      <c r="BG65" s="65"/>
      <c r="BH65" s="65"/>
      <c r="BI65" s="65"/>
      <c r="BJ65" s="65"/>
      <c r="BK65" s="65"/>
      <c r="BL65" s="65"/>
      <c r="BM65" s="65"/>
      <c r="BN65" s="65"/>
      <c r="BO65" s="65"/>
      <c r="BP65" s="65"/>
      <c r="BQ65" s="65"/>
      <c r="BR65" s="65"/>
      <c r="BS65" s="65"/>
      <c r="BT65" s="65"/>
      <c r="BU65" s="65"/>
      <c r="BV65" s="65"/>
      <c r="BW65" s="65"/>
      <c r="BX65" s="65"/>
      <c r="BY65" s="65"/>
      <c r="BZ65" s="65"/>
      <c r="CA65" s="65"/>
      <c r="CB65" s="65"/>
      <c r="CC65" s="65"/>
      <c r="CD65" s="65"/>
      <c r="CE65" s="65"/>
      <c r="CF65" s="65"/>
      <c r="CG65" s="65"/>
      <c r="CH65" s="65"/>
      <c r="CI65" s="65"/>
      <c r="CJ65" s="65"/>
      <c r="CK65" s="65"/>
      <c r="CL65" s="65"/>
      <c r="CM65" s="65"/>
      <c r="CN65" s="65"/>
      <c r="CO65" s="65"/>
      <c r="CP65" s="65"/>
      <c r="CQ65" s="65"/>
      <c r="CR65" s="65"/>
      <c r="CS65" s="65"/>
      <c r="CT65" s="65"/>
    </row>
    <row r="66" spans="1:98" ht="12.75" customHeight="1">
      <c r="X66" s="67"/>
    </row>
    <row r="67" spans="1:98" hidden="1">
      <c r="X67" s="67"/>
    </row>
  </sheetData>
  <mergeCells count="6">
    <mergeCell ref="A64:BN64"/>
    <mergeCell ref="A1:BG1"/>
    <mergeCell ref="A2:BN2"/>
    <mergeCell ref="A3:BN3"/>
    <mergeCell ref="A4:B4"/>
    <mergeCell ref="A63:BG63"/>
  </mergeCells>
  <printOptions horizontalCentered="1" verticalCentered="1"/>
  <pageMargins left="0.39370078740157483" right="0.39370078740157483" top="0.39370078740157483" bottom="0.39370078740157483" header="0.51181102362204722" footer="0.51181102362204722"/>
  <pageSetup paperSize="5" scale="23" orientation="landscape" r:id="rId1"/>
  <headerFooter alignWithMargins="0"/>
</worksheet>
</file>

<file path=xl/worksheets/sheet5.xml><?xml version="1.0" encoding="utf-8"?>
<worksheet xmlns="http://schemas.openxmlformats.org/spreadsheetml/2006/main" xmlns:r="http://schemas.openxmlformats.org/officeDocument/2006/relationships">
  <sheetPr codeName="Hoja5">
    <tabColor theme="3"/>
  </sheetPr>
  <dimension ref="A1:KQ54"/>
  <sheetViews>
    <sheetView showGridLines="0" zoomScale="85" zoomScaleNormal="85" zoomScaleSheetLayoutView="100" workbookViewId="0">
      <pane xSplit="2" ySplit="4" topLeftCell="C5" activePane="bottomRight" state="frozenSplit"/>
      <selection activeCell="H27" sqref="H27"/>
      <selection pane="topRight" activeCell="H27" sqref="H27"/>
      <selection pane="bottomLeft" activeCell="H27" sqref="H27"/>
      <selection pane="bottomRight" activeCell="C5" sqref="C5"/>
    </sheetView>
  </sheetViews>
  <sheetFormatPr baseColWidth="10" defaultColWidth="0" defaultRowHeight="12.75" zeroHeight="1"/>
  <cols>
    <col min="1" max="1" width="4.7109375" style="116" customWidth="1"/>
    <col min="2" max="2" width="55.42578125" style="116" customWidth="1"/>
    <col min="3" max="235" width="9" style="118" customWidth="1"/>
    <col min="236" max="291" width="11.7109375" style="118" customWidth="1"/>
    <col min="292" max="301" width="11.7109375" style="222" customWidth="1"/>
    <col min="302" max="302" width="11.42578125" style="119" customWidth="1"/>
    <col min="303" max="303" width="0" style="119" hidden="1" customWidth="1"/>
    <col min="304" max="16384" width="11.42578125" style="119" hidden="1"/>
  </cols>
  <sheetData>
    <row r="1" spans="1:301" s="7" customFormat="1" ht="21" customHeight="1">
      <c r="A1" s="247" t="s">
        <v>10</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c r="BB1" s="247"/>
      <c r="BC1" s="247"/>
      <c r="BD1" s="247"/>
      <c r="BE1" s="247"/>
      <c r="BF1" s="247"/>
      <c r="BG1" s="247"/>
      <c r="BH1" s="247"/>
      <c r="BI1" s="247"/>
      <c r="BJ1" s="247"/>
      <c r="BK1" s="247"/>
      <c r="BL1" s="247"/>
      <c r="BM1" s="247"/>
      <c r="BN1" s="247"/>
      <c r="BO1" s="247"/>
      <c r="BP1" s="247"/>
      <c r="BQ1" s="247"/>
      <c r="BR1" s="247"/>
      <c r="BS1" s="247"/>
      <c r="BT1" s="247"/>
      <c r="BU1" s="247"/>
      <c r="BV1" s="247"/>
      <c r="BW1" s="247"/>
      <c r="BX1" s="247"/>
      <c r="BY1" s="247"/>
      <c r="BZ1" s="247"/>
      <c r="CA1" s="247"/>
      <c r="CB1" s="247"/>
      <c r="CC1" s="247"/>
      <c r="CD1" s="247"/>
      <c r="CE1" s="247"/>
      <c r="CF1" s="247"/>
      <c r="CG1" s="247"/>
      <c r="CH1" s="247"/>
      <c r="CI1" s="247"/>
      <c r="CJ1" s="247"/>
      <c r="CK1" s="247"/>
      <c r="CL1" s="247"/>
      <c r="CM1" s="247"/>
      <c r="CN1" s="247"/>
      <c r="CO1" s="247"/>
      <c r="CP1" s="247"/>
      <c r="CQ1" s="247"/>
      <c r="CR1" s="247"/>
      <c r="CS1" s="247"/>
      <c r="CT1" s="247"/>
      <c r="CU1" s="247"/>
      <c r="CV1" s="247"/>
      <c r="CW1" s="247"/>
      <c r="CX1" s="247"/>
      <c r="CY1" s="247"/>
      <c r="CZ1" s="247"/>
      <c r="DA1" s="247"/>
      <c r="DB1" s="247"/>
      <c r="DC1" s="247"/>
      <c r="DD1" s="247"/>
      <c r="DE1" s="247"/>
      <c r="DF1" s="247"/>
      <c r="DG1" s="247"/>
      <c r="DH1" s="247"/>
      <c r="DI1" s="247"/>
      <c r="DJ1" s="247"/>
      <c r="DK1" s="247"/>
      <c r="DL1" s="247"/>
      <c r="DM1" s="247"/>
      <c r="DN1" s="247"/>
      <c r="DO1" s="247"/>
      <c r="DP1" s="247"/>
      <c r="DQ1" s="247"/>
      <c r="DR1" s="247"/>
      <c r="DS1" s="247"/>
      <c r="DT1" s="247"/>
      <c r="DU1" s="247"/>
      <c r="DV1" s="247"/>
      <c r="DW1" s="247"/>
      <c r="DX1" s="247"/>
      <c r="DY1" s="247"/>
      <c r="DZ1" s="247"/>
      <c r="EA1" s="247"/>
      <c r="EB1" s="247"/>
      <c r="EC1" s="247"/>
      <c r="ED1" s="247"/>
      <c r="EE1" s="247"/>
      <c r="EF1" s="247"/>
      <c r="EG1" s="247"/>
      <c r="EH1" s="247"/>
      <c r="EI1" s="247"/>
      <c r="EJ1" s="247"/>
      <c r="EK1" s="247"/>
      <c r="EL1" s="247"/>
      <c r="EM1" s="247"/>
      <c r="EN1" s="247"/>
      <c r="EO1" s="247"/>
      <c r="EP1" s="247"/>
      <c r="EQ1" s="247"/>
      <c r="ER1" s="247"/>
      <c r="ES1" s="247"/>
      <c r="ET1" s="247"/>
      <c r="EU1" s="247"/>
      <c r="EV1" s="247"/>
      <c r="EW1" s="247"/>
      <c r="EX1" s="247"/>
      <c r="EY1" s="247"/>
      <c r="EZ1" s="247"/>
      <c r="FA1" s="247"/>
      <c r="FB1" s="247"/>
      <c r="FC1" s="247"/>
      <c r="FD1" s="247"/>
      <c r="FE1" s="247"/>
      <c r="FF1" s="247"/>
      <c r="FG1" s="247"/>
      <c r="FH1" s="247"/>
      <c r="FI1" s="247"/>
      <c r="FJ1" s="247"/>
      <c r="FK1" s="247"/>
      <c r="FL1" s="247"/>
      <c r="FM1" s="247"/>
      <c r="FN1" s="247"/>
      <c r="FO1" s="247"/>
      <c r="FP1" s="247"/>
      <c r="FQ1" s="247"/>
      <c r="FR1" s="247"/>
      <c r="FS1" s="247"/>
      <c r="FT1" s="247"/>
      <c r="FU1" s="247"/>
      <c r="FV1" s="247"/>
      <c r="FW1" s="247"/>
      <c r="FX1" s="247"/>
      <c r="FY1" s="247"/>
      <c r="FZ1" s="247"/>
      <c r="GA1" s="247"/>
      <c r="GB1" s="247"/>
      <c r="GC1" s="247"/>
      <c r="GD1" s="247"/>
      <c r="GE1" s="247"/>
      <c r="GF1" s="247"/>
      <c r="GG1" s="247"/>
      <c r="GH1" s="247"/>
      <c r="GI1" s="247"/>
      <c r="GJ1" s="247"/>
      <c r="GK1" s="247"/>
      <c r="GL1" s="247"/>
      <c r="GM1" s="247"/>
      <c r="GN1" s="247"/>
      <c r="GO1" s="247"/>
    </row>
    <row r="2" spans="1:301" s="7" customFormat="1" ht="23.25" customHeight="1">
      <c r="A2" s="252" t="s">
        <v>144</v>
      </c>
      <c r="B2" s="252"/>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c r="AM2" s="252"/>
      <c r="AN2" s="252"/>
      <c r="AO2" s="252"/>
      <c r="AP2" s="252"/>
      <c r="AQ2" s="252"/>
      <c r="AR2" s="252"/>
      <c r="AS2" s="252"/>
      <c r="AT2" s="252"/>
      <c r="AU2" s="252"/>
      <c r="AV2" s="252"/>
      <c r="AW2" s="252"/>
      <c r="AX2" s="252"/>
      <c r="AY2" s="252"/>
      <c r="AZ2" s="252"/>
      <c r="BA2" s="252"/>
      <c r="BB2" s="252"/>
      <c r="BC2" s="252"/>
      <c r="BD2" s="252"/>
      <c r="BE2" s="252"/>
      <c r="BF2" s="252"/>
      <c r="BG2" s="252"/>
      <c r="BH2" s="252"/>
      <c r="BI2" s="252"/>
      <c r="BJ2" s="252"/>
      <c r="BK2" s="252"/>
      <c r="BL2" s="252"/>
      <c r="BM2" s="252"/>
      <c r="BN2" s="252"/>
      <c r="BO2" s="252"/>
      <c r="BP2" s="252"/>
      <c r="BQ2" s="252"/>
      <c r="BR2" s="252"/>
      <c r="BS2" s="252"/>
      <c r="BT2" s="252"/>
      <c r="BU2" s="252"/>
      <c r="BV2" s="252"/>
      <c r="BW2" s="252"/>
      <c r="BX2" s="252"/>
      <c r="BY2" s="252"/>
      <c r="BZ2" s="252"/>
      <c r="CA2" s="252"/>
      <c r="CB2" s="252"/>
      <c r="CC2" s="252"/>
      <c r="CD2" s="252"/>
      <c r="CE2" s="252"/>
      <c r="CF2" s="252"/>
      <c r="CG2" s="252"/>
      <c r="CH2" s="252"/>
      <c r="CI2" s="252"/>
      <c r="CJ2" s="252"/>
      <c r="CK2" s="252"/>
      <c r="CL2" s="252"/>
      <c r="CM2" s="252"/>
      <c r="CN2" s="252"/>
      <c r="CO2" s="252"/>
      <c r="CP2" s="252"/>
      <c r="CQ2" s="252"/>
      <c r="CR2" s="252"/>
      <c r="CS2" s="252"/>
      <c r="CT2" s="252"/>
      <c r="CU2" s="252"/>
      <c r="CV2" s="252"/>
      <c r="CW2" s="252"/>
      <c r="CX2" s="252"/>
      <c r="CY2" s="252"/>
      <c r="CZ2" s="252"/>
      <c r="DA2" s="252"/>
      <c r="DB2" s="252"/>
      <c r="DC2" s="252"/>
      <c r="DD2" s="252"/>
      <c r="DE2" s="252"/>
      <c r="DF2" s="252"/>
      <c r="DG2" s="252"/>
      <c r="DH2" s="252"/>
      <c r="DI2" s="252"/>
      <c r="DJ2" s="252"/>
      <c r="DK2" s="252"/>
      <c r="DL2" s="252"/>
      <c r="DM2" s="252"/>
      <c r="DN2" s="252"/>
      <c r="DO2" s="252"/>
      <c r="DP2" s="252"/>
      <c r="DQ2" s="252"/>
      <c r="DR2" s="252"/>
      <c r="DS2" s="252"/>
      <c r="DT2" s="252"/>
      <c r="DU2" s="252"/>
      <c r="DV2" s="252"/>
      <c r="DW2" s="252"/>
      <c r="DX2" s="252"/>
      <c r="DY2" s="252"/>
      <c r="DZ2" s="252"/>
      <c r="EA2" s="252"/>
      <c r="EB2" s="252"/>
      <c r="EC2" s="252"/>
      <c r="ED2" s="252"/>
      <c r="EE2" s="252"/>
      <c r="EF2" s="252"/>
      <c r="EG2" s="252"/>
      <c r="EH2" s="252"/>
      <c r="EI2" s="252"/>
      <c r="EJ2" s="252"/>
      <c r="EK2" s="252"/>
      <c r="EL2" s="252"/>
      <c r="EM2" s="252"/>
      <c r="EN2" s="252"/>
      <c r="EO2" s="252"/>
      <c r="EP2" s="252"/>
      <c r="EQ2" s="252"/>
      <c r="ER2" s="252"/>
      <c r="ES2" s="252"/>
      <c r="ET2" s="252"/>
      <c r="EU2" s="252"/>
      <c r="EV2" s="252"/>
      <c r="EW2" s="252"/>
      <c r="EX2" s="252"/>
      <c r="EY2" s="252"/>
      <c r="EZ2" s="252"/>
      <c r="FA2" s="252"/>
      <c r="FB2" s="252"/>
      <c r="FC2" s="252"/>
      <c r="FD2" s="252"/>
      <c r="FE2" s="252"/>
      <c r="FF2" s="252"/>
      <c r="FG2" s="252"/>
      <c r="FH2" s="252"/>
      <c r="FI2" s="252"/>
      <c r="FJ2" s="252"/>
      <c r="FK2" s="252"/>
      <c r="FL2" s="252"/>
      <c r="FM2" s="252"/>
      <c r="FN2" s="252"/>
      <c r="FO2" s="252"/>
      <c r="FP2" s="252"/>
      <c r="FQ2" s="252"/>
      <c r="FR2" s="252"/>
      <c r="FS2" s="252"/>
      <c r="FT2" s="252"/>
      <c r="FU2" s="252"/>
      <c r="FV2" s="252"/>
      <c r="FW2" s="252"/>
      <c r="FX2" s="252"/>
      <c r="FY2" s="252"/>
      <c r="FZ2" s="252"/>
      <c r="GA2" s="252"/>
      <c r="GB2" s="252"/>
      <c r="GC2" s="252"/>
      <c r="GD2" s="252"/>
      <c r="GE2" s="252"/>
      <c r="GF2" s="252"/>
      <c r="GG2" s="252"/>
      <c r="GH2" s="252"/>
      <c r="GI2" s="252"/>
      <c r="GJ2" s="252"/>
      <c r="GK2" s="252"/>
      <c r="GL2" s="252"/>
      <c r="GM2" s="252"/>
      <c r="GN2" s="252"/>
      <c r="GO2" s="252"/>
      <c r="GP2" s="34"/>
      <c r="GQ2" s="34"/>
      <c r="GR2" s="34"/>
      <c r="GS2" s="34"/>
      <c r="GT2" s="34"/>
      <c r="GU2" s="34"/>
      <c r="GV2" s="34"/>
      <c r="GW2" s="34"/>
      <c r="GX2" s="34"/>
      <c r="GY2" s="34"/>
      <c r="GZ2" s="34"/>
      <c r="HA2" s="34"/>
      <c r="HB2" s="34"/>
      <c r="HC2" s="34"/>
      <c r="HD2" s="34"/>
      <c r="HE2" s="34"/>
      <c r="HF2" s="34"/>
      <c r="HG2" s="34"/>
      <c r="HH2" s="34"/>
      <c r="HI2" s="34"/>
      <c r="HJ2" s="34"/>
      <c r="HK2" s="34"/>
      <c r="HL2" s="34"/>
      <c r="HM2" s="34"/>
      <c r="HN2" s="34"/>
      <c r="HO2" s="34"/>
      <c r="HP2" s="34"/>
      <c r="HQ2" s="34"/>
      <c r="HR2" s="34"/>
      <c r="HS2" s="34"/>
      <c r="HT2" s="34"/>
      <c r="HU2" s="34"/>
      <c r="HV2" s="34"/>
      <c r="HW2" s="34"/>
      <c r="HX2" s="34"/>
      <c r="HY2" s="34"/>
      <c r="HZ2" s="34"/>
      <c r="IA2" s="34"/>
      <c r="IB2" s="34"/>
      <c r="IC2" s="34"/>
      <c r="ID2" s="34"/>
      <c r="IE2" s="34"/>
      <c r="IF2" s="34"/>
      <c r="IG2" s="34"/>
      <c r="IH2" s="34"/>
      <c r="II2" s="34"/>
      <c r="IJ2" s="34"/>
      <c r="IK2" s="34"/>
      <c r="IL2" s="34"/>
      <c r="IM2" s="34"/>
      <c r="IN2" s="34"/>
      <c r="IO2" s="34"/>
      <c r="IP2" s="34"/>
      <c r="IQ2" s="34"/>
      <c r="IR2" s="34"/>
      <c r="IS2" s="34"/>
      <c r="IT2" s="34"/>
      <c r="IU2" s="34"/>
      <c r="IV2" s="34"/>
      <c r="IW2" s="34"/>
      <c r="IX2" s="34"/>
      <c r="IY2" s="34"/>
      <c r="IZ2" s="34"/>
      <c r="JA2" s="34"/>
      <c r="JB2" s="34"/>
      <c r="JC2" s="34"/>
      <c r="JD2" s="34"/>
      <c r="JE2" s="34"/>
      <c r="JF2" s="34"/>
      <c r="JG2" s="34"/>
      <c r="JH2" s="34"/>
      <c r="JI2" s="34"/>
      <c r="JJ2" s="34"/>
      <c r="JK2" s="34"/>
      <c r="JL2" s="34"/>
      <c r="JM2" s="34"/>
      <c r="JN2" s="34"/>
      <c r="JO2" s="34"/>
      <c r="JP2" s="34"/>
      <c r="JQ2" s="34"/>
      <c r="JR2" s="34"/>
      <c r="JS2" s="34"/>
      <c r="JT2" s="34"/>
      <c r="JU2" s="34"/>
      <c r="JV2" s="34"/>
      <c r="JW2" s="34"/>
      <c r="JX2" s="34"/>
      <c r="JY2" s="34"/>
      <c r="JZ2" s="34"/>
      <c r="KA2" s="34"/>
      <c r="KB2" s="34"/>
      <c r="KC2" s="34"/>
      <c r="KD2" s="34"/>
      <c r="KE2" s="34"/>
      <c r="KF2" s="34"/>
      <c r="KG2" s="34"/>
      <c r="KH2" s="34"/>
      <c r="KI2" s="34"/>
      <c r="KJ2" s="34"/>
      <c r="KK2" s="34"/>
      <c r="KL2" s="34"/>
      <c r="KM2" s="34"/>
      <c r="KN2" s="34"/>
      <c r="KO2" s="34"/>
    </row>
    <row r="3" spans="1:301" s="7" customFormat="1" ht="23.25" customHeight="1">
      <c r="A3" s="249" t="s">
        <v>145</v>
      </c>
      <c r="B3" s="249"/>
      <c r="C3" s="249"/>
      <c r="D3" s="249"/>
      <c r="E3" s="249"/>
      <c r="F3" s="249"/>
      <c r="G3" s="249"/>
      <c r="H3" s="249"/>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49"/>
      <c r="AV3" s="249"/>
      <c r="AW3" s="249"/>
      <c r="AX3" s="249"/>
      <c r="AY3" s="249"/>
      <c r="AZ3" s="249"/>
      <c r="BA3" s="249"/>
      <c r="BB3" s="249"/>
      <c r="BC3" s="249"/>
      <c r="BD3" s="249"/>
      <c r="BE3" s="249"/>
      <c r="BF3" s="249"/>
      <c r="BG3" s="249"/>
      <c r="BH3" s="249"/>
      <c r="BI3" s="249"/>
      <c r="BJ3" s="249"/>
      <c r="BK3" s="249"/>
      <c r="BL3" s="249"/>
      <c r="BM3" s="249"/>
      <c r="BN3" s="249"/>
      <c r="BO3" s="249"/>
      <c r="BP3" s="249"/>
      <c r="BQ3" s="249"/>
      <c r="BR3" s="249"/>
      <c r="BS3" s="249"/>
      <c r="BT3" s="249"/>
      <c r="BU3" s="249"/>
      <c r="BV3" s="249"/>
      <c r="BW3" s="249"/>
      <c r="BX3" s="249"/>
      <c r="BY3" s="249"/>
      <c r="BZ3" s="249"/>
      <c r="CA3" s="249"/>
      <c r="CB3" s="249"/>
      <c r="CC3" s="249"/>
      <c r="CD3" s="249"/>
      <c r="CE3" s="249"/>
      <c r="CF3" s="249"/>
      <c r="CG3" s="249"/>
      <c r="CH3" s="249"/>
      <c r="CI3" s="249"/>
      <c r="CJ3" s="249"/>
      <c r="CK3" s="249"/>
      <c r="CL3" s="249"/>
      <c r="CM3" s="249"/>
      <c r="CN3" s="249"/>
      <c r="CO3" s="249"/>
      <c r="CP3" s="249"/>
      <c r="CQ3" s="249"/>
      <c r="CR3" s="249"/>
      <c r="CS3" s="249"/>
      <c r="CT3" s="249"/>
      <c r="CU3" s="249"/>
      <c r="CV3" s="249"/>
      <c r="CW3" s="249"/>
      <c r="CX3" s="249"/>
      <c r="CY3" s="249"/>
      <c r="CZ3" s="249"/>
      <c r="DA3" s="249"/>
      <c r="DB3" s="249"/>
      <c r="DC3" s="249"/>
      <c r="DD3" s="249"/>
      <c r="DE3" s="249"/>
      <c r="DF3" s="249"/>
      <c r="DG3" s="249"/>
      <c r="DH3" s="249"/>
      <c r="DI3" s="249"/>
      <c r="DJ3" s="249"/>
      <c r="DK3" s="249"/>
      <c r="DL3" s="249"/>
      <c r="DM3" s="249"/>
      <c r="DN3" s="249"/>
      <c r="DO3" s="249"/>
      <c r="DP3" s="249"/>
      <c r="DQ3" s="249"/>
      <c r="DR3" s="249"/>
      <c r="DS3" s="249"/>
      <c r="DT3" s="249"/>
      <c r="DU3" s="249"/>
      <c r="DV3" s="249"/>
      <c r="DW3" s="249"/>
      <c r="DX3" s="249"/>
      <c r="DY3" s="249"/>
      <c r="DZ3" s="249"/>
      <c r="EA3" s="249"/>
      <c r="EB3" s="249"/>
      <c r="EC3" s="249"/>
      <c r="ED3" s="249"/>
      <c r="EE3" s="249"/>
      <c r="EF3" s="249"/>
      <c r="EG3" s="249"/>
      <c r="EH3" s="249"/>
      <c r="EI3" s="249"/>
      <c r="EJ3" s="249"/>
      <c r="EK3" s="249"/>
      <c r="EL3" s="249"/>
      <c r="EM3" s="249"/>
      <c r="EN3" s="249"/>
      <c r="EO3" s="249"/>
      <c r="EP3" s="249"/>
      <c r="EQ3" s="249"/>
      <c r="ER3" s="249"/>
      <c r="ES3" s="249"/>
      <c r="ET3" s="249"/>
      <c r="EU3" s="249"/>
      <c r="EV3" s="249"/>
      <c r="EW3" s="249"/>
      <c r="EX3" s="249"/>
      <c r="EY3" s="249"/>
      <c r="EZ3" s="249"/>
      <c r="FA3" s="249"/>
      <c r="FB3" s="249"/>
      <c r="FC3" s="249"/>
      <c r="FD3" s="249"/>
      <c r="FE3" s="249"/>
      <c r="FF3" s="249"/>
      <c r="FG3" s="249"/>
      <c r="FH3" s="249"/>
      <c r="FI3" s="249"/>
      <c r="FJ3" s="249"/>
      <c r="FK3" s="249"/>
      <c r="FL3" s="249"/>
      <c r="FM3" s="249"/>
      <c r="FN3" s="249"/>
      <c r="FO3" s="249"/>
      <c r="FP3" s="249"/>
      <c r="FQ3" s="249"/>
      <c r="FR3" s="249"/>
      <c r="FS3" s="249"/>
      <c r="FT3" s="249"/>
      <c r="FU3" s="249"/>
      <c r="FV3" s="249"/>
      <c r="FW3" s="249"/>
      <c r="FX3" s="249"/>
      <c r="FY3" s="249"/>
      <c r="FZ3" s="249"/>
      <c r="GA3" s="249"/>
      <c r="GB3" s="249"/>
      <c r="GC3" s="249"/>
      <c r="GD3" s="249"/>
      <c r="GE3" s="249"/>
      <c r="GF3" s="249"/>
      <c r="GG3" s="249"/>
      <c r="GH3" s="249"/>
      <c r="GI3" s="249"/>
      <c r="GJ3" s="249"/>
      <c r="GK3" s="249"/>
      <c r="GL3" s="249"/>
      <c r="GM3" s="249"/>
      <c r="GN3" s="249"/>
      <c r="GO3" s="249"/>
      <c r="GP3" s="34"/>
      <c r="GQ3" s="34"/>
      <c r="GR3" s="34"/>
      <c r="GS3" s="34"/>
      <c r="GT3" s="34"/>
      <c r="GU3" s="34"/>
      <c r="GV3" s="34"/>
      <c r="GW3" s="34"/>
      <c r="GX3" s="34"/>
      <c r="GY3" s="34"/>
      <c r="GZ3" s="34"/>
      <c r="HA3" s="34"/>
      <c r="HB3" s="34"/>
      <c r="HC3" s="34"/>
      <c r="HD3" s="34"/>
      <c r="HE3" s="34"/>
      <c r="HF3" s="34"/>
      <c r="HG3" s="34"/>
      <c r="HH3" s="34"/>
      <c r="HI3" s="34"/>
      <c r="HJ3" s="34"/>
      <c r="HK3" s="34"/>
      <c r="HL3" s="34"/>
      <c r="HM3" s="34"/>
      <c r="HN3" s="34"/>
      <c r="HO3" s="34"/>
      <c r="HP3" s="34"/>
      <c r="HQ3" s="34"/>
      <c r="HR3" s="34"/>
      <c r="HS3" s="34"/>
      <c r="HT3" s="34"/>
      <c r="HU3" s="34"/>
      <c r="HV3" s="34"/>
      <c r="HW3" s="34"/>
      <c r="HX3" s="34"/>
      <c r="HY3" s="34"/>
      <c r="HZ3" s="34"/>
      <c r="IA3" s="34"/>
      <c r="IB3" s="34"/>
      <c r="IC3" s="34"/>
      <c r="ID3" s="34"/>
      <c r="IE3" s="34"/>
      <c r="IF3" s="34"/>
      <c r="IG3" s="34"/>
      <c r="IH3" s="34"/>
      <c r="II3" s="34"/>
      <c r="IJ3" s="34"/>
      <c r="IK3" s="34"/>
      <c r="IL3" s="34"/>
      <c r="IM3" s="34"/>
      <c r="IN3" s="34"/>
      <c r="IO3" s="34"/>
      <c r="IP3" s="34"/>
      <c r="IQ3" s="34"/>
      <c r="IR3" s="34"/>
      <c r="IS3" s="34"/>
      <c r="IT3" s="34"/>
      <c r="IU3" s="34"/>
      <c r="IV3" s="34"/>
      <c r="IW3" s="34"/>
      <c r="IX3" s="34"/>
      <c r="IY3" s="34"/>
      <c r="IZ3" s="34"/>
      <c r="JA3" s="34"/>
      <c r="JB3" s="34"/>
      <c r="JC3" s="34"/>
      <c r="JD3" s="34"/>
      <c r="JE3" s="34"/>
      <c r="JF3" s="34"/>
      <c r="JG3" s="34"/>
      <c r="JH3" s="34"/>
      <c r="JI3" s="34"/>
      <c r="JJ3" s="34"/>
      <c r="JK3" s="34"/>
      <c r="JL3" s="34"/>
      <c r="JM3" s="34"/>
      <c r="JN3" s="34"/>
      <c r="JO3" s="34"/>
      <c r="JP3" s="34"/>
      <c r="JQ3" s="34"/>
      <c r="JR3" s="34"/>
      <c r="JS3" s="34"/>
      <c r="JT3" s="34"/>
      <c r="JU3" s="34"/>
      <c r="JV3" s="34"/>
      <c r="JW3" s="34"/>
      <c r="JX3" s="34"/>
      <c r="JY3" s="34"/>
      <c r="JZ3" s="34"/>
      <c r="KA3" s="34"/>
      <c r="KB3" s="34"/>
      <c r="KC3" s="34"/>
      <c r="KD3" s="34"/>
      <c r="KE3" s="34"/>
      <c r="KF3" s="34"/>
      <c r="KG3" s="34"/>
      <c r="KH3" s="34"/>
      <c r="KI3" s="34"/>
      <c r="KJ3" s="34"/>
      <c r="KK3" s="34"/>
      <c r="KL3" s="34"/>
      <c r="KM3" s="34"/>
      <c r="KN3" s="34"/>
      <c r="KO3" s="34"/>
    </row>
    <row r="4" spans="1:301" s="37" customFormat="1" ht="19.5" customHeight="1">
      <c r="A4" s="251" t="s">
        <v>0</v>
      </c>
      <c r="B4" s="251"/>
      <c r="C4" s="36">
        <v>37104</v>
      </c>
      <c r="D4" s="36">
        <v>37135</v>
      </c>
      <c r="E4" s="36">
        <v>37165</v>
      </c>
      <c r="F4" s="36">
        <v>37196</v>
      </c>
      <c r="G4" s="36">
        <v>37226</v>
      </c>
      <c r="H4" s="36">
        <v>37257</v>
      </c>
      <c r="I4" s="36">
        <v>37288</v>
      </c>
      <c r="J4" s="36">
        <v>37316</v>
      </c>
      <c r="K4" s="36">
        <v>37347</v>
      </c>
      <c r="L4" s="36">
        <v>37377</v>
      </c>
      <c r="M4" s="36">
        <v>37408</v>
      </c>
      <c r="N4" s="36">
        <v>37438</v>
      </c>
      <c r="O4" s="36">
        <v>37469</v>
      </c>
      <c r="P4" s="36">
        <v>37500</v>
      </c>
      <c r="Q4" s="36">
        <v>37530</v>
      </c>
      <c r="R4" s="36">
        <v>37561</v>
      </c>
      <c r="S4" s="36">
        <v>37591</v>
      </c>
      <c r="T4" s="36">
        <v>37622</v>
      </c>
      <c r="U4" s="36">
        <v>37653</v>
      </c>
      <c r="V4" s="36">
        <v>37681</v>
      </c>
      <c r="W4" s="36">
        <v>37712</v>
      </c>
      <c r="X4" s="36">
        <v>37742</v>
      </c>
      <c r="Y4" s="36">
        <v>37773</v>
      </c>
      <c r="Z4" s="36">
        <v>37803</v>
      </c>
      <c r="AA4" s="36">
        <v>37834</v>
      </c>
      <c r="AB4" s="36">
        <v>37865</v>
      </c>
      <c r="AC4" s="36">
        <v>37895</v>
      </c>
      <c r="AD4" s="36">
        <v>37926</v>
      </c>
      <c r="AE4" s="36">
        <v>37956</v>
      </c>
      <c r="AF4" s="36">
        <v>37987</v>
      </c>
      <c r="AG4" s="36">
        <v>38018</v>
      </c>
      <c r="AH4" s="36">
        <v>38047</v>
      </c>
      <c r="AI4" s="36">
        <v>38078</v>
      </c>
      <c r="AJ4" s="36">
        <v>38108</v>
      </c>
      <c r="AK4" s="36">
        <v>38139</v>
      </c>
      <c r="AL4" s="36">
        <v>38169</v>
      </c>
      <c r="AM4" s="36">
        <v>38200</v>
      </c>
      <c r="AN4" s="36">
        <v>38231</v>
      </c>
      <c r="AO4" s="36">
        <v>38261</v>
      </c>
      <c r="AP4" s="36">
        <v>38292</v>
      </c>
      <c r="AQ4" s="36">
        <v>38322</v>
      </c>
      <c r="AR4" s="36">
        <v>38353</v>
      </c>
      <c r="AS4" s="36">
        <v>38384</v>
      </c>
      <c r="AT4" s="36">
        <v>38412</v>
      </c>
      <c r="AU4" s="36">
        <v>38443</v>
      </c>
      <c r="AV4" s="36">
        <v>38473</v>
      </c>
      <c r="AW4" s="36">
        <v>38504</v>
      </c>
      <c r="AX4" s="36">
        <v>38534</v>
      </c>
      <c r="AY4" s="36">
        <v>38565</v>
      </c>
      <c r="AZ4" s="36">
        <v>38596</v>
      </c>
      <c r="BA4" s="36">
        <v>38626</v>
      </c>
      <c r="BB4" s="36">
        <v>38657</v>
      </c>
      <c r="BC4" s="36">
        <v>38687</v>
      </c>
      <c r="BD4" s="36">
        <v>38718</v>
      </c>
      <c r="BE4" s="36">
        <v>38749</v>
      </c>
      <c r="BF4" s="36">
        <v>38777</v>
      </c>
      <c r="BG4" s="36">
        <v>38808</v>
      </c>
      <c r="BH4" s="36">
        <v>38838</v>
      </c>
      <c r="BI4" s="36">
        <v>38869</v>
      </c>
      <c r="BJ4" s="36">
        <v>38899</v>
      </c>
      <c r="BK4" s="36">
        <v>38930</v>
      </c>
      <c r="BL4" s="36">
        <v>38961</v>
      </c>
      <c r="BM4" s="36">
        <v>38991</v>
      </c>
      <c r="BN4" s="36">
        <v>39022</v>
      </c>
      <c r="BO4" s="36">
        <v>39052</v>
      </c>
      <c r="BP4" s="36">
        <v>39083</v>
      </c>
      <c r="BQ4" s="36">
        <v>39114</v>
      </c>
      <c r="BR4" s="36">
        <v>39142</v>
      </c>
      <c r="BS4" s="36">
        <v>39173</v>
      </c>
      <c r="BT4" s="36">
        <v>39203</v>
      </c>
      <c r="BU4" s="36">
        <v>39234</v>
      </c>
      <c r="BV4" s="36">
        <v>39264</v>
      </c>
      <c r="BW4" s="36">
        <v>39295</v>
      </c>
      <c r="BX4" s="36">
        <v>39326</v>
      </c>
      <c r="BY4" s="36">
        <v>39356</v>
      </c>
      <c r="BZ4" s="36">
        <v>39387</v>
      </c>
      <c r="CA4" s="36">
        <v>39417</v>
      </c>
      <c r="CB4" s="36">
        <v>39448</v>
      </c>
      <c r="CC4" s="36">
        <v>39479</v>
      </c>
      <c r="CD4" s="36">
        <v>39508</v>
      </c>
      <c r="CE4" s="36">
        <v>39539</v>
      </c>
      <c r="CF4" s="36">
        <v>39569</v>
      </c>
      <c r="CG4" s="36">
        <v>39600</v>
      </c>
      <c r="CH4" s="36">
        <v>39630</v>
      </c>
      <c r="CI4" s="36">
        <v>39661</v>
      </c>
      <c r="CJ4" s="36">
        <v>39692</v>
      </c>
      <c r="CK4" s="36">
        <v>39722</v>
      </c>
      <c r="CL4" s="36">
        <v>39753</v>
      </c>
      <c r="CM4" s="36">
        <v>39783</v>
      </c>
      <c r="CN4" s="36">
        <v>39814</v>
      </c>
      <c r="CO4" s="36">
        <v>39845</v>
      </c>
      <c r="CP4" s="36">
        <v>39873</v>
      </c>
      <c r="CQ4" s="36">
        <v>39904</v>
      </c>
      <c r="CR4" s="36">
        <v>39934</v>
      </c>
      <c r="CS4" s="36">
        <v>39965</v>
      </c>
      <c r="CT4" s="36">
        <v>39995</v>
      </c>
      <c r="CU4" s="36">
        <v>40026</v>
      </c>
      <c r="CV4" s="36">
        <v>40057</v>
      </c>
      <c r="CW4" s="36">
        <v>40087</v>
      </c>
      <c r="CX4" s="36">
        <v>40118</v>
      </c>
      <c r="CY4" s="36">
        <v>40148</v>
      </c>
      <c r="CZ4" s="36">
        <v>40179</v>
      </c>
      <c r="DA4" s="36">
        <v>40210</v>
      </c>
      <c r="DB4" s="36">
        <v>40238</v>
      </c>
      <c r="DC4" s="36">
        <v>40269</v>
      </c>
      <c r="DD4" s="36">
        <v>40299</v>
      </c>
      <c r="DE4" s="36">
        <v>40330</v>
      </c>
      <c r="DF4" s="36">
        <v>40360</v>
      </c>
      <c r="DG4" s="36">
        <v>40391</v>
      </c>
      <c r="DH4" s="36">
        <v>40422</v>
      </c>
      <c r="DI4" s="36">
        <v>40452</v>
      </c>
      <c r="DJ4" s="36">
        <v>40483</v>
      </c>
      <c r="DK4" s="36">
        <v>40513</v>
      </c>
      <c r="DL4" s="36">
        <v>40544</v>
      </c>
      <c r="DM4" s="36">
        <v>40575</v>
      </c>
      <c r="DN4" s="36">
        <v>40603</v>
      </c>
      <c r="DO4" s="36">
        <v>40634</v>
      </c>
      <c r="DP4" s="36">
        <v>40664</v>
      </c>
      <c r="DQ4" s="36">
        <v>40695</v>
      </c>
      <c r="DR4" s="36">
        <v>40725</v>
      </c>
      <c r="DS4" s="36">
        <v>40756</v>
      </c>
      <c r="DT4" s="36">
        <v>40787</v>
      </c>
      <c r="DU4" s="36">
        <v>40817</v>
      </c>
      <c r="DV4" s="36">
        <v>40848</v>
      </c>
      <c r="DW4" s="36">
        <v>40878</v>
      </c>
      <c r="DX4" s="36">
        <v>40909</v>
      </c>
      <c r="DY4" s="36">
        <v>40940</v>
      </c>
      <c r="DZ4" s="36">
        <v>40969</v>
      </c>
      <c r="EA4" s="36">
        <v>41000</v>
      </c>
      <c r="EB4" s="36">
        <v>41030</v>
      </c>
      <c r="EC4" s="36">
        <v>41061</v>
      </c>
      <c r="ED4" s="36">
        <v>41091</v>
      </c>
      <c r="EE4" s="36">
        <v>41122</v>
      </c>
      <c r="EF4" s="36">
        <v>41153</v>
      </c>
      <c r="EG4" s="36">
        <v>41183</v>
      </c>
      <c r="EH4" s="36">
        <v>41214</v>
      </c>
      <c r="EI4" s="36">
        <v>41244</v>
      </c>
      <c r="EJ4" s="36">
        <v>41275</v>
      </c>
      <c r="EK4" s="36">
        <v>41306</v>
      </c>
      <c r="EL4" s="36">
        <v>41334</v>
      </c>
      <c r="EM4" s="36">
        <v>41365</v>
      </c>
      <c r="EN4" s="36">
        <v>41395</v>
      </c>
      <c r="EO4" s="36">
        <v>41426</v>
      </c>
      <c r="EP4" s="36">
        <v>41456</v>
      </c>
      <c r="EQ4" s="36">
        <v>41487</v>
      </c>
      <c r="ER4" s="36">
        <v>41518</v>
      </c>
      <c r="ES4" s="36">
        <v>41548</v>
      </c>
      <c r="ET4" s="36">
        <v>41579</v>
      </c>
      <c r="EU4" s="36">
        <v>41609</v>
      </c>
      <c r="EV4" s="36">
        <v>41640</v>
      </c>
      <c r="EW4" s="36">
        <v>41671</v>
      </c>
      <c r="EX4" s="36">
        <v>41699</v>
      </c>
      <c r="EY4" s="68">
        <v>41730</v>
      </c>
      <c r="EZ4" s="68">
        <v>41760</v>
      </c>
      <c r="FA4" s="68">
        <v>41791</v>
      </c>
      <c r="FB4" s="68">
        <v>41821</v>
      </c>
      <c r="FC4" s="68">
        <v>41852</v>
      </c>
      <c r="FD4" s="68">
        <v>41883</v>
      </c>
      <c r="FE4" s="68">
        <v>41913</v>
      </c>
      <c r="FF4" s="68">
        <v>41944</v>
      </c>
      <c r="FG4" s="68">
        <v>41974</v>
      </c>
      <c r="FH4" s="68">
        <v>42005</v>
      </c>
      <c r="FI4" s="68">
        <v>42036</v>
      </c>
      <c r="FJ4" s="68">
        <v>42064</v>
      </c>
      <c r="FK4" s="68">
        <v>42095</v>
      </c>
      <c r="FL4" s="68">
        <v>42125</v>
      </c>
      <c r="FM4" s="68">
        <v>42156</v>
      </c>
      <c r="FN4" s="68">
        <v>42186</v>
      </c>
      <c r="FO4" s="68">
        <v>42217</v>
      </c>
      <c r="FP4" s="68">
        <v>42248</v>
      </c>
      <c r="FQ4" s="68">
        <v>42278</v>
      </c>
      <c r="FR4" s="68">
        <v>42309</v>
      </c>
      <c r="FS4" s="68">
        <v>42339</v>
      </c>
      <c r="FT4" s="68">
        <v>42370</v>
      </c>
      <c r="FU4" s="68">
        <v>42401</v>
      </c>
      <c r="FV4" s="68">
        <v>42430</v>
      </c>
      <c r="FW4" s="68">
        <v>42461</v>
      </c>
      <c r="FX4" s="68">
        <v>42491</v>
      </c>
      <c r="FY4" s="68">
        <v>42522</v>
      </c>
      <c r="FZ4" s="68">
        <v>42552</v>
      </c>
      <c r="GA4" s="68">
        <v>42583</v>
      </c>
      <c r="GB4" s="68">
        <v>42614</v>
      </c>
      <c r="GC4" s="68">
        <v>42644</v>
      </c>
      <c r="GD4" s="68">
        <v>42675</v>
      </c>
      <c r="GE4" s="68">
        <v>42705</v>
      </c>
      <c r="GF4" s="68">
        <v>42736</v>
      </c>
      <c r="GG4" s="68">
        <v>42767</v>
      </c>
      <c r="GH4" s="68">
        <v>42795</v>
      </c>
      <c r="GI4" s="68">
        <v>42826</v>
      </c>
      <c r="GJ4" s="68">
        <v>42856</v>
      </c>
      <c r="GK4" s="68">
        <v>42887</v>
      </c>
      <c r="GL4" s="68">
        <v>42917</v>
      </c>
      <c r="GM4" s="68">
        <v>42948</v>
      </c>
      <c r="GN4" s="68">
        <v>42979</v>
      </c>
      <c r="GO4" s="68">
        <v>43009</v>
      </c>
      <c r="GP4" s="68">
        <v>43040</v>
      </c>
      <c r="GQ4" s="68">
        <v>43070</v>
      </c>
      <c r="GR4" s="68">
        <v>43101</v>
      </c>
      <c r="GS4" s="68">
        <v>43132</v>
      </c>
      <c r="GT4" s="68">
        <v>43160</v>
      </c>
      <c r="GU4" s="68">
        <v>43191</v>
      </c>
      <c r="GV4" s="68">
        <v>43221</v>
      </c>
      <c r="GW4" s="68">
        <v>43252</v>
      </c>
      <c r="GX4" s="68">
        <v>43282</v>
      </c>
      <c r="GY4" s="68">
        <v>43313</v>
      </c>
      <c r="GZ4" s="68">
        <v>43344</v>
      </c>
      <c r="HA4" s="68">
        <v>43374</v>
      </c>
      <c r="HB4" s="68">
        <v>43405</v>
      </c>
      <c r="HC4" s="68">
        <v>43435</v>
      </c>
      <c r="HD4" s="68">
        <v>43466</v>
      </c>
      <c r="HE4" s="68">
        <v>43497</v>
      </c>
      <c r="HF4" s="68">
        <v>43525</v>
      </c>
      <c r="HG4" s="68">
        <v>43556</v>
      </c>
      <c r="HH4" s="68">
        <v>43586</v>
      </c>
      <c r="HI4" s="68">
        <v>43617</v>
      </c>
      <c r="HJ4" s="68">
        <v>43647</v>
      </c>
      <c r="HK4" s="68">
        <v>43678</v>
      </c>
      <c r="HL4" s="68">
        <v>43709</v>
      </c>
      <c r="HM4" s="68">
        <v>43739</v>
      </c>
      <c r="HN4" s="68">
        <v>43770</v>
      </c>
      <c r="HO4" s="68">
        <v>43800</v>
      </c>
      <c r="HP4" s="68">
        <v>43831</v>
      </c>
      <c r="HQ4" s="68">
        <v>43862</v>
      </c>
      <c r="HR4" s="68">
        <v>43891</v>
      </c>
      <c r="HS4" s="68">
        <v>43922</v>
      </c>
      <c r="HT4" s="68">
        <v>43952</v>
      </c>
      <c r="HU4" s="68">
        <v>43983</v>
      </c>
      <c r="HV4" s="68">
        <v>44013</v>
      </c>
      <c r="HW4" s="68">
        <v>44044</v>
      </c>
      <c r="HX4" s="68">
        <v>44075</v>
      </c>
      <c r="HY4" s="68">
        <v>44105</v>
      </c>
      <c r="HZ4" s="68">
        <v>44136</v>
      </c>
      <c r="IA4" s="68">
        <v>44166</v>
      </c>
      <c r="IB4" s="68">
        <v>44197</v>
      </c>
      <c r="IC4" s="68">
        <v>44228</v>
      </c>
      <c r="ID4" s="68">
        <v>44256</v>
      </c>
      <c r="IE4" s="68">
        <v>44287</v>
      </c>
      <c r="IF4" s="68">
        <v>44317</v>
      </c>
      <c r="IG4" s="68">
        <v>44348</v>
      </c>
      <c r="IH4" s="68">
        <v>44378</v>
      </c>
      <c r="II4" s="68">
        <v>44409</v>
      </c>
      <c r="IJ4" s="68">
        <v>44440</v>
      </c>
      <c r="IK4" s="68">
        <v>44470</v>
      </c>
      <c r="IL4" s="68">
        <v>44501</v>
      </c>
      <c r="IM4" s="68">
        <v>44531</v>
      </c>
      <c r="IN4" s="68">
        <v>44562</v>
      </c>
      <c r="IO4" s="68">
        <v>44593</v>
      </c>
      <c r="IP4" s="68">
        <v>44621</v>
      </c>
      <c r="IQ4" s="68">
        <v>44652</v>
      </c>
      <c r="IR4" s="68">
        <v>44682</v>
      </c>
      <c r="IS4" s="68">
        <v>44713</v>
      </c>
      <c r="IT4" s="68">
        <v>44743</v>
      </c>
      <c r="IU4" s="68">
        <v>44774</v>
      </c>
      <c r="IV4" s="68">
        <v>44805</v>
      </c>
      <c r="IW4" s="68">
        <v>44835</v>
      </c>
      <c r="IX4" s="68">
        <v>44866</v>
      </c>
      <c r="IY4" s="68">
        <v>44896</v>
      </c>
      <c r="IZ4" s="68">
        <v>44927</v>
      </c>
      <c r="JA4" s="68">
        <v>44958</v>
      </c>
      <c r="JB4" s="68">
        <v>44986</v>
      </c>
      <c r="JC4" s="68">
        <v>45017</v>
      </c>
      <c r="JD4" s="68">
        <v>45047</v>
      </c>
      <c r="JE4" s="68">
        <v>45078</v>
      </c>
      <c r="JF4" s="68">
        <v>45108</v>
      </c>
      <c r="JG4" s="68">
        <v>45139</v>
      </c>
      <c r="JH4" s="68">
        <v>45170</v>
      </c>
      <c r="JI4" s="68">
        <v>45200</v>
      </c>
      <c r="JJ4" s="68">
        <v>45231</v>
      </c>
      <c r="JK4" s="68">
        <v>45261</v>
      </c>
      <c r="JL4" s="68">
        <v>45292</v>
      </c>
      <c r="JM4" s="68">
        <v>45323</v>
      </c>
      <c r="JN4" s="68">
        <v>45352</v>
      </c>
      <c r="JO4" s="68">
        <v>45383</v>
      </c>
      <c r="JP4" s="68">
        <v>45413</v>
      </c>
      <c r="JQ4" s="68">
        <v>45444</v>
      </c>
      <c r="JR4" s="68">
        <v>45474</v>
      </c>
      <c r="JS4" s="68">
        <v>45505</v>
      </c>
      <c r="JT4" s="68">
        <v>45536</v>
      </c>
      <c r="JU4" s="68">
        <v>45566</v>
      </c>
      <c r="JV4" s="68">
        <v>45597</v>
      </c>
      <c r="JW4" s="68">
        <v>45627</v>
      </c>
      <c r="JX4" s="68">
        <v>45658</v>
      </c>
      <c r="JY4" s="68">
        <v>45689</v>
      </c>
      <c r="JZ4" s="68">
        <v>45717</v>
      </c>
      <c r="KA4" s="68">
        <v>45748</v>
      </c>
      <c r="KB4" s="68">
        <v>45778</v>
      </c>
      <c r="KC4" s="68">
        <v>45809</v>
      </c>
      <c r="KD4" s="68">
        <v>45839</v>
      </c>
      <c r="KE4" s="68">
        <v>45870</v>
      </c>
      <c r="KF4" s="68">
        <v>45901</v>
      </c>
      <c r="KG4" s="68">
        <v>45931</v>
      </c>
      <c r="KH4" s="68">
        <v>45962</v>
      </c>
      <c r="KI4" s="68">
        <v>45992</v>
      </c>
      <c r="KJ4" s="68">
        <v>46023</v>
      </c>
      <c r="KK4" s="68">
        <v>46054</v>
      </c>
      <c r="KL4" s="68">
        <v>46082</v>
      </c>
      <c r="KM4" s="68">
        <v>46113</v>
      </c>
      <c r="KN4" s="68">
        <v>46143</v>
      </c>
      <c r="KO4" s="68">
        <v>46174</v>
      </c>
    </row>
    <row r="5" spans="1:301" s="72" customFormat="1" ht="30" customHeight="1" thickBot="1">
      <c r="A5" s="69" t="s">
        <v>146</v>
      </c>
      <c r="B5" s="70"/>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c r="ED5" s="71"/>
      <c r="EE5" s="71"/>
      <c r="EF5" s="71"/>
      <c r="EG5" s="71"/>
      <c r="EH5" s="71"/>
      <c r="EI5" s="71"/>
      <c r="EJ5" s="71"/>
      <c r="EK5" s="71"/>
      <c r="EL5" s="71"/>
      <c r="EM5" s="71"/>
      <c r="EN5" s="71"/>
      <c r="EO5" s="71"/>
      <c r="EP5" s="71"/>
      <c r="EQ5" s="71"/>
      <c r="ER5" s="71"/>
      <c r="ES5" s="71"/>
      <c r="ET5" s="71"/>
      <c r="EU5" s="71"/>
      <c r="EV5" s="71"/>
      <c r="EW5" s="71"/>
      <c r="EX5" s="71"/>
      <c r="EY5" s="71"/>
      <c r="EZ5" s="71"/>
      <c r="FA5" s="71"/>
      <c r="FB5" s="71"/>
      <c r="FC5" s="71"/>
      <c r="FD5" s="71"/>
      <c r="FE5" s="71"/>
      <c r="FF5" s="71"/>
      <c r="FG5" s="71"/>
      <c r="FH5" s="71"/>
      <c r="FI5" s="71"/>
      <c r="FJ5" s="71"/>
      <c r="FK5" s="71"/>
      <c r="FL5" s="71"/>
      <c r="FM5" s="71"/>
      <c r="FN5" s="71"/>
      <c r="FO5" s="71"/>
      <c r="FP5" s="71"/>
      <c r="FQ5" s="71"/>
      <c r="FR5" s="71"/>
      <c r="FS5" s="71"/>
      <c r="FT5" s="71"/>
      <c r="FU5" s="71"/>
      <c r="FV5" s="71"/>
      <c r="FW5" s="71"/>
      <c r="FX5" s="71"/>
      <c r="FY5" s="71"/>
      <c r="FZ5" s="71"/>
      <c r="GA5" s="71"/>
      <c r="GB5" s="71"/>
      <c r="GC5" s="71"/>
      <c r="GD5" s="71"/>
      <c r="GE5" s="71"/>
      <c r="GF5" s="71"/>
      <c r="GG5" s="71"/>
      <c r="GH5" s="71"/>
      <c r="GI5" s="71"/>
      <c r="GJ5" s="71"/>
      <c r="GK5" s="71"/>
      <c r="GL5" s="71"/>
      <c r="GM5" s="71"/>
      <c r="GN5" s="71"/>
      <c r="GO5" s="71"/>
      <c r="GP5" s="71"/>
      <c r="GQ5" s="71"/>
      <c r="GR5" s="71"/>
      <c r="GS5" s="71"/>
      <c r="GT5" s="71"/>
      <c r="GU5" s="71"/>
      <c r="GV5" s="71"/>
      <c r="GW5" s="71"/>
      <c r="GX5" s="71"/>
      <c r="GY5" s="71"/>
      <c r="GZ5" s="71"/>
      <c r="HA5" s="71"/>
      <c r="HB5" s="71"/>
      <c r="HC5" s="71"/>
      <c r="HD5" s="71"/>
      <c r="HE5" s="71"/>
      <c r="HF5" s="71"/>
      <c r="HG5" s="71"/>
      <c r="HH5" s="71"/>
      <c r="HI5" s="71"/>
      <c r="HJ5" s="71"/>
      <c r="HK5" s="71"/>
      <c r="HL5" s="71"/>
      <c r="HM5" s="71"/>
      <c r="HN5" s="71"/>
      <c r="HO5" s="71"/>
      <c r="HP5" s="71"/>
      <c r="HQ5" s="71"/>
      <c r="HR5" s="71"/>
      <c r="HS5" s="71"/>
      <c r="HT5" s="71"/>
      <c r="HU5" s="71"/>
      <c r="HV5" s="71"/>
      <c r="HW5" s="71"/>
      <c r="HX5" s="71"/>
      <c r="HY5" s="71"/>
      <c r="HZ5" s="71"/>
      <c r="IA5" s="71"/>
      <c r="IB5" s="71"/>
      <c r="IC5" s="71"/>
      <c r="ID5" s="71"/>
      <c r="IE5" s="71"/>
      <c r="IF5" s="71"/>
      <c r="IG5" s="71"/>
      <c r="IH5" s="71"/>
      <c r="II5" s="71"/>
      <c r="IJ5" s="71"/>
      <c r="IK5" s="71"/>
      <c r="IL5" s="71"/>
      <c r="IM5" s="71"/>
      <c r="IN5" s="71"/>
      <c r="IO5" s="71"/>
      <c r="IP5" s="71"/>
      <c r="IQ5" s="71"/>
      <c r="IR5" s="71"/>
      <c r="IS5" s="71"/>
      <c r="IT5" s="71"/>
      <c r="IU5" s="71"/>
      <c r="IV5" s="71"/>
      <c r="IW5" s="71"/>
      <c r="IX5" s="71"/>
      <c r="IY5" s="71"/>
      <c r="IZ5" s="71"/>
      <c r="JA5" s="71"/>
      <c r="JB5" s="71"/>
      <c r="JC5" s="71"/>
      <c r="JD5" s="71"/>
      <c r="JE5" s="71"/>
      <c r="JF5" s="71"/>
      <c r="JG5" s="71"/>
      <c r="JH5" s="71"/>
      <c r="JI5" s="71"/>
      <c r="JJ5" s="71"/>
      <c r="JK5" s="71"/>
      <c r="JL5" s="71"/>
      <c r="JM5" s="71"/>
      <c r="JN5" s="71"/>
      <c r="JO5" s="71"/>
      <c r="JP5" s="71"/>
      <c r="JQ5" s="71"/>
      <c r="JR5" s="71"/>
      <c r="JS5" s="71"/>
      <c r="JT5" s="71"/>
      <c r="JU5" s="71"/>
      <c r="JV5" s="71"/>
      <c r="JW5" s="71"/>
      <c r="JX5" s="71"/>
      <c r="JY5" s="71"/>
      <c r="JZ5" s="71"/>
      <c r="KA5" s="71"/>
      <c r="KB5" s="71"/>
      <c r="KC5" s="71"/>
      <c r="KD5" s="71"/>
      <c r="KE5" s="71"/>
      <c r="KF5" s="84"/>
      <c r="KG5" s="84"/>
      <c r="KH5" s="84"/>
      <c r="KI5" s="84"/>
      <c r="KJ5" s="84"/>
      <c r="KK5" s="84"/>
      <c r="KL5" s="84"/>
      <c r="KM5" s="84"/>
      <c r="KN5" s="84"/>
      <c r="KO5" s="84"/>
    </row>
    <row r="6" spans="1:301" s="77" customFormat="1" ht="18" customHeight="1">
      <c r="A6" s="73" t="s">
        <v>147</v>
      </c>
      <c r="B6" s="73"/>
      <c r="C6" s="74">
        <v>100</v>
      </c>
      <c r="D6" s="74">
        <v>100</v>
      </c>
      <c r="E6" s="74">
        <v>100</v>
      </c>
      <c r="F6" s="74">
        <v>100</v>
      </c>
      <c r="G6" s="74">
        <v>100</v>
      </c>
      <c r="H6" s="74">
        <v>100</v>
      </c>
      <c r="I6" s="74">
        <v>100</v>
      </c>
      <c r="J6" s="74">
        <v>100.00099999999999</v>
      </c>
      <c r="K6" s="74">
        <v>100</v>
      </c>
      <c r="L6" s="74">
        <v>100</v>
      </c>
      <c r="M6" s="74">
        <v>100</v>
      </c>
      <c r="N6" s="74">
        <v>100</v>
      </c>
      <c r="O6" s="74">
        <v>99.998999999999995</v>
      </c>
      <c r="P6" s="74">
        <v>100</v>
      </c>
      <c r="Q6" s="74">
        <v>100.001</v>
      </c>
      <c r="R6" s="74">
        <v>100</v>
      </c>
      <c r="S6" s="74">
        <v>99.999000000000009</v>
      </c>
      <c r="T6" s="74">
        <v>99.998999999999995</v>
      </c>
      <c r="U6" s="74">
        <v>100.001</v>
      </c>
      <c r="V6" s="74">
        <v>100.00099999999999</v>
      </c>
      <c r="W6" s="74">
        <v>100</v>
      </c>
      <c r="X6" s="74">
        <v>100</v>
      </c>
      <c r="Y6" s="74">
        <v>100</v>
      </c>
      <c r="Z6" s="74">
        <v>100.001</v>
      </c>
      <c r="AA6" s="74">
        <v>100</v>
      </c>
      <c r="AB6" s="74">
        <v>99.999000000000009</v>
      </c>
      <c r="AC6" s="74">
        <v>100</v>
      </c>
      <c r="AD6" s="74">
        <v>100</v>
      </c>
      <c r="AE6" s="74">
        <v>100</v>
      </c>
      <c r="AF6" s="74">
        <v>100</v>
      </c>
      <c r="AG6" s="74">
        <v>100</v>
      </c>
      <c r="AH6" s="74">
        <v>100</v>
      </c>
      <c r="AI6" s="74">
        <v>100</v>
      </c>
      <c r="AJ6" s="74">
        <v>99.998999999999995</v>
      </c>
      <c r="AK6" s="74">
        <v>100</v>
      </c>
      <c r="AL6" s="74">
        <v>100</v>
      </c>
      <c r="AM6" s="74">
        <v>100.00099999999999</v>
      </c>
      <c r="AN6" s="74">
        <v>100</v>
      </c>
      <c r="AO6" s="74">
        <v>100</v>
      </c>
      <c r="AP6" s="74">
        <v>100</v>
      </c>
      <c r="AQ6" s="74">
        <v>100.001</v>
      </c>
      <c r="AR6" s="74">
        <v>100</v>
      </c>
      <c r="AS6" s="74">
        <v>100.00009999999999</v>
      </c>
      <c r="AT6" s="74">
        <v>100.00022000000001</v>
      </c>
      <c r="AU6" s="74">
        <v>100.00007999999998</v>
      </c>
      <c r="AV6" s="74">
        <v>100.00009</v>
      </c>
      <c r="AW6" s="74">
        <v>100.00001</v>
      </c>
      <c r="AX6" s="74">
        <v>100.00001</v>
      </c>
      <c r="AY6" s="74">
        <v>100.00002000000001</v>
      </c>
      <c r="AZ6" s="74">
        <v>100.00008000000001</v>
      </c>
      <c r="BA6" s="74">
        <v>99.999960000000002</v>
      </c>
      <c r="BB6" s="74">
        <v>99.999919999999989</v>
      </c>
      <c r="BC6" s="74">
        <v>100.00006999999999</v>
      </c>
      <c r="BD6" s="74">
        <v>100.00003</v>
      </c>
      <c r="BE6" s="74">
        <v>100.00006999999999</v>
      </c>
      <c r="BF6" s="74">
        <v>100.00012</v>
      </c>
      <c r="BG6" s="74">
        <v>99.999989999999997</v>
      </c>
      <c r="BH6" s="74">
        <v>99.999999999999986</v>
      </c>
      <c r="BI6" s="74">
        <v>100</v>
      </c>
      <c r="BJ6" s="74">
        <v>100</v>
      </c>
      <c r="BK6" s="74">
        <v>100.00000000000001</v>
      </c>
      <c r="BL6" s="74">
        <v>100</v>
      </c>
      <c r="BM6" s="74">
        <v>99.999999999999702</v>
      </c>
      <c r="BN6" s="74">
        <v>99.999999999999687</v>
      </c>
      <c r="BO6" s="74">
        <v>99.999999999999943</v>
      </c>
      <c r="BP6" s="74">
        <v>99.999999999999986</v>
      </c>
      <c r="BQ6" s="74">
        <v>100</v>
      </c>
      <c r="BR6" s="74">
        <v>100</v>
      </c>
      <c r="BS6" s="74">
        <v>100.00000000000001</v>
      </c>
      <c r="BT6" s="74">
        <v>100</v>
      </c>
      <c r="BU6" s="74">
        <v>100</v>
      </c>
      <c r="BV6" s="74">
        <v>100</v>
      </c>
      <c r="BW6" s="74">
        <v>100</v>
      </c>
      <c r="BX6" s="74">
        <v>100</v>
      </c>
      <c r="BY6" s="74">
        <v>100</v>
      </c>
      <c r="BZ6" s="74">
        <v>100</v>
      </c>
      <c r="CA6" s="74">
        <v>100</v>
      </c>
      <c r="CB6" s="74">
        <v>100</v>
      </c>
      <c r="CC6" s="74">
        <v>100</v>
      </c>
      <c r="CD6" s="74">
        <v>100.00000000000001</v>
      </c>
      <c r="CE6" s="74">
        <v>100</v>
      </c>
      <c r="CF6" s="74">
        <v>100</v>
      </c>
      <c r="CG6" s="74">
        <v>99.999999999999986</v>
      </c>
      <c r="CH6" s="74">
        <v>100</v>
      </c>
      <c r="CI6" s="74">
        <v>100</v>
      </c>
      <c r="CJ6" s="74">
        <v>100</v>
      </c>
      <c r="CK6" s="75">
        <v>100</v>
      </c>
      <c r="CL6" s="75">
        <v>100</v>
      </c>
      <c r="CM6" s="75">
        <v>100</v>
      </c>
      <c r="CN6" s="75">
        <v>100.00000000000001</v>
      </c>
      <c r="CO6" s="75">
        <v>100</v>
      </c>
      <c r="CP6" s="75">
        <v>100</v>
      </c>
      <c r="CQ6" s="75">
        <v>100</v>
      </c>
      <c r="CR6" s="75">
        <v>100</v>
      </c>
      <c r="CS6" s="75">
        <v>100</v>
      </c>
      <c r="CT6" s="75">
        <v>100</v>
      </c>
      <c r="CU6" s="75">
        <v>100</v>
      </c>
      <c r="CV6" s="75">
        <v>100</v>
      </c>
      <c r="CW6" s="75">
        <v>100</v>
      </c>
      <c r="CX6" s="75">
        <v>100</v>
      </c>
      <c r="CY6" s="75">
        <v>100</v>
      </c>
      <c r="CZ6" s="75">
        <v>100</v>
      </c>
      <c r="DA6" s="75">
        <v>100</v>
      </c>
      <c r="DB6" s="75">
        <v>100</v>
      </c>
      <c r="DC6" s="75">
        <v>100</v>
      </c>
      <c r="DD6" s="75">
        <v>100</v>
      </c>
      <c r="DE6" s="75">
        <v>100</v>
      </c>
      <c r="DF6" s="75">
        <v>100</v>
      </c>
      <c r="DG6" s="75">
        <v>100</v>
      </c>
      <c r="DH6" s="75">
        <v>100</v>
      </c>
      <c r="DI6" s="75">
        <v>99.999999999999986</v>
      </c>
      <c r="DJ6" s="75">
        <v>100</v>
      </c>
      <c r="DK6" s="75">
        <v>100.00000000000001</v>
      </c>
      <c r="DL6" s="75">
        <v>100</v>
      </c>
      <c r="DM6" s="75">
        <v>99.999999999999986</v>
      </c>
      <c r="DN6" s="75">
        <v>100</v>
      </c>
      <c r="DO6" s="75">
        <v>100</v>
      </c>
      <c r="DP6" s="75">
        <v>100</v>
      </c>
      <c r="DQ6" s="75">
        <v>100</v>
      </c>
      <c r="DR6" s="75">
        <v>100</v>
      </c>
      <c r="DS6" s="75">
        <v>100</v>
      </c>
      <c r="DT6" s="75">
        <v>100</v>
      </c>
      <c r="DU6" s="75">
        <v>100</v>
      </c>
      <c r="DV6" s="75">
        <v>100</v>
      </c>
      <c r="DW6" s="75">
        <v>100</v>
      </c>
      <c r="DX6" s="75">
        <v>100</v>
      </c>
      <c r="DY6" s="75">
        <v>100</v>
      </c>
      <c r="DZ6" s="75">
        <v>100</v>
      </c>
      <c r="EA6" s="75">
        <v>100</v>
      </c>
      <c r="EB6" s="75">
        <v>100</v>
      </c>
      <c r="EC6" s="75">
        <v>100</v>
      </c>
      <c r="ED6" s="75">
        <v>100</v>
      </c>
      <c r="EE6" s="75">
        <v>100</v>
      </c>
      <c r="EF6" s="75">
        <v>100</v>
      </c>
      <c r="EG6" s="75">
        <v>100</v>
      </c>
      <c r="EH6" s="75">
        <v>100</v>
      </c>
      <c r="EI6" s="75">
        <v>100</v>
      </c>
      <c r="EJ6" s="75">
        <v>100</v>
      </c>
      <c r="EK6" s="75">
        <v>100</v>
      </c>
      <c r="EL6" s="75">
        <v>100</v>
      </c>
      <c r="EM6" s="75">
        <v>100</v>
      </c>
      <c r="EN6" s="75">
        <v>100</v>
      </c>
      <c r="EO6" s="75">
        <v>100</v>
      </c>
      <c r="EP6" s="75">
        <v>100</v>
      </c>
      <c r="EQ6" s="75">
        <v>100</v>
      </c>
      <c r="ER6" s="75">
        <v>100</v>
      </c>
      <c r="ES6" s="75">
        <v>100</v>
      </c>
      <c r="ET6" s="75">
        <v>100</v>
      </c>
      <c r="EU6" s="75">
        <v>100</v>
      </c>
      <c r="EV6" s="75">
        <v>100</v>
      </c>
      <c r="EW6" s="75">
        <v>100</v>
      </c>
      <c r="EX6" s="75">
        <v>100</v>
      </c>
      <c r="EY6" s="75">
        <v>100</v>
      </c>
      <c r="EZ6" s="75">
        <v>100</v>
      </c>
      <c r="FA6" s="75">
        <v>100</v>
      </c>
      <c r="FB6" s="75">
        <v>100</v>
      </c>
      <c r="FC6" s="75">
        <v>100</v>
      </c>
      <c r="FD6" s="75">
        <v>100</v>
      </c>
      <c r="FE6" s="76">
        <v>100</v>
      </c>
      <c r="FF6" s="76">
        <v>100</v>
      </c>
      <c r="FG6" s="76">
        <v>100</v>
      </c>
      <c r="FH6" s="76">
        <v>100</v>
      </c>
      <c r="FI6" s="76">
        <v>100</v>
      </c>
      <c r="FJ6" s="76">
        <v>99.999999999999986</v>
      </c>
      <c r="FK6" s="76">
        <v>100</v>
      </c>
      <c r="FL6" s="76">
        <v>100</v>
      </c>
      <c r="FM6" s="76">
        <v>100</v>
      </c>
      <c r="FN6" s="76">
        <v>100</v>
      </c>
      <c r="FO6" s="76">
        <v>100</v>
      </c>
      <c r="FP6" s="76">
        <v>100</v>
      </c>
      <c r="FQ6" s="76">
        <v>100</v>
      </c>
      <c r="FR6" s="76">
        <v>100</v>
      </c>
      <c r="FS6" s="76">
        <v>100</v>
      </c>
      <c r="FT6" s="76">
        <v>100</v>
      </c>
      <c r="FU6" s="76">
        <v>100</v>
      </c>
      <c r="FV6" s="76">
        <v>100</v>
      </c>
      <c r="FW6" s="76">
        <v>100</v>
      </c>
      <c r="FX6" s="76">
        <v>100</v>
      </c>
      <c r="FY6" s="76">
        <v>100</v>
      </c>
      <c r="FZ6" s="76">
        <v>100</v>
      </c>
      <c r="GA6" s="76">
        <v>100</v>
      </c>
      <c r="GB6" s="76">
        <v>100</v>
      </c>
      <c r="GC6" s="76">
        <v>100</v>
      </c>
      <c r="GD6" s="76">
        <v>100</v>
      </c>
      <c r="GE6" s="76">
        <v>100</v>
      </c>
      <c r="GF6" s="76">
        <v>100</v>
      </c>
      <c r="GG6" s="76">
        <v>100</v>
      </c>
      <c r="GH6" s="76">
        <v>100</v>
      </c>
      <c r="GI6" s="76">
        <v>100</v>
      </c>
      <c r="GJ6" s="76">
        <v>100</v>
      </c>
      <c r="GK6" s="76">
        <v>100</v>
      </c>
      <c r="GL6" s="76">
        <v>100</v>
      </c>
      <c r="GM6" s="76">
        <v>100</v>
      </c>
      <c r="GN6" s="76">
        <v>100</v>
      </c>
      <c r="GO6" s="76">
        <v>100</v>
      </c>
      <c r="GP6" s="76">
        <v>100</v>
      </c>
      <c r="GQ6" s="76">
        <v>100</v>
      </c>
      <c r="GR6" s="76">
        <v>100</v>
      </c>
      <c r="GS6" s="76">
        <v>100</v>
      </c>
      <c r="GT6" s="76">
        <v>100</v>
      </c>
      <c r="GU6" s="76">
        <v>100</v>
      </c>
      <c r="GV6" s="76">
        <v>99.999999999999986</v>
      </c>
      <c r="GW6" s="76">
        <v>100</v>
      </c>
      <c r="GX6" s="76">
        <v>100</v>
      </c>
      <c r="GY6" s="76">
        <v>100</v>
      </c>
      <c r="GZ6" s="76">
        <v>100</v>
      </c>
      <c r="HA6" s="76">
        <v>100</v>
      </c>
      <c r="HB6" s="76">
        <v>100</v>
      </c>
      <c r="HC6" s="76">
        <v>100</v>
      </c>
      <c r="HD6" s="76">
        <v>100</v>
      </c>
      <c r="HE6" s="76">
        <v>100</v>
      </c>
      <c r="HF6" s="76">
        <v>100</v>
      </c>
      <c r="HG6" s="76">
        <v>100</v>
      </c>
      <c r="HH6" s="76">
        <v>100</v>
      </c>
      <c r="HI6" s="76">
        <v>100</v>
      </c>
      <c r="HJ6" s="76">
        <v>100</v>
      </c>
      <c r="HK6" s="76">
        <v>100</v>
      </c>
      <c r="HL6" s="76">
        <v>100</v>
      </c>
      <c r="HM6" s="76">
        <v>100</v>
      </c>
      <c r="HN6" s="76">
        <v>100</v>
      </c>
      <c r="HO6" s="76">
        <v>100</v>
      </c>
      <c r="HP6" s="76">
        <v>100</v>
      </c>
      <c r="HQ6" s="76">
        <v>100</v>
      </c>
      <c r="HR6" s="76">
        <v>100</v>
      </c>
      <c r="HS6" s="76">
        <v>99.999929999999992</v>
      </c>
      <c r="HT6" s="76">
        <v>100.00000000000003</v>
      </c>
      <c r="HU6" s="76">
        <v>100.00000000000001</v>
      </c>
      <c r="HV6" s="76">
        <v>100.00000000000003</v>
      </c>
      <c r="HW6" s="76">
        <v>99.999999999999972</v>
      </c>
      <c r="HX6" s="76">
        <v>99.999999999999943</v>
      </c>
      <c r="HY6" s="76">
        <v>99.999999999999972</v>
      </c>
      <c r="HZ6" s="76">
        <v>100.00000000000009</v>
      </c>
      <c r="IA6" s="76">
        <v>99.999999999999915</v>
      </c>
      <c r="IB6" s="76">
        <v>100.0000000000001</v>
      </c>
      <c r="IC6" s="76">
        <v>99.999999999999957</v>
      </c>
      <c r="ID6" s="76">
        <v>100</v>
      </c>
      <c r="IE6" s="76">
        <v>100.00000000000011</v>
      </c>
      <c r="IF6" s="76">
        <v>100.00000000000003</v>
      </c>
      <c r="IG6" s="76">
        <v>99.999999999999957</v>
      </c>
      <c r="IH6" s="76">
        <v>99.999999999999972</v>
      </c>
      <c r="II6" s="76">
        <v>100.0000000000001</v>
      </c>
      <c r="IJ6" s="76">
        <v>99.999999999999901</v>
      </c>
      <c r="IK6" s="76">
        <v>100</v>
      </c>
      <c r="IL6" s="76">
        <v>100</v>
      </c>
      <c r="IM6" s="76">
        <v>99.999999999999929</v>
      </c>
      <c r="IN6" s="76">
        <v>100</v>
      </c>
      <c r="IO6" s="76">
        <v>100</v>
      </c>
      <c r="IP6" s="76">
        <v>99.999999999999901</v>
      </c>
      <c r="IQ6" s="76">
        <v>100.00000000000011</v>
      </c>
      <c r="IR6" s="76">
        <v>100.0000000000001</v>
      </c>
      <c r="IS6" s="76">
        <v>100.00000000000009</v>
      </c>
      <c r="IT6" s="76">
        <v>100</v>
      </c>
      <c r="IU6" s="76">
        <v>100</v>
      </c>
      <c r="IV6" s="76">
        <f t="shared" ref="IV6" si="0">+SUM(IV7:IV10)</f>
        <v>100.0000000000001</v>
      </c>
      <c r="IW6" s="76">
        <v>100</v>
      </c>
      <c r="IX6" s="76">
        <v>100</v>
      </c>
      <c r="IY6" s="76">
        <v>100.00000000000003</v>
      </c>
      <c r="IZ6" s="76">
        <v>100</v>
      </c>
      <c r="JA6" s="76">
        <v>99.999999999999901</v>
      </c>
      <c r="JB6" s="76">
        <v>99.999999999999901</v>
      </c>
      <c r="JC6" s="76">
        <v>100</v>
      </c>
      <c r="JD6" s="76">
        <v>100.00000000000006</v>
      </c>
      <c r="JE6" s="76">
        <v>100</v>
      </c>
      <c r="JF6" s="76">
        <v>100.0000000000001</v>
      </c>
      <c r="JG6" s="76">
        <v>100.0000000000001</v>
      </c>
      <c r="JH6" s="76">
        <v>100</v>
      </c>
      <c r="JI6" s="76">
        <v>99.999999999999901</v>
      </c>
      <c r="JJ6" s="76">
        <v>100.00000000000003</v>
      </c>
      <c r="JK6" s="76">
        <v>100.00000000000006</v>
      </c>
      <c r="JL6" s="76">
        <v>100.00000000000009</v>
      </c>
      <c r="JM6" s="76">
        <v>100.00000000000003</v>
      </c>
      <c r="JN6" s="76">
        <v>100</v>
      </c>
      <c r="JO6" s="76">
        <v>100</v>
      </c>
      <c r="JP6" s="76">
        <v>99.999999999999972</v>
      </c>
      <c r="JQ6" s="76">
        <v>99.999999999999901</v>
      </c>
      <c r="JR6" s="76">
        <v>99.999999999999943</v>
      </c>
      <c r="JS6" s="76">
        <v>100.00000000000006</v>
      </c>
      <c r="JT6" s="76">
        <v>100.0000000000001</v>
      </c>
      <c r="JU6" s="76">
        <v>100</v>
      </c>
      <c r="JV6" s="76">
        <v>100</v>
      </c>
      <c r="JW6" s="76">
        <v>100</v>
      </c>
      <c r="JX6" s="76">
        <v>100</v>
      </c>
      <c r="JY6" s="76">
        <v>99.999999999999986</v>
      </c>
      <c r="JZ6" s="76">
        <v>100</v>
      </c>
      <c r="KA6" s="76">
        <v>99.999999999999901</v>
      </c>
      <c r="KB6" s="76">
        <v>100.00000000000004</v>
      </c>
      <c r="KC6" s="76">
        <v>99.999999999999986</v>
      </c>
      <c r="KD6" s="76">
        <v>100.00000000000003</v>
      </c>
      <c r="KE6" s="76">
        <v>100.00000000000003</v>
      </c>
      <c r="KF6" s="76">
        <v>100.00000000000003</v>
      </c>
      <c r="KG6" s="76">
        <v>100</v>
      </c>
      <c r="KH6" s="76">
        <v>100.0000000000001</v>
      </c>
      <c r="KI6" s="76">
        <v>100.00000000000003</v>
      </c>
      <c r="KJ6" s="76">
        <v>100</v>
      </c>
      <c r="KK6" s="76">
        <v>100</v>
      </c>
      <c r="KL6" s="76">
        <v>100.00000000000007</v>
      </c>
      <c r="KM6" s="76">
        <v>100</v>
      </c>
      <c r="KN6" s="76">
        <v>100</v>
      </c>
      <c r="KO6" s="76">
        <v>99.999999999999972</v>
      </c>
    </row>
    <row r="7" spans="1:301" s="72" customFormat="1" ht="18" customHeight="1">
      <c r="A7" s="78" t="s">
        <v>148</v>
      </c>
      <c r="B7" s="79"/>
      <c r="C7" s="80">
        <v>5.5527443224646982</v>
      </c>
      <c r="D7" s="80">
        <v>8.1685866345474736</v>
      </c>
      <c r="E7" s="80">
        <v>6.4389030404556582</v>
      </c>
      <c r="F7" s="80">
        <v>8.2952190369507015</v>
      </c>
      <c r="G7" s="80">
        <v>5.5664584106951027</v>
      </c>
      <c r="H7" s="80">
        <v>5.5664584106951027</v>
      </c>
      <c r="I7" s="80">
        <v>4.5855428256353923</v>
      </c>
      <c r="J7" s="80">
        <v>6.6558152088652784</v>
      </c>
      <c r="K7" s="80">
        <v>7.1510087074679083</v>
      </c>
      <c r="L7" s="80">
        <v>6.3301618916785927</v>
      </c>
      <c r="M7" s="80">
        <v>5.8423008309788074</v>
      </c>
      <c r="N7" s="80">
        <v>8.0911455228102476</v>
      </c>
      <c r="O7" s="80">
        <v>8.5110093136585725</v>
      </c>
      <c r="P7" s="80">
        <v>6.866356784579855</v>
      </c>
      <c r="Q7" s="80">
        <v>9.1495769355216794</v>
      </c>
      <c r="R7" s="80">
        <v>10.320042037914984</v>
      </c>
      <c r="S7" s="80">
        <v>9.790027248863737</v>
      </c>
      <c r="T7" s="80">
        <v>8.9555505481252755</v>
      </c>
      <c r="U7" s="80">
        <v>9.7303318788959068</v>
      </c>
      <c r="V7" s="80">
        <v>14.181211556807265</v>
      </c>
      <c r="W7" s="80">
        <v>12.553038633594566</v>
      </c>
      <c r="X7" s="80">
        <v>14.072319868662778</v>
      </c>
      <c r="Y7" s="80">
        <v>12.196195083052375</v>
      </c>
      <c r="Z7" s="80">
        <v>14.039773247435743</v>
      </c>
      <c r="AA7" s="80">
        <v>12.809229289622957</v>
      </c>
      <c r="AB7" s="80">
        <v>12.780723839183951</v>
      </c>
      <c r="AC7" s="80">
        <v>14.230345903016104</v>
      </c>
      <c r="AD7" s="80">
        <v>14.560064906463385</v>
      </c>
      <c r="AE7" s="80">
        <v>14.180055307515389</v>
      </c>
      <c r="AF7" s="80">
        <v>13.944372550509716</v>
      </c>
      <c r="AG7" s="80">
        <v>12.229555963361559</v>
      </c>
      <c r="AH7" s="80">
        <v>12.816450263861354</v>
      </c>
      <c r="AI7" s="80">
        <v>13.371935886878036</v>
      </c>
      <c r="AJ7" s="80">
        <v>11.420876666402787</v>
      </c>
      <c r="AK7" s="80">
        <v>11.579265358213284</v>
      </c>
      <c r="AL7" s="80">
        <v>11.813358226865406</v>
      </c>
      <c r="AM7" s="80">
        <v>12.221389227621687</v>
      </c>
      <c r="AN7" s="80">
        <v>12.949671955342838</v>
      </c>
      <c r="AO7" s="80">
        <v>13.438300441621013</v>
      </c>
      <c r="AP7" s="80">
        <v>13.922679129774544</v>
      </c>
      <c r="AQ7" s="80">
        <v>13.03871075478083</v>
      </c>
      <c r="AR7" s="80">
        <v>12.459739395308937</v>
      </c>
      <c r="AS7" s="80">
        <v>14.73657</v>
      </c>
      <c r="AT7" s="80">
        <v>14.01336</v>
      </c>
      <c r="AU7" s="80">
        <v>14.9697</v>
      </c>
      <c r="AV7" s="80">
        <v>16.295649999999998</v>
      </c>
      <c r="AW7" s="80">
        <v>12.911099999999999</v>
      </c>
      <c r="AX7" s="80">
        <v>14.107379999999999</v>
      </c>
      <c r="AY7" s="80">
        <v>13.99973</v>
      </c>
      <c r="AZ7" s="80">
        <v>14.732480000000001</v>
      </c>
      <c r="BA7" s="80">
        <v>14.116529999999999</v>
      </c>
      <c r="BB7" s="80">
        <v>13.41405</v>
      </c>
      <c r="BC7" s="80">
        <v>12.761039999999999</v>
      </c>
      <c r="BD7" s="80">
        <v>14.61965</v>
      </c>
      <c r="BE7" s="80">
        <v>13.40634</v>
      </c>
      <c r="BF7" s="80">
        <v>15.3849</v>
      </c>
      <c r="BG7" s="80">
        <v>15.0115</v>
      </c>
      <c r="BH7" s="80">
        <v>15.40394</v>
      </c>
      <c r="BI7" s="80">
        <v>14.83196</v>
      </c>
      <c r="BJ7" s="80">
        <v>13.63219</v>
      </c>
      <c r="BK7" s="80">
        <v>13.921760372906983</v>
      </c>
      <c r="BL7" s="80">
        <v>13.447761253455347</v>
      </c>
      <c r="BM7" s="80">
        <v>13.880796562554604</v>
      </c>
      <c r="BN7" s="80">
        <v>14.710171929751317</v>
      </c>
      <c r="BO7" s="80">
        <v>12.964171049074716</v>
      </c>
      <c r="BP7" s="80">
        <v>13.745387032787084</v>
      </c>
      <c r="BQ7" s="80">
        <v>11.601943866743213</v>
      </c>
      <c r="BR7" s="80">
        <v>13.951726232251719</v>
      </c>
      <c r="BS7" s="80">
        <v>13.391557534678961</v>
      </c>
      <c r="BT7" s="80">
        <v>16.171895776765705</v>
      </c>
      <c r="BU7" s="80">
        <v>11.661682493321187</v>
      </c>
      <c r="BV7" s="80">
        <v>14.338821045670441</v>
      </c>
      <c r="BW7" s="80">
        <v>14.117876779637143</v>
      </c>
      <c r="BX7" s="80">
        <v>15.068309238168309</v>
      </c>
      <c r="BY7" s="80">
        <v>14.652894330151426</v>
      </c>
      <c r="BZ7" s="80">
        <v>15.501335548725176</v>
      </c>
      <c r="CA7" s="80">
        <v>11.348896243210643</v>
      </c>
      <c r="CB7" s="80">
        <v>13.142163791748809</v>
      </c>
      <c r="CC7" s="80">
        <v>10.751687472382269</v>
      </c>
      <c r="CD7" s="80">
        <v>12.560866105716848</v>
      </c>
      <c r="CE7" s="80">
        <v>14.138107278207187</v>
      </c>
      <c r="CF7" s="80">
        <v>14.825541491421129</v>
      </c>
      <c r="CG7" s="80">
        <v>13.238421447005935</v>
      </c>
      <c r="CH7" s="80">
        <v>12.372966644479419</v>
      </c>
      <c r="CI7" s="80">
        <v>12.81047056692565</v>
      </c>
      <c r="CJ7" s="80">
        <v>10.89214774568274</v>
      </c>
      <c r="CK7" s="80">
        <v>12.609457014585654</v>
      </c>
      <c r="CL7" s="80">
        <v>12.287883288941316</v>
      </c>
      <c r="CM7" s="80">
        <v>9.0164650415688268</v>
      </c>
      <c r="CN7" s="80">
        <v>8.8348837669277458</v>
      </c>
      <c r="CO7" s="80">
        <v>8.4215011784996676</v>
      </c>
      <c r="CP7" s="80">
        <v>9.902086710845861</v>
      </c>
      <c r="CQ7" s="80">
        <v>10.596900109092601</v>
      </c>
      <c r="CR7" s="80">
        <v>11.323519193451327</v>
      </c>
      <c r="CS7" s="80">
        <v>11.317700339302066</v>
      </c>
      <c r="CT7" s="80">
        <v>11.764021370502945</v>
      </c>
      <c r="CU7" s="80">
        <v>10.570087072802149</v>
      </c>
      <c r="CV7" s="80">
        <v>12.374861101123853</v>
      </c>
      <c r="CW7" s="80">
        <v>11.553430895826988</v>
      </c>
      <c r="CX7" s="80">
        <v>11.999726276769639</v>
      </c>
      <c r="CY7" s="80">
        <v>11.90877574962964</v>
      </c>
      <c r="CZ7" s="80">
        <v>10.858181683833591</v>
      </c>
      <c r="DA7" s="80">
        <v>10.567324523023833</v>
      </c>
      <c r="DB7" s="80">
        <v>10.670788997420301</v>
      </c>
      <c r="DC7" s="80">
        <v>14.730779276162931</v>
      </c>
      <c r="DD7" s="80">
        <v>13.074075276009578</v>
      </c>
      <c r="DE7" s="80">
        <v>12.663501616468736</v>
      </c>
      <c r="DF7" s="80">
        <v>10.724316983986411</v>
      </c>
      <c r="DG7" s="80">
        <v>12.496199505383208</v>
      </c>
      <c r="DH7" s="80">
        <v>13.739492707509676</v>
      </c>
      <c r="DI7" s="80">
        <v>13.334958958404622</v>
      </c>
      <c r="DJ7" s="80">
        <v>13.246532355869215</v>
      </c>
      <c r="DK7" s="80">
        <v>10.904307549436313</v>
      </c>
      <c r="DL7" s="80">
        <v>13.146131853134943</v>
      </c>
      <c r="DM7" s="80">
        <v>13.147794227934131</v>
      </c>
      <c r="DN7" s="80">
        <v>10.939284548268446</v>
      </c>
      <c r="DO7" s="80">
        <v>13.633177474694563</v>
      </c>
      <c r="DP7" s="80">
        <v>12.67336739801955</v>
      </c>
      <c r="DQ7" s="80">
        <v>11.846353244369176</v>
      </c>
      <c r="DR7" s="80">
        <v>11.719947265266626</v>
      </c>
      <c r="DS7" s="80">
        <v>11.504748314431195</v>
      </c>
      <c r="DT7" s="80">
        <v>13.290715099671463</v>
      </c>
      <c r="DU7" s="80">
        <v>12.602597382505737</v>
      </c>
      <c r="DV7" s="80">
        <v>13.385720694765753</v>
      </c>
      <c r="DW7" s="80">
        <v>13.215740825819367</v>
      </c>
      <c r="DX7" s="80">
        <v>12.531064453579264</v>
      </c>
      <c r="DY7" s="80">
        <v>12.09406437626067</v>
      </c>
      <c r="DZ7" s="80">
        <v>11.796411731814658</v>
      </c>
      <c r="EA7" s="80">
        <v>11.123592073400394</v>
      </c>
      <c r="EB7" s="80">
        <v>10.863238725713353</v>
      </c>
      <c r="EC7" s="80">
        <v>11.213744676180674</v>
      </c>
      <c r="ED7" s="80">
        <v>10.798715279788897</v>
      </c>
      <c r="EE7" s="80">
        <v>12.724065486264635</v>
      </c>
      <c r="EF7" s="80">
        <v>14.190945145563852</v>
      </c>
      <c r="EG7" s="80">
        <v>11.57278389526321</v>
      </c>
      <c r="EH7" s="80">
        <v>13.077455620207479</v>
      </c>
      <c r="EI7" s="80">
        <v>10.586050985020512</v>
      </c>
      <c r="EJ7" s="80">
        <v>12.27618610821315</v>
      </c>
      <c r="EK7" s="80">
        <v>11.010430135034301</v>
      </c>
      <c r="EL7" s="80">
        <v>10.482307114608812</v>
      </c>
      <c r="EM7" s="80">
        <v>11.179114239422256</v>
      </c>
      <c r="EN7" s="80">
        <v>10.176941947549308</v>
      </c>
      <c r="EO7" s="80">
        <v>12.85663239630127</v>
      </c>
      <c r="EP7" s="80">
        <v>11.708160377295147</v>
      </c>
      <c r="EQ7" s="80">
        <v>10.898844530461796</v>
      </c>
      <c r="ER7" s="80">
        <v>13.9332629072392</v>
      </c>
      <c r="ES7" s="80">
        <v>14.184760712762944</v>
      </c>
      <c r="ET7" s="80">
        <v>14.305375443336343</v>
      </c>
      <c r="EU7" s="80">
        <v>12.018934351573044</v>
      </c>
      <c r="EV7" s="80">
        <v>11.133242345914264</v>
      </c>
      <c r="EW7" s="80">
        <v>11.874368554588589</v>
      </c>
      <c r="EX7" s="80">
        <v>10.875216030119295</v>
      </c>
      <c r="EY7" s="80">
        <v>11.534404291897189</v>
      </c>
      <c r="EZ7" s="80">
        <v>10.557107408330337</v>
      </c>
      <c r="FA7" s="80">
        <v>11.094754461080294</v>
      </c>
      <c r="FB7" s="80">
        <v>10.791268852172021</v>
      </c>
      <c r="FC7" s="80">
        <v>12.149038073260574</v>
      </c>
      <c r="FD7" s="80">
        <v>9.2396648705822724</v>
      </c>
      <c r="FE7" s="81">
        <v>11.32170482881334</v>
      </c>
      <c r="FF7" s="81">
        <v>11.308866084603363</v>
      </c>
      <c r="FG7" s="81">
        <v>9.7097348321568333</v>
      </c>
      <c r="FH7" s="81">
        <v>14.271248682011301</v>
      </c>
      <c r="FI7" s="81">
        <v>10.453308408758231</v>
      </c>
      <c r="FJ7" s="81">
        <v>12.203075940117195</v>
      </c>
      <c r="FK7" s="81">
        <v>14.256362779849214</v>
      </c>
      <c r="FL7" s="81">
        <v>14.334660677085115</v>
      </c>
      <c r="FM7" s="81">
        <v>11.163985432156212</v>
      </c>
      <c r="FN7" s="81">
        <v>10.023919828467925</v>
      </c>
      <c r="FO7" s="81">
        <v>11.04454149643249</v>
      </c>
      <c r="FP7" s="81">
        <v>10.491028467428329</v>
      </c>
      <c r="FQ7" s="81">
        <v>12.384511533752656</v>
      </c>
      <c r="FR7" s="81">
        <v>11.229696972788595</v>
      </c>
      <c r="FS7" s="81">
        <v>11.163688203992091</v>
      </c>
      <c r="FT7" s="81">
        <v>11.861285713821287</v>
      </c>
      <c r="FU7" s="81">
        <v>12.478324317496867</v>
      </c>
      <c r="FV7" s="81">
        <v>11.693326475521808</v>
      </c>
      <c r="FW7" s="81">
        <v>12.184041885124794</v>
      </c>
      <c r="FX7" s="81">
        <v>10.310669008777264</v>
      </c>
      <c r="FY7" s="81">
        <v>10.30980621629177</v>
      </c>
      <c r="FZ7" s="81">
        <v>9.4056529265449704</v>
      </c>
      <c r="GA7" s="81">
        <v>11.601518591363549</v>
      </c>
      <c r="GB7" s="81">
        <v>13.02357670997746</v>
      </c>
      <c r="GC7" s="81">
        <v>11.587716942551486</v>
      </c>
      <c r="GD7" s="81">
        <v>11.836901069877309</v>
      </c>
      <c r="GE7" s="81">
        <v>10.386532000857546</v>
      </c>
      <c r="GF7" s="81">
        <v>12.543749778716155</v>
      </c>
      <c r="GG7" s="81">
        <v>11.167912447656027</v>
      </c>
      <c r="GH7" s="81">
        <v>9.972451096515476</v>
      </c>
      <c r="GI7" s="81">
        <v>14.110318826985413</v>
      </c>
      <c r="GJ7" s="81">
        <v>12.204248529912476</v>
      </c>
      <c r="GK7" s="81">
        <v>11.639133393326425</v>
      </c>
      <c r="GL7" s="81">
        <v>13.026023889900761</v>
      </c>
      <c r="GM7" s="81">
        <v>10.737026289211835</v>
      </c>
      <c r="GN7" s="81">
        <v>11.111976463136793</v>
      </c>
      <c r="GO7" s="81">
        <v>11.579770658614427</v>
      </c>
      <c r="GP7" s="81">
        <v>13.166165822172243</v>
      </c>
      <c r="GQ7" s="81">
        <v>11.482453378321061</v>
      </c>
      <c r="GR7" s="81">
        <v>11.731753149106664</v>
      </c>
      <c r="GS7" s="81">
        <v>9.660773023924337</v>
      </c>
      <c r="GT7" s="81">
        <v>10.64592115984123</v>
      </c>
      <c r="GU7" s="81">
        <v>11.474470097791185</v>
      </c>
      <c r="GV7" s="81">
        <v>11.240751166049174</v>
      </c>
      <c r="GW7" s="81">
        <v>9.9260256186467046</v>
      </c>
      <c r="GX7" s="81">
        <v>10.860344909064782</v>
      </c>
      <c r="GY7" s="81">
        <v>8.5196992169229802</v>
      </c>
      <c r="GZ7" s="81">
        <v>8.2633372660892483</v>
      </c>
      <c r="HA7" s="81">
        <v>8.9354490131266679</v>
      </c>
      <c r="HB7" s="81">
        <v>9.7552421087760184</v>
      </c>
      <c r="HC7" s="81">
        <v>7.6293947080100315</v>
      </c>
      <c r="HD7" s="81">
        <v>8.9259145733780709</v>
      </c>
      <c r="HE7" s="81">
        <v>6.8160249914152304</v>
      </c>
      <c r="HF7" s="81">
        <v>9.8652741027480317</v>
      </c>
      <c r="HG7" s="81">
        <v>10.318589631902066</v>
      </c>
      <c r="HH7" s="81">
        <v>8.5853208550416635</v>
      </c>
      <c r="HI7" s="81">
        <v>9.0972128184604948</v>
      </c>
      <c r="HJ7" s="81">
        <v>9.0473454354150871</v>
      </c>
      <c r="HK7" s="81">
        <v>9.6772890516584607</v>
      </c>
      <c r="HL7" s="81">
        <v>10.693932079249921</v>
      </c>
      <c r="HM7" s="81">
        <v>8.7602664211310568</v>
      </c>
      <c r="HN7" s="81">
        <v>9.4665004521232348</v>
      </c>
      <c r="HO7" s="81">
        <v>9.8328298460965868</v>
      </c>
      <c r="HP7" s="81">
        <v>10.00501867766032</v>
      </c>
      <c r="HQ7" s="81">
        <v>10.393301115712953</v>
      </c>
      <c r="HR7" s="81">
        <v>7.093</v>
      </c>
      <c r="HS7" s="81">
        <v>3.6261299999999999</v>
      </c>
      <c r="HT7" s="81">
        <v>3.4006338203840101</v>
      </c>
      <c r="HU7" s="81">
        <v>5.2877402318373798</v>
      </c>
      <c r="HV7" s="81">
        <v>4.6854126620953496</v>
      </c>
      <c r="HW7" s="81">
        <v>5.4264896641449996</v>
      </c>
      <c r="HX7" s="81">
        <v>7.0755932991510999</v>
      </c>
      <c r="HY7" s="81">
        <v>6.6078816260278703</v>
      </c>
      <c r="HZ7" s="81">
        <v>9.3945028922835903</v>
      </c>
      <c r="IA7" s="81">
        <v>9.3542987354892606</v>
      </c>
      <c r="IB7" s="81">
        <v>11.284852572723601</v>
      </c>
      <c r="IC7" s="81">
        <v>8.7516819634418592</v>
      </c>
      <c r="ID7" s="81">
        <v>10.4346979979178</v>
      </c>
      <c r="IE7" s="81">
        <v>10.6073996475792</v>
      </c>
      <c r="IF7" s="81">
        <v>8.1590745469330397</v>
      </c>
      <c r="IG7" s="81">
        <v>8.6388101258029604</v>
      </c>
      <c r="IH7" s="81">
        <v>9.9729819572158593</v>
      </c>
      <c r="II7" s="81">
        <v>11.0561651543109</v>
      </c>
      <c r="IJ7" s="81">
        <v>10.0258675830403</v>
      </c>
      <c r="IK7" s="81">
        <v>11.5195635886909</v>
      </c>
      <c r="IL7" s="81">
        <v>10.147784417686401</v>
      </c>
      <c r="IM7" s="81">
        <v>9.4149396429283296</v>
      </c>
      <c r="IN7" s="81">
        <v>11.1461918362759</v>
      </c>
      <c r="IO7" s="81">
        <v>10.1110128956048</v>
      </c>
      <c r="IP7" s="81">
        <v>11.259434332283501</v>
      </c>
      <c r="IQ7" s="81">
        <v>12.303618137468</v>
      </c>
      <c r="IR7" s="81">
        <v>12.01375507589</v>
      </c>
      <c r="IS7" s="81">
        <v>12.1036550399847</v>
      </c>
      <c r="IT7" s="81">
        <v>11.6572967965367</v>
      </c>
      <c r="IU7" s="81">
        <v>11.313022948751399</v>
      </c>
      <c r="IV7" s="81">
        <v>11.7537786989607</v>
      </c>
      <c r="IW7" s="81">
        <v>12.1043879442879</v>
      </c>
      <c r="IX7" s="81">
        <v>11.720394519522101</v>
      </c>
      <c r="IY7" s="81">
        <v>9.7894352089210201</v>
      </c>
      <c r="IZ7" s="81">
        <v>10.2527872507428</v>
      </c>
      <c r="JA7" s="81">
        <v>11.242117973049901</v>
      </c>
      <c r="JB7" s="81">
        <v>10.637175328655999</v>
      </c>
      <c r="JC7" s="81">
        <v>12.1723353835984</v>
      </c>
      <c r="JD7" s="81">
        <v>9.8088116601171507</v>
      </c>
      <c r="JE7" s="81">
        <v>10.877757554984401</v>
      </c>
      <c r="JF7" s="81">
        <v>11.024682790739501</v>
      </c>
      <c r="JG7" s="81">
        <v>11.0539786697273</v>
      </c>
      <c r="JH7" s="81">
        <v>9.6399275102968005</v>
      </c>
      <c r="JI7" s="81">
        <v>10.6854105504977</v>
      </c>
      <c r="JJ7" s="81">
        <v>9.9847729907518197</v>
      </c>
      <c r="JK7" s="81">
        <v>9.1753920319882596</v>
      </c>
      <c r="JL7" s="81">
        <v>9.6142685978082891</v>
      </c>
      <c r="JM7" s="81">
        <v>9.7724565318512404</v>
      </c>
      <c r="JN7" s="81">
        <v>8.1046976556055892</v>
      </c>
      <c r="JO7" s="81">
        <v>7.8537447699378102</v>
      </c>
      <c r="JP7" s="81">
        <v>8.61898821793128</v>
      </c>
      <c r="JQ7" s="81">
        <v>10.098643851092101</v>
      </c>
      <c r="JR7" s="81">
        <v>9.9575844408280396</v>
      </c>
      <c r="JS7" s="81">
        <v>9.6585493679543504</v>
      </c>
      <c r="JT7" s="81">
        <v>10.153907094373601</v>
      </c>
      <c r="JU7" s="81">
        <v>11.956858361197799</v>
      </c>
      <c r="JV7" s="81">
        <v>10.4406767997987</v>
      </c>
      <c r="JW7" s="81">
        <v>9.3323337471595007</v>
      </c>
      <c r="JX7" s="81">
        <v>11.3353624446934</v>
      </c>
      <c r="JY7" s="81">
        <v>9.8819222643433893</v>
      </c>
      <c r="JZ7" s="81">
        <v>9.3178478127979094</v>
      </c>
      <c r="KA7" s="81">
        <v>10.820679438440299</v>
      </c>
      <c r="KB7" s="81">
        <v>9.0028906541264409</v>
      </c>
      <c r="KC7" s="81">
        <v>9.6783053638713898</v>
      </c>
      <c r="KD7" s="81">
        <v>9.7892504956237296</v>
      </c>
      <c r="KE7" s="81">
        <v>9.6011207042761306</v>
      </c>
      <c r="KF7" s="81">
        <v>8.3367847472717198</v>
      </c>
      <c r="KG7" s="81">
        <v>10.7990186533307</v>
      </c>
      <c r="KH7" s="81">
        <v>10.256909339785199</v>
      </c>
      <c r="KI7" s="81">
        <v>9.2793997587741295</v>
      </c>
      <c r="KJ7" s="81">
        <v>8.8029419109287002</v>
      </c>
      <c r="KK7" s="81">
        <v>9.0133044982082104</v>
      </c>
      <c r="KL7" s="81">
        <v>8.9638289489214706</v>
      </c>
      <c r="KM7" s="81">
        <v>10.8186170781354</v>
      </c>
      <c r="KN7" s="81">
        <v>10.2784815375056</v>
      </c>
      <c r="KO7" s="81">
        <v>8.6601215411875696</v>
      </c>
    </row>
    <row r="8" spans="1:301" s="72" customFormat="1" ht="18" customHeight="1">
      <c r="A8" s="78" t="s">
        <v>149</v>
      </c>
      <c r="B8" s="79"/>
      <c r="C8" s="82">
        <v>19.746509647988244</v>
      </c>
      <c r="D8" s="82">
        <v>17.066762254065907</v>
      </c>
      <c r="E8" s="82">
        <v>16.437369611515148</v>
      </c>
      <c r="F8" s="82">
        <v>15.536240002302966</v>
      </c>
      <c r="G8" s="82">
        <v>18.560263942447971</v>
      </c>
      <c r="H8" s="82">
        <v>18.584029075730779</v>
      </c>
      <c r="I8" s="82">
        <v>17.998348955846119</v>
      </c>
      <c r="J8" s="82">
        <v>17.085854163808058</v>
      </c>
      <c r="K8" s="82">
        <v>17.213146944779133</v>
      </c>
      <c r="L8" s="82">
        <v>15.876369314415857</v>
      </c>
      <c r="M8" s="82">
        <v>13.789493496794016</v>
      </c>
      <c r="N8" s="82">
        <v>13.960174281916613</v>
      </c>
      <c r="O8" s="82">
        <v>12.523564109256982</v>
      </c>
      <c r="P8" s="82">
        <v>10.665399427612719</v>
      </c>
      <c r="Q8" s="82">
        <v>10.852749565485427</v>
      </c>
      <c r="R8" s="82">
        <v>12.668551773349309</v>
      </c>
      <c r="S8" s="82">
        <v>12.404609455584174</v>
      </c>
      <c r="T8" s="82">
        <v>10.092656184388973</v>
      </c>
      <c r="U8" s="82">
        <v>11.981723149885005</v>
      </c>
      <c r="V8" s="82">
        <v>11.053663806253009</v>
      </c>
      <c r="W8" s="82">
        <v>10.486006757928799</v>
      </c>
      <c r="X8" s="82">
        <v>11.118607580242085</v>
      </c>
      <c r="Y8" s="82">
        <v>11.672517660407992</v>
      </c>
      <c r="Z8" s="82">
        <v>10.084297407135674</v>
      </c>
      <c r="AA8" s="82">
        <v>12.556894128351786</v>
      </c>
      <c r="AB8" s="82">
        <v>9.7602786783713782</v>
      </c>
      <c r="AC8" s="82">
        <v>14.736358503795644</v>
      </c>
      <c r="AD8" s="82">
        <v>10.776180989165745</v>
      </c>
      <c r="AE8" s="82">
        <v>9.9843005737935933</v>
      </c>
      <c r="AF8" s="82">
        <v>12.378038049150453</v>
      </c>
      <c r="AG8" s="82">
        <v>11.545255748592885</v>
      </c>
      <c r="AH8" s="82">
        <v>13.832784207290439</v>
      </c>
      <c r="AI8" s="82">
        <v>13.530053825686027</v>
      </c>
      <c r="AJ8" s="82">
        <v>12.179994631764671</v>
      </c>
      <c r="AK8" s="82">
        <v>9.3075244765318192</v>
      </c>
      <c r="AL8" s="82">
        <v>10.547230635611974</v>
      </c>
      <c r="AM8" s="82">
        <v>9.7050801235487913</v>
      </c>
      <c r="AN8" s="82">
        <v>10.301432357380182</v>
      </c>
      <c r="AO8" s="82">
        <v>10.133288588236628</v>
      </c>
      <c r="AP8" s="82">
        <v>9.9522902883218975</v>
      </c>
      <c r="AQ8" s="82">
        <v>12.071201041146464</v>
      </c>
      <c r="AR8" s="82">
        <v>15.293334392106727</v>
      </c>
      <c r="AS8" s="82">
        <v>14.856949999999999</v>
      </c>
      <c r="AT8" s="82">
        <v>15.92409</v>
      </c>
      <c r="AU8" s="82">
        <v>15.332649999999999</v>
      </c>
      <c r="AV8" s="82">
        <v>14.46632</v>
      </c>
      <c r="AW8" s="82">
        <v>13.87645</v>
      </c>
      <c r="AX8" s="82">
        <v>12.23204</v>
      </c>
      <c r="AY8" s="82">
        <v>12.678699999999999</v>
      </c>
      <c r="AZ8" s="82">
        <v>13.703900000000001</v>
      </c>
      <c r="BA8" s="82">
        <v>13.63148</v>
      </c>
      <c r="BB8" s="82">
        <v>14.301069999999999</v>
      </c>
      <c r="BC8" s="82">
        <v>15.97194</v>
      </c>
      <c r="BD8" s="82">
        <v>14.620649999999999</v>
      </c>
      <c r="BE8" s="82">
        <v>15.679080000000001</v>
      </c>
      <c r="BF8" s="82">
        <v>15.472289999999999</v>
      </c>
      <c r="BG8" s="82">
        <v>16.468520000000002</v>
      </c>
      <c r="BH8" s="82">
        <v>15.096109999999999</v>
      </c>
      <c r="BI8" s="82">
        <v>14.5961</v>
      </c>
      <c r="BJ8" s="82">
        <v>13.36539</v>
      </c>
      <c r="BK8" s="82">
        <v>15.334980919840977</v>
      </c>
      <c r="BL8" s="82">
        <v>13.118454870307023</v>
      </c>
      <c r="BM8" s="82">
        <v>12.613364293262407</v>
      </c>
      <c r="BN8" s="82">
        <v>13.568545807107224</v>
      </c>
      <c r="BO8" s="82">
        <v>15.879627136860467</v>
      </c>
      <c r="BP8" s="82">
        <v>15.204100544111659</v>
      </c>
      <c r="BQ8" s="82">
        <v>15.903580515935406</v>
      </c>
      <c r="BR8" s="82">
        <v>18.013216015345439</v>
      </c>
      <c r="BS8" s="82">
        <v>16.080703656450911</v>
      </c>
      <c r="BT8" s="82">
        <v>14.306910325292305</v>
      </c>
      <c r="BU8" s="82">
        <v>15.594390347279219</v>
      </c>
      <c r="BV8" s="82">
        <v>15.666965425382317</v>
      </c>
      <c r="BW8" s="82">
        <v>16.903740532627147</v>
      </c>
      <c r="BX8" s="82">
        <v>14.349937356387418</v>
      </c>
      <c r="BY8" s="82">
        <v>13.592819681115047</v>
      </c>
      <c r="BZ8" s="82">
        <v>13.38156032182124</v>
      </c>
      <c r="CA8" s="82">
        <v>15.659795992187858</v>
      </c>
      <c r="CB8" s="82">
        <v>16.532901604918994</v>
      </c>
      <c r="CC8" s="82">
        <v>13.718514545671631</v>
      </c>
      <c r="CD8" s="82">
        <v>15.522571735431631</v>
      </c>
      <c r="CE8" s="82">
        <v>15.321823441058861</v>
      </c>
      <c r="CF8" s="82">
        <v>13.498176726219659</v>
      </c>
      <c r="CG8" s="82">
        <v>14.030044739786668</v>
      </c>
      <c r="CH8" s="82">
        <v>15.504891790707198</v>
      </c>
      <c r="CI8" s="82">
        <v>14.411185404294107</v>
      </c>
      <c r="CJ8" s="82">
        <v>14.894274262113786</v>
      </c>
      <c r="CK8" s="82">
        <v>14.981625995925697</v>
      </c>
      <c r="CL8" s="82">
        <v>17.071682850078471</v>
      </c>
      <c r="CM8" s="82">
        <v>15.142613380798654</v>
      </c>
      <c r="CN8" s="82">
        <v>15.955854529588699</v>
      </c>
      <c r="CO8" s="82">
        <v>18.112285201132096</v>
      </c>
      <c r="CP8" s="82">
        <v>19.573231163960468</v>
      </c>
      <c r="CQ8" s="82">
        <v>17.114184612056356</v>
      </c>
      <c r="CR8" s="82">
        <v>16.727212953933961</v>
      </c>
      <c r="CS8" s="82">
        <v>15.5563469948662</v>
      </c>
      <c r="CT8" s="82">
        <v>15.340246245561575</v>
      </c>
      <c r="CU8" s="82">
        <v>15.122198627691199</v>
      </c>
      <c r="CV8" s="82">
        <v>13.852569735314288</v>
      </c>
      <c r="CW8" s="82">
        <v>12.634623033606143</v>
      </c>
      <c r="CX8" s="82">
        <v>13.587691144408593</v>
      </c>
      <c r="CY8" s="82">
        <v>14.058768432865735</v>
      </c>
      <c r="CZ8" s="82">
        <v>12.702992329177192</v>
      </c>
      <c r="DA8" s="82">
        <v>13.696540626145795</v>
      </c>
      <c r="DB8" s="82">
        <v>14.697941972420647</v>
      </c>
      <c r="DC8" s="82">
        <v>14.806131800598136</v>
      </c>
      <c r="DD8" s="82">
        <v>15.059373390220635</v>
      </c>
      <c r="DE8" s="82">
        <v>12.241717975823608</v>
      </c>
      <c r="DF8" s="82">
        <v>13.793780782511044</v>
      </c>
      <c r="DG8" s="82">
        <v>13.263403645757894</v>
      </c>
      <c r="DH8" s="82">
        <v>15.232026024997976</v>
      </c>
      <c r="DI8" s="82">
        <v>13.522170687154322</v>
      </c>
      <c r="DJ8" s="82">
        <v>12.899265631754162</v>
      </c>
      <c r="DK8" s="82">
        <v>14.09532968463569</v>
      </c>
      <c r="DL8" s="82">
        <v>13.503308345354881</v>
      </c>
      <c r="DM8" s="82">
        <v>13.763946011170669</v>
      </c>
      <c r="DN8" s="82">
        <v>17.174285315672538</v>
      </c>
      <c r="DO8" s="82">
        <v>14.26117552623078</v>
      </c>
      <c r="DP8" s="82">
        <v>12.649627954684178</v>
      </c>
      <c r="DQ8" s="82">
        <v>13.887885768792207</v>
      </c>
      <c r="DR8" s="82">
        <v>13.055602055627846</v>
      </c>
      <c r="DS8" s="82">
        <v>13.337498810720927</v>
      </c>
      <c r="DT8" s="82">
        <v>13.382929865397925</v>
      </c>
      <c r="DU8" s="82">
        <v>13.883014005392791</v>
      </c>
      <c r="DV8" s="82">
        <v>17.045917529997602</v>
      </c>
      <c r="DW8" s="82">
        <v>16.355267529828943</v>
      </c>
      <c r="DX8" s="82">
        <v>17.709992710559654</v>
      </c>
      <c r="DY8" s="82">
        <v>15.824844097409743</v>
      </c>
      <c r="DZ8" s="82">
        <v>16.277635074474155</v>
      </c>
      <c r="EA8" s="82">
        <v>16.840472278027672</v>
      </c>
      <c r="EB8" s="82">
        <v>16.12411644690911</v>
      </c>
      <c r="EC8" s="82">
        <v>14.863172902236677</v>
      </c>
      <c r="ED8" s="82">
        <v>15.466888586016477</v>
      </c>
      <c r="EE8" s="82">
        <v>17.173057338365549</v>
      </c>
      <c r="EF8" s="82">
        <v>14.8821359973143</v>
      </c>
      <c r="EG8" s="82">
        <v>15.466795110703501</v>
      </c>
      <c r="EH8" s="82">
        <v>13.382864009399659</v>
      </c>
      <c r="EI8" s="82">
        <v>15.833114917847702</v>
      </c>
      <c r="EJ8" s="82">
        <v>16.435182109063085</v>
      </c>
      <c r="EK8" s="82">
        <v>15.827263501400232</v>
      </c>
      <c r="EL8" s="82">
        <v>19.721376114067187</v>
      </c>
      <c r="EM8" s="82">
        <v>16.785536963859041</v>
      </c>
      <c r="EN8" s="82">
        <v>17.330674626757016</v>
      </c>
      <c r="EO8" s="82">
        <v>14.914761000158135</v>
      </c>
      <c r="EP8" s="82">
        <v>16.633661515271349</v>
      </c>
      <c r="EQ8" s="82">
        <v>12.086676958139861</v>
      </c>
      <c r="ER8" s="82">
        <v>13.80104056814849</v>
      </c>
      <c r="ES8" s="82">
        <v>12.948209190607951</v>
      </c>
      <c r="ET8" s="82">
        <v>14.791698355210361</v>
      </c>
      <c r="EU8" s="82">
        <v>14.940329919829102</v>
      </c>
      <c r="EV8" s="82">
        <v>16.630601183162018</v>
      </c>
      <c r="EW8" s="82">
        <v>18.481121050093137</v>
      </c>
      <c r="EX8" s="82">
        <v>22.255536490785431</v>
      </c>
      <c r="EY8" s="82">
        <v>14.912917382579288</v>
      </c>
      <c r="EZ8" s="82">
        <v>17.592090131958543</v>
      </c>
      <c r="FA8" s="82">
        <v>15.134316350236579</v>
      </c>
      <c r="FB8" s="82">
        <v>13.060260216857063</v>
      </c>
      <c r="FC8" s="82">
        <v>15.208600931406096</v>
      </c>
      <c r="FD8" s="82">
        <v>15.536566562698468</v>
      </c>
      <c r="FE8" s="81">
        <v>15.529779894178336</v>
      </c>
      <c r="FF8" s="81">
        <v>14.070965954335396</v>
      </c>
      <c r="FG8" s="81">
        <v>13.343637157173859</v>
      </c>
      <c r="FH8" s="81">
        <v>13.702583350513532</v>
      </c>
      <c r="FI8" s="81">
        <v>14.832176117183874</v>
      </c>
      <c r="FJ8" s="81">
        <v>16.125434957158507</v>
      </c>
      <c r="FK8" s="81">
        <v>14.436609466161293</v>
      </c>
      <c r="FL8" s="81">
        <v>11.678364042559787</v>
      </c>
      <c r="FM8" s="81">
        <v>12.5523578611595</v>
      </c>
      <c r="FN8" s="81">
        <v>13.6645019365845</v>
      </c>
      <c r="FO8" s="81">
        <v>13.809538035091695</v>
      </c>
      <c r="FP8" s="81">
        <v>12.837435830714817</v>
      </c>
      <c r="FQ8" s="81">
        <v>13.092840546528123</v>
      </c>
      <c r="FR8" s="81">
        <v>13.81031503930944</v>
      </c>
      <c r="FS8" s="81">
        <v>15.071681533177683</v>
      </c>
      <c r="FT8" s="81">
        <v>14.298273793467953</v>
      </c>
      <c r="FU8" s="81">
        <v>15.740500380989134</v>
      </c>
      <c r="FV8" s="81">
        <v>17.097218172679057</v>
      </c>
      <c r="FW8" s="81">
        <v>15.744233586595271</v>
      </c>
      <c r="FX8" s="81">
        <v>15.804549358741852</v>
      </c>
      <c r="FY8" s="81">
        <v>15.238459438380891</v>
      </c>
      <c r="FZ8" s="81">
        <v>13.942416573428396</v>
      </c>
      <c r="GA8" s="81">
        <v>15.143996116226132</v>
      </c>
      <c r="GB8" s="81">
        <v>16.028179559644197</v>
      </c>
      <c r="GC8" s="81">
        <v>14.450412872980117</v>
      </c>
      <c r="GD8" s="81">
        <v>14.538151720316343</v>
      </c>
      <c r="GE8" s="81">
        <v>15.897982284101261</v>
      </c>
      <c r="GF8" s="81">
        <v>13.310077315600358</v>
      </c>
      <c r="GG8" s="81">
        <v>16.288158395747505</v>
      </c>
      <c r="GH8" s="81">
        <v>16.065994531110178</v>
      </c>
      <c r="GI8" s="81">
        <v>15.249624911969093</v>
      </c>
      <c r="GJ8" s="81">
        <v>16.042592221654704</v>
      </c>
      <c r="GK8" s="81">
        <v>13.072234670919384</v>
      </c>
      <c r="GL8" s="81">
        <v>15.281912407602572</v>
      </c>
      <c r="GM8" s="81">
        <v>13.069637980688388</v>
      </c>
      <c r="GN8" s="81">
        <v>12.321619013206945</v>
      </c>
      <c r="GO8" s="81">
        <v>11.455457156021545</v>
      </c>
      <c r="GP8" s="81">
        <v>14.217766188831121</v>
      </c>
      <c r="GQ8" s="81">
        <v>14.349097959160886</v>
      </c>
      <c r="GR8" s="81">
        <v>13.442269583747665</v>
      </c>
      <c r="GS8" s="81">
        <v>14.854497098771855</v>
      </c>
      <c r="GT8" s="81">
        <v>17.534166265745856</v>
      </c>
      <c r="GU8" s="81">
        <v>16.396904069283792</v>
      </c>
      <c r="GV8" s="81">
        <v>15.465238505918904</v>
      </c>
      <c r="GW8" s="81">
        <v>13.401552936428541</v>
      </c>
      <c r="GX8" s="81">
        <v>14.881570750868411</v>
      </c>
      <c r="GY8" s="81">
        <v>16.558402745420995</v>
      </c>
      <c r="GZ8" s="81">
        <v>16.629408889714707</v>
      </c>
      <c r="HA8" s="81">
        <v>16.028154653715706</v>
      </c>
      <c r="HB8" s="81">
        <v>13.580541034768951</v>
      </c>
      <c r="HC8" s="81">
        <v>16.316413305609249</v>
      </c>
      <c r="HD8" s="81">
        <v>14.269513951700441</v>
      </c>
      <c r="HE8" s="81">
        <v>14.164450908551002</v>
      </c>
      <c r="HF8" s="81">
        <v>15.108164262211007</v>
      </c>
      <c r="HG8" s="81">
        <v>16.334007206419781</v>
      </c>
      <c r="HH8" s="81">
        <v>12.979841325283653</v>
      </c>
      <c r="HI8" s="81">
        <v>13.915820398309741</v>
      </c>
      <c r="HJ8" s="81">
        <v>14.283650908494661</v>
      </c>
      <c r="HK8" s="81">
        <v>13.064024330040247</v>
      </c>
      <c r="HL8" s="81">
        <v>13.656383147500428</v>
      </c>
      <c r="HM8" s="81">
        <v>14.753069483780035</v>
      </c>
      <c r="HN8" s="81">
        <v>15.255361963950358</v>
      </c>
      <c r="HO8" s="81">
        <v>16.740897902102052</v>
      </c>
      <c r="HP8" s="81">
        <v>13.656060229021568</v>
      </c>
      <c r="HQ8" s="81">
        <v>13.870801129698817</v>
      </c>
      <c r="HR8" s="81">
        <v>12.2204</v>
      </c>
      <c r="HS8" s="81">
        <v>12.583299999999999</v>
      </c>
      <c r="HT8" s="81">
        <v>11.361486008120901</v>
      </c>
      <c r="HU8" s="81">
        <v>10.100116272343801</v>
      </c>
      <c r="HV8" s="81">
        <v>10.672748613740699</v>
      </c>
      <c r="HW8" s="81">
        <v>12.174036488923701</v>
      </c>
      <c r="HX8" s="81">
        <v>14.003587457053699</v>
      </c>
      <c r="HY8" s="81">
        <v>12.0572839178105</v>
      </c>
      <c r="HZ8" s="81">
        <v>11.4085276275094</v>
      </c>
      <c r="IA8" s="81">
        <v>15.6123075973765</v>
      </c>
      <c r="IB8" s="81">
        <v>13.707984670497099</v>
      </c>
      <c r="IC8" s="81">
        <v>14.5919599594187</v>
      </c>
      <c r="ID8" s="81">
        <v>15.6167948882182</v>
      </c>
      <c r="IE8" s="81">
        <v>13.7437789745478</v>
      </c>
      <c r="IF8" s="81">
        <v>16.127335758142198</v>
      </c>
      <c r="IG8" s="81">
        <v>13.565873739869501</v>
      </c>
      <c r="IH8" s="81">
        <v>14.458530843348999</v>
      </c>
      <c r="II8" s="81">
        <v>11.5696581806776</v>
      </c>
      <c r="IJ8" s="81">
        <v>12.6417815636817</v>
      </c>
      <c r="IK8" s="81">
        <v>11.182588196865099</v>
      </c>
      <c r="IL8" s="81">
        <v>10.9611635113319</v>
      </c>
      <c r="IM8" s="81">
        <v>15.1428827175056</v>
      </c>
      <c r="IN8" s="81">
        <v>13.283828779399199</v>
      </c>
      <c r="IO8" s="81">
        <v>14.644585653691699</v>
      </c>
      <c r="IP8" s="81">
        <v>16.117044550316098</v>
      </c>
      <c r="IQ8" s="81">
        <v>14.3126409728045</v>
      </c>
      <c r="IR8" s="81">
        <v>14.687314350469199</v>
      </c>
      <c r="IS8" s="81">
        <v>12.618458477096301</v>
      </c>
      <c r="IT8" s="81">
        <v>14.1419599468576</v>
      </c>
      <c r="IU8" s="81">
        <v>14.060435414153201</v>
      </c>
      <c r="IV8" s="81">
        <v>13.541187945700299</v>
      </c>
      <c r="IW8" s="81">
        <v>11.714282998656699</v>
      </c>
      <c r="IX8" s="81">
        <v>11.7232279494542</v>
      </c>
      <c r="IY8" s="81">
        <v>14.185146207461999</v>
      </c>
      <c r="IZ8" s="81">
        <v>13.1175457238921</v>
      </c>
      <c r="JA8" s="81">
        <v>12.7584773971675</v>
      </c>
      <c r="JB8" s="81">
        <v>14.2692549500476</v>
      </c>
      <c r="JC8" s="81">
        <v>12.3516491923211</v>
      </c>
      <c r="JD8" s="81">
        <v>13.009222804349299</v>
      </c>
      <c r="JE8" s="81">
        <v>13.1779048824806</v>
      </c>
      <c r="JF8" s="81">
        <v>10.294969157355199</v>
      </c>
      <c r="JG8" s="81">
        <v>12.904291095095999</v>
      </c>
      <c r="JH8" s="81">
        <v>12.649351201429599</v>
      </c>
      <c r="JI8" s="81">
        <v>13.602832157697399</v>
      </c>
      <c r="JJ8" s="81">
        <v>13.230906338944999</v>
      </c>
      <c r="JK8" s="81">
        <v>14.1899576656948</v>
      </c>
      <c r="JL8" s="81">
        <v>16.877968359143999</v>
      </c>
      <c r="JM8" s="81">
        <v>14.6224447132851</v>
      </c>
      <c r="JN8" s="81">
        <v>16.592985731755899</v>
      </c>
      <c r="JO8" s="81">
        <v>14.8916988755742</v>
      </c>
      <c r="JP8" s="81">
        <v>13.893441682475199</v>
      </c>
      <c r="JQ8" s="81">
        <v>14.709197797029701</v>
      </c>
      <c r="JR8" s="81">
        <v>12.808554200798699</v>
      </c>
      <c r="JS8" s="81">
        <v>14.0988102959231</v>
      </c>
      <c r="JT8" s="81">
        <v>14.046768923378901</v>
      </c>
      <c r="JU8" s="81">
        <v>11.185353016952799</v>
      </c>
      <c r="JV8" s="81">
        <v>14.628409631604301</v>
      </c>
      <c r="JW8" s="81">
        <v>14.751682884212199</v>
      </c>
      <c r="JX8" s="81">
        <v>12.955790170481601</v>
      </c>
      <c r="JY8" s="81">
        <v>15.4307168922639</v>
      </c>
      <c r="JZ8" s="81">
        <v>14.7044417392654</v>
      </c>
      <c r="KA8" s="81">
        <v>15.4653017161367</v>
      </c>
      <c r="KB8" s="81">
        <v>15.3982785075988</v>
      </c>
      <c r="KC8" s="81">
        <v>12.798730236072799</v>
      </c>
      <c r="KD8" s="81">
        <v>14.641528712037999</v>
      </c>
      <c r="KE8" s="81">
        <v>15.3754885852087</v>
      </c>
      <c r="KF8" s="81">
        <v>13.166112296605601</v>
      </c>
      <c r="KG8" s="81">
        <v>11.595002270707599</v>
      </c>
      <c r="KH8" s="81">
        <v>14.5083310875408</v>
      </c>
      <c r="KI8" s="81">
        <v>15.226364025689399</v>
      </c>
      <c r="KJ8" s="81">
        <v>14.532102671933</v>
      </c>
      <c r="KK8" s="81">
        <v>15.1641289296895</v>
      </c>
      <c r="KL8" s="81">
        <v>16.234342108572601</v>
      </c>
      <c r="KM8" s="81">
        <v>14.1185360666533</v>
      </c>
      <c r="KN8" s="81">
        <v>14.635397492565501</v>
      </c>
      <c r="KO8" s="81">
        <v>14.5755837239233</v>
      </c>
    </row>
    <row r="9" spans="1:301" s="72" customFormat="1" ht="18" customHeight="1">
      <c r="A9" s="78" t="s">
        <v>150</v>
      </c>
      <c r="B9" s="78"/>
      <c r="C9" s="80">
        <v>10.33086345479178</v>
      </c>
      <c r="D9" s="80">
        <v>9.2980532438753389</v>
      </c>
      <c r="E9" s="80">
        <v>10.469903876342654</v>
      </c>
      <c r="F9" s="80">
        <v>10.807608568146637</v>
      </c>
      <c r="G9" s="80">
        <v>8.7431706758972698</v>
      </c>
      <c r="H9" s="80">
        <v>8.4966031488248834</v>
      </c>
      <c r="I9" s="80">
        <v>7.1163650884665168</v>
      </c>
      <c r="J9" s="80">
        <v>7.8552208922161704</v>
      </c>
      <c r="K9" s="80">
        <v>8.7945364737541833</v>
      </c>
      <c r="L9" s="80">
        <v>8.2553794413272783</v>
      </c>
      <c r="M9" s="80">
        <v>7.5839454517101137</v>
      </c>
      <c r="N9" s="80">
        <v>7.4461433982888581</v>
      </c>
      <c r="O9" s="80">
        <v>7.2410198378787864</v>
      </c>
      <c r="P9" s="80">
        <v>7.1324419466104274</v>
      </c>
      <c r="Q9" s="80">
        <v>7.4450049542461239</v>
      </c>
      <c r="R9" s="80">
        <v>8.409846186186936</v>
      </c>
      <c r="S9" s="80">
        <v>9.2457992332193868</v>
      </c>
      <c r="T9" s="80">
        <v>9.8711100761782387</v>
      </c>
      <c r="U9" s="80">
        <v>9.5247904892308046</v>
      </c>
      <c r="V9" s="80">
        <v>11.440713779553809</v>
      </c>
      <c r="W9" s="80">
        <v>12.779999115827664</v>
      </c>
      <c r="X9" s="80">
        <v>12.429023779460124</v>
      </c>
      <c r="Y9" s="80">
        <v>14.476217609872393</v>
      </c>
      <c r="Z9" s="80">
        <v>12.341102832137185</v>
      </c>
      <c r="AA9" s="80">
        <v>13.667769217788257</v>
      </c>
      <c r="AB9" s="80">
        <v>14.553010287322351</v>
      </c>
      <c r="AC9" s="80">
        <v>13.981384450355439</v>
      </c>
      <c r="AD9" s="80">
        <v>13.562297637137933</v>
      </c>
      <c r="AE9" s="80">
        <v>11.721821074304513</v>
      </c>
      <c r="AF9" s="80">
        <v>13.794407583030134</v>
      </c>
      <c r="AG9" s="80">
        <v>14.137668501540569</v>
      </c>
      <c r="AH9" s="80">
        <v>17.278105202040233</v>
      </c>
      <c r="AI9" s="80">
        <v>13.314313546537416</v>
      </c>
      <c r="AJ9" s="80">
        <v>12.283695176501951</v>
      </c>
      <c r="AK9" s="80">
        <v>13.547204868986272</v>
      </c>
      <c r="AL9" s="80">
        <v>12.845283972820948</v>
      </c>
      <c r="AM9" s="80">
        <v>11.403301648565636</v>
      </c>
      <c r="AN9" s="80">
        <v>14.415216681582237</v>
      </c>
      <c r="AO9" s="80">
        <v>14.852436573697618</v>
      </c>
      <c r="AP9" s="80">
        <v>16.759171525944787</v>
      </c>
      <c r="AQ9" s="80">
        <v>14.488837684135506</v>
      </c>
      <c r="AR9" s="80">
        <v>16.004755089576641</v>
      </c>
      <c r="AS9" s="80">
        <v>17.94903</v>
      </c>
      <c r="AT9" s="80">
        <v>20.459250000000001</v>
      </c>
      <c r="AU9" s="80">
        <v>18.59104</v>
      </c>
      <c r="AV9" s="80">
        <v>21.149979999999999</v>
      </c>
      <c r="AW9" s="80">
        <v>17.958670000000001</v>
      </c>
      <c r="AX9" s="80">
        <v>20.08399</v>
      </c>
      <c r="AY9" s="80">
        <v>23.277799999999999</v>
      </c>
      <c r="AZ9" s="80">
        <v>22.216729999999998</v>
      </c>
      <c r="BA9" s="80">
        <v>21.976479999999999</v>
      </c>
      <c r="BB9" s="80">
        <v>21.959689999999998</v>
      </c>
      <c r="BC9" s="80">
        <v>19.446950000000001</v>
      </c>
      <c r="BD9" s="80">
        <v>20.460319999999999</v>
      </c>
      <c r="BE9" s="80">
        <v>20.49033</v>
      </c>
      <c r="BF9" s="80">
        <v>24.735910000000001</v>
      </c>
      <c r="BG9" s="80">
        <v>22.939129999999999</v>
      </c>
      <c r="BH9" s="80">
        <v>22.127199999999998</v>
      </c>
      <c r="BI9" s="80">
        <v>20.999279999999999</v>
      </c>
      <c r="BJ9" s="80">
        <v>21.09403</v>
      </c>
      <c r="BK9" s="80">
        <v>22.185862010016486</v>
      </c>
      <c r="BL9" s="80">
        <v>21.196200763386237</v>
      </c>
      <c r="BM9" s="80">
        <v>22.629072780896028</v>
      </c>
      <c r="BN9" s="80">
        <v>20.932279545346127</v>
      </c>
      <c r="BO9" s="80">
        <v>19.501192485885262</v>
      </c>
      <c r="BP9" s="80">
        <v>20.992066728642765</v>
      </c>
      <c r="BQ9" s="80">
        <v>21.021621587035209</v>
      </c>
      <c r="BR9" s="80">
        <v>24.023733031001861</v>
      </c>
      <c r="BS9" s="80">
        <v>21.820594677827764</v>
      </c>
      <c r="BT9" s="80">
        <v>21.708317592000999</v>
      </c>
      <c r="BU9" s="80">
        <v>21.711640630081543</v>
      </c>
      <c r="BV9" s="80">
        <v>21.598825214388388</v>
      </c>
      <c r="BW9" s="80">
        <v>22.191308032178913</v>
      </c>
      <c r="BX9" s="80">
        <v>22.036012442419619</v>
      </c>
      <c r="BY9" s="80">
        <v>22.066252465057527</v>
      </c>
      <c r="BZ9" s="80">
        <v>24.627896995554384</v>
      </c>
      <c r="CA9" s="80">
        <v>20.822745868706399</v>
      </c>
      <c r="CB9" s="80">
        <v>20.721319182571808</v>
      </c>
      <c r="CC9" s="80">
        <v>24.058090252828706</v>
      </c>
      <c r="CD9" s="80">
        <v>26.068449782765995</v>
      </c>
      <c r="CE9" s="80">
        <v>27.915584619087959</v>
      </c>
      <c r="CF9" s="80">
        <v>24.93655771669442</v>
      </c>
      <c r="CG9" s="80">
        <v>22.179475959282229</v>
      </c>
      <c r="CH9" s="80">
        <v>22.161132261957249</v>
      </c>
      <c r="CI9" s="80">
        <v>20.320913072162014</v>
      </c>
      <c r="CJ9" s="80">
        <v>21.356792537860393</v>
      </c>
      <c r="CK9" s="80">
        <v>20.601357653708966</v>
      </c>
      <c r="CL9" s="80">
        <v>18.066678298667917</v>
      </c>
      <c r="CM9" s="80">
        <v>14.034445524777805</v>
      </c>
      <c r="CN9" s="80">
        <v>15.489440344503414</v>
      </c>
      <c r="CO9" s="80">
        <v>16.447497550051519</v>
      </c>
      <c r="CP9" s="80">
        <v>17.854664253039129</v>
      </c>
      <c r="CQ9" s="80">
        <v>19.420149170321643</v>
      </c>
      <c r="CR9" s="80">
        <v>16.932573335147179</v>
      </c>
      <c r="CS9" s="80">
        <v>13.33215531752742</v>
      </c>
      <c r="CT9" s="80">
        <v>14.031884838654756</v>
      </c>
      <c r="CU9" s="80">
        <v>15.471516842291406</v>
      </c>
      <c r="CV9" s="80">
        <v>14.351021126181459</v>
      </c>
      <c r="CW9" s="80">
        <v>14.660283890193803</v>
      </c>
      <c r="CX9" s="80">
        <v>16.8631582393568</v>
      </c>
      <c r="CY9" s="80">
        <v>16.687147561819213</v>
      </c>
      <c r="CZ9" s="80">
        <v>15.889553325986</v>
      </c>
      <c r="DA9" s="80">
        <v>17.959906352727792</v>
      </c>
      <c r="DB9" s="80">
        <v>20.670545483212933</v>
      </c>
      <c r="DC9" s="80">
        <v>18.484200984390835</v>
      </c>
      <c r="DD9" s="80">
        <v>17.252378715190371</v>
      </c>
      <c r="DE9" s="80">
        <v>16.993623652917805</v>
      </c>
      <c r="DF9" s="80">
        <v>18.600506329138227</v>
      </c>
      <c r="DG9" s="80">
        <v>19.26698992089425</v>
      </c>
      <c r="DH9" s="80">
        <v>17.766723041239072</v>
      </c>
      <c r="DI9" s="80">
        <v>18.028902898059219</v>
      </c>
      <c r="DJ9" s="80">
        <v>18.007733180532938</v>
      </c>
      <c r="DK9" s="80">
        <v>17.446384817169879</v>
      </c>
      <c r="DL9" s="80">
        <v>17.381594282031546</v>
      </c>
      <c r="DM9" s="80">
        <v>17.510510062556158</v>
      </c>
      <c r="DN9" s="80">
        <v>21.457361313694083</v>
      </c>
      <c r="DO9" s="80">
        <v>20.462945046106785</v>
      </c>
      <c r="DP9" s="80">
        <v>20.490330253186489</v>
      </c>
      <c r="DQ9" s="80">
        <v>19.777581004200044</v>
      </c>
      <c r="DR9" s="80">
        <v>20.730354893844176</v>
      </c>
      <c r="DS9" s="80">
        <v>21.223972366530237</v>
      </c>
      <c r="DT9" s="80">
        <v>19.254825331932686</v>
      </c>
      <c r="DU9" s="80">
        <v>19.382468989532221</v>
      </c>
      <c r="DV9" s="80">
        <v>22.086441117206711</v>
      </c>
      <c r="DW9" s="80">
        <v>19.518722997656464</v>
      </c>
      <c r="DX9" s="80">
        <v>17.682117108224933</v>
      </c>
      <c r="DY9" s="80">
        <v>20.9341738170314</v>
      </c>
      <c r="DZ9" s="80">
        <v>23.241639114636623</v>
      </c>
      <c r="EA9" s="80">
        <v>18.553333812501595</v>
      </c>
      <c r="EB9" s="80">
        <v>19.31820903379403</v>
      </c>
      <c r="EC9" s="80">
        <v>18.229238458765696</v>
      </c>
      <c r="ED9" s="80">
        <v>20.120203187362691</v>
      </c>
      <c r="EE9" s="80">
        <v>17.734329790527312</v>
      </c>
      <c r="EF9" s="80">
        <v>17.961456751167606</v>
      </c>
      <c r="EG9" s="80">
        <v>19.112809995401779</v>
      </c>
      <c r="EH9" s="80">
        <v>16.405915554210011</v>
      </c>
      <c r="EI9" s="80">
        <v>16.189040566157704</v>
      </c>
      <c r="EJ9" s="80">
        <v>16.466778513377516</v>
      </c>
      <c r="EK9" s="80">
        <v>17.955536749370633</v>
      </c>
      <c r="EL9" s="80">
        <v>19.774673749286318</v>
      </c>
      <c r="EM9" s="80">
        <v>21.486204432632928</v>
      </c>
      <c r="EN9" s="80">
        <v>18.916358256850103</v>
      </c>
      <c r="EO9" s="80">
        <v>14.760278524812959</v>
      </c>
      <c r="EP9" s="80">
        <v>17.980281976249028</v>
      </c>
      <c r="EQ9" s="80">
        <v>20.492667173974507</v>
      </c>
      <c r="ER9" s="80">
        <v>18.953625306003026</v>
      </c>
      <c r="ES9" s="80">
        <v>20.488955956702494</v>
      </c>
      <c r="ET9" s="80">
        <v>17.725526069939715</v>
      </c>
      <c r="EU9" s="80">
        <v>16.694775953342113</v>
      </c>
      <c r="EV9" s="80">
        <v>17.680275047929513</v>
      </c>
      <c r="EW9" s="80">
        <v>15.320766092494228</v>
      </c>
      <c r="EX9" s="80">
        <v>17.691332459658412</v>
      </c>
      <c r="EY9" s="80">
        <v>19.815097533970782</v>
      </c>
      <c r="EZ9" s="80">
        <v>15.602395285434911</v>
      </c>
      <c r="FA9" s="80">
        <v>16.804567108190373</v>
      </c>
      <c r="FB9" s="80">
        <v>16.035547146459532</v>
      </c>
      <c r="FC9" s="80">
        <v>15.864127163162539</v>
      </c>
      <c r="FD9" s="80">
        <v>18.202775743726125</v>
      </c>
      <c r="FE9" s="81">
        <v>17.082145219060717</v>
      </c>
      <c r="FF9" s="81">
        <v>18.219046545155742</v>
      </c>
      <c r="FG9" s="81">
        <v>17.139525496967821</v>
      </c>
      <c r="FH9" s="81">
        <v>17.431325937415671</v>
      </c>
      <c r="FI9" s="81">
        <v>16.934510047679833</v>
      </c>
      <c r="FJ9" s="81">
        <v>20.60925972672019</v>
      </c>
      <c r="FK9" s="81">
        <v>18.747203816654292</v>
      </c>
      <c r="FL9" s="81">
        <v>19.022501035072782</v>
      </c>
      <c r="FM9" s="81">
        <v>17.900508529800661</v>
      </c>
      <c r="FN9" s="81">
        <v>18.790595738697629</v>
      </c>
      <c r="FO9" s="81">
        <v>18.160699501286402</v>
      </c>
      <c r="FP9" s="81">
        <v>18.976097109612514</v>
      </c>
      <c r="FQ9" s="81">
        <v>18.297452139031915</v>
      </c>
      <c r="FR9" s="81">
        <v>14.664834531486223</v>
      </c>
      <c r="FS9" s="81">
        <v>13.483528443417661</v>
      </c>
      <c r="FT9" s="81">
        <v>16.674038480374037</v>
      </c>
      <c r="FU9" s="81">
        <v>16.134317612289685</v>
      </c>
      <c r="FV9" s="81">
        <v>20.194820887328323</v>
      </c>
      <c r="FW9" s="81">
        <v>17.883720132146653</v>
      </c>
      <c r="FX9" s="81">
        <v>16.969790797899979</v>
      </c>
      <c r="FY9" s="81">
        <v>16.400982040945273</v>
      </c>
      <c r="FZ9" s="81">
        <v>17.378186032615776</v>
      </c>
      <c r="GA9" s="81">
        <v>18.063370310077467</v>
      </c>
      <c r="GB9" s="81">
        <v>17.487324952089008</v>
      </c>
      <c r="GC9" s="81">
        <v>17.886158283081048</v>
      </c>
      <c r="GD9" s="81">
        <v>16.004250984520098</v>
      </c>
      <c r="GE9" s="81">
        <v>15.721319020714656</v>
      </c>
      <c r="GF9" s="81">
        <v>18.747213022273819</v>
      </c>
      <c r="GG9" s="81">
        <v>17.076648767885555</v>
      </c>
      <c r="GH9" s="81">
        <v>22.920160224610584</v>
      </c>
      <c r="GI9" s="81">
        <v>19.653546346524063</v>
      </c>
      <c r="GJ9" s="81">
        <v>17.654665756455572</v>
      </c>
      <c r="GK9" s="81">
        <v>16.343232854120682</v>
      </c>
      <c r="GL9" s="81">
        <v>16.094051375661426</v>
      </c>
      <c r="GM9" s="81">
        <v>19.27754012123259</v>
      </c>
      <c r="GN9" s="81">
        <v>16.317557852176972</v>
      </c>
      <c r="GO9" s="81">
        <v>16.942967708115916</v>
      </c>
      <c r="GP9" s="81">
        <v>17.312579580165018</v>
      </c>
      <c r="GQ9" s="81">
        <v>15.218576787283892</v>
      </c>
      <c r="GR9" s="81">
        <v>16.149088647581227</v>
      </c>
      <c r="GS9" s="81">
        <v>17.324585068210112</v>
      </c>
      <c r="GT9" s="81">
        <v>18.232626104780778</v>
      </c>
      <c r="GU9" s="81">
        <v>16.366433066452814</v>
      </c>
      <c r="GV9" s="81">
        <v>15.481667421900408</v>
      </c>
      <c r="GW9" s="81">
        <v>15.919390571619935</v>
      </c>
      <c r="GX9" s="81">
        <v>13.116037112294881</v>
      </c>
      <c r="GY9" s="81">
        <v>13.986997567850077</v>
      </c>
      <c r="GZ9" s="81">
        <v>12.378583167665282</v>
      </c>
      <c r="HA9" s="81">
        <v>13.641942752889506</v>
      </c>
      <c r="HB9" s="81">
        <v>14.64719258603861</v>
      </c>
      <c r="HC9" s="81">
        <v>10.654917558679351</v>
      </c>
      <c r="HD9" s="81">
        <v>14.273185426454058</v>
      </c>
      <c r="HE9" s="81">
        <v>15.291378766807066</v>
      </c>
      <c r="HF9" s="81">
        <v>16.317005470583219</v>
      </c>
      <c r="HG9" s="81">
        <v>14.220162549922993</v>
      </c>
      <c r="HH9" s="81">
        <v>14.879374162983993</v>
      </c>
      <c r="HI9" s="81">
        <v>14.518844600498227</v>
      </c>
      <c r="HJ9" s="81">
        <v>12.42906258566358</v>
      </c>
      <c r="HK9" s="81">
        <v>14.045371758619977</v>
      </c>
      <c r="HL9" s="81">
        <v>14.318418235843072</v>
      </c>
      <c r="HM9" s="81">
        <v>14.261879083036581</v>
      </c>
      <c r="HN9" s="81">
        <v>12.616489206596635</v>
      </c>
      <c r="HO9" s="81">
        <v>12.158685723966832</v>
      </c>
      <c r="HP9" s="81">
        <v>11.354251727274658</v>
      </c>
      <c r="HQ9" s="81">
        <v>13.073263303068408</v>
      </c>
      <c r="HR9" s="81">
        <v>10.425700000000001</v>
      </c>
      <c r="HS9" s="81">
        <v>3.0798999999999999</v>
      </c>
      <c r="HT9" s="81">
        <v>3.4176057703737301</v>
      </c>
      <c r="HU9" s="81">
        <v>4.9105358993050396</v>
      </c>
      <c r="HV9" s="81">
        <v>6.2670148148309801</v>
      </c>
      <c r="HW9" s="81">
        <v>6.7077058101474698</v>
      </c>
      <c r="HX9" s="81">
        <v>6.9472369377390404</v>
      </c>
      <c r="HY9" s="81">
        <v>9.0959141279844999</v>
      </c>
      <c r="HZ9" s="81">
        <v>10.2198246783408</v>
      </c>
      <c r="IA9" s="81">
        <v>9.2548170487683592</v>
      </c>
      <c r="IB9" s="81">
        <v>10.786244426458399</v>
      </c>
      <c r="IC9" s="81">
        <v>12.530219121972801</v>
      </c>
      <c r="ID9" s="81">
        <v>15.081604384502199</v>
      </c>
      <c r="IE9" s="81">
        <v>14.0426567842902</v>
      </c>
      <c r="IF9" s="81">
        <v>12.5019957341437</v>
      </c>
      <c r="IG9" s="81">
        <v>11.717900846245699</v>
      </c>
      <c r="IH9" s="81">
        <v>12.198869103555699</v>
      </c>
      <c r="II9" s="81">
        <v>14.976977741643999</v>
      </c>
      <c r="IJ9" s="81">
        <v>14.473410737964199</v>
      </c>
      <c r="IK9" s="81">
        <v>15.142460265521599</v>
      </c>
      <c r="IL9" s="81">
        <v>15.792402255889201</v>
      </c>
      <c r="IM9" s="81">
        <v>13.8384167401246</v>
      </c>
      <c r="IN9" s="81">
        <v>15.7332051559001</v>
      </c>
      <c r="IO9" s="81">
        <v>15.7874954031643</v>
      </c>
      <c r="IP9" s="81">
        <v>20.819944537845</v>
      </c>
      <c r="IQ9" s="81">
        <v>20.6863749343993</v>
      </c>
      <c r="IR9" s="81">
        <v>18.999695270027502</v>
      </c>
      <c r="IS9" s="81">
        <v>18.521804160210198</v>
      </c>
      <c r="IT9" s="81">
        <v>19.692662101323599</v>
      </c>
      <c r="IU9" s="81">
        <v>19.876506458392502</v>
      </c>
      <c r="IV9" s="81">
        <v>18.404153254387399</v>
      </c>
      <c r="IW9" s="81">
        <v>17.213649508783899</v>
      </c>
      <c r="IX9" s="81">
        <v>18.759859389127001</v>
      </c>
      <c r="IY9" s="81">
        <v>16.447928863824501</v>
      </c>
      <c r="IZ9" s="81">
        <v>16.980391503177501</v>
      </c>
      <c r="JA9" s="81">
        <v>15.985213475660199</v>
      </c>
      <c r="JB9" s="81">
        <v>23.145212586690899</v>
      </c>
      <c r="JC9" s="81">
        <v>19.610273152951301</v>
      </c>
      <c r="JD9" s="81">
        <v>17.077762179809</v>
      </c>
      <c r="JE9" s="81">
        <v>17.7802409662802</v>
      </c>
      <c r="JF9" s="81">
        <v>17.159420828783698</v>
      </c>
      <c r="JG9" s="81">
        <v>18.826285913783799</v>
      </c>
      <c r="JH9" s="81">
        <v>15.386181500864</v>
      </c>
      <c r="JI9" s="81">
        <v>14.120153436052099</v>
      </c>
      <c r="JJ9" s="81">
        <v>15.196280483901001</v>
      </c>
      <c r="JK9" s="81">
        <v>13.054365418450599</v>
      </c>
      <c r="JL9" s="81">
        <v>13.79820957834</v>
      </c>
      <c r="JM9" s="81">
        <v>13.975736443911799</v>
      </c>
      <c r="JN9" s="81">
        <v>14.643848861837601</v>
      </c>
      <c r="JO9" s="81">
        <v>14.384873573522301</v>
      </c>
      <c r="JP9" s="81">
        <v>12.6817284538501</v>
      </c>
      <c r="JQ9" s="81">
        <v>12.327589856042501</v>
      </c>
      <c r="JR9" s="81">
        <v>14.195963284949199</v>
      </c>
      <c r="JS9" s="81">
        <v>16.094285017851998</v>
      </c>
      <c r="JT9" s="81">
        <v>15.643080036390099</v>
      </c>
      <c r="JU9" s="81">
        <v>15.9453753288477</v>
      </c>
      <c r="JV9" s="81">
        <v>14.9850318986296</v>
      </c>
      <c r="JW9" s="81">
        <v>14.0088216225609</v>
      </c>
      <c r="JX9" s="81">
        <v>15.1729321976512</v>
      </c>
      <c r="JY9" s="81">
        <v>16.141252096196499</v>
      </c>
      <c r="JZ9" s="81">
        <v>18.707416742273502</v>
      </c>
      <c r="KA9" s="81">
        <v>17.370089633294398</v>
      </c>
      <c r="KB9" s="81">
        <v>16.436781585783599</v>
      </c>
      <c r="KC9" s="81">
        <v>16.2336280035145</v>
      </c>
      <c r="KD9" s="81">
        <v>16.4530164891517</v>
      </c>
      <c r="KE9" s="81">
        <v>19.307182538473601</v>
      </c>
      <c r="KF9" s="81">
        <v>17.692095505000601</v>
      </c>
      <c r="KG9" s="81">
        <v>16.9398820491691</v>
      </c>
      <c r="KH9" s="81">
        <v>14.9368579612466</v>
      </c>
      <c r="KI9" s="81">
        <v>14.809974778451499</v>
      </c>
      <c r="KJ9" s="81">
        <v>16.5126490186883</v>
      </c>
      <c r="KK9" s="81">
        <v>14.526128554182501</v>
      </c>
      <c r="KL9" s="81">
        <v>18.1094085188546</v>
      </c>
      <c r="KM9" s="81">
        <v>16.5556209448287</v>
      </c>
      <c r="KN9" s="81">
        <v>16.300577308960801</v>
      </c>
      <c r="KO9" s="81">
        <v>13.373364388282599</v>
      </c>
    </row>
    <row r="10" spans="1:301" s="77" customFormat="1" ht="18" customHeight="1" thickBot="1">
      <c r="A10" s="70" t="s">
        <v>151</v>
      </c>
      <c r="B10" s="69"/>
      <c r="C10" s="83">
        <v>64.369882574755124</v>
      </c>
      <c r="D10" s="83">
        <v>65.46659786751141</v>
      </c>
      <c r="E10" s="83">
        <v>66.653823471686323</v>
      </c>
      <c r="F10" s="83">
        <v>65.360932392599665</v>
      </c>
      <c r="G10" s="83">
        <v>66.911485299621432</v>
      </c>
      <c r="H10" s="83">
        <v>67.352909364749706</v>
      </c>
      <c r="I10" s="83">
        <v>70.299743130052093</v>
      </c>
      <c r="J10" s="83">
        <v>68.403109735110348</v>
      </c>
      <c r="K10" s="83">
        <v>66.841307873998502</v>
      </c>
      <c r="L10" s="83">
        <v>69.538089352578041</v>
      </c>
      <c r="M10" s="83">
        <v>72.784260220517012</v>
      </c>
      <c r="N10" s="83">
        <v>70.502536796984245</v>
      </c>
      <c r="O10" s="83">
        <v>71.724406739205904</v>
      </c>
      <c r="P10" s="83">
        <v>75.335801841197068</v>
      </c>
      <c r="Q10" s="83">
        <v>72.552668544746567</v>
      </c>
      <c r="R10" s="83">
        <v>68.601560002548752</v>
      </c>
      <c r="S10" s="83">
        <v>68.559564062332882</v>
      </c>
      <c r="T10" s="83">
        <v>71.080683191307514</v>
      </c>
      <c r="U10" s="83">
        <v>68.763154481988252</v>
      </c>
      <c r="V10" s="83">
        <v>63.324410857385971</v>
      </c>
      <c r="W10" s="83">
        <v>64.180955492649133</v>
      </c>
      <c r="X10" s="83">
        <v>62.380048771634939</v>
      </c>
      <c r="Y10" s="83">
        <v>61.655069646667201</v>
      </c>
      <c r="Z10" s="83">
        <v>63.534826513291428</v>
      </c>
      <c r="AA10" s="83">
        <v>60.96610736423699</v>
      </c>
      <c r="AB10" s="83">
        <v>62.90598719512257</v>
      </c>
      <c r="AC10" s="83">
        <v>57.051911142833049</v>
      </c>
      <c r="AD10" s="83">
        <v>61.101456467232914</v>
      </c>
      <c r="AE10" s="83">
        <v>64.113823044386436</v>
      </c>
      <c r="AF10" s="83">
        <v>59.883181817310017</v>
      </c>
      <c r="AG10" s="83">
        <v>62.087519786504934</v>
      </c>
      <c r="AH10" s="83">
        <v>56.072660326808183</v>
      </c>
      <c r="AI10" s="83">
        <v>59.78369674089857</v>
      </c>
      <c r="AJ10" s="83">
        <v>64.115433525330744</v>
      </c>
      <c r="AK10" s="83">
        <v>65.566005296268344</v>
      </c>
      <c r="AL10" s="83">
        <v>64.794127164701834</v>
      </c>
      <c r="AM10" s="83">
        <v>66.67022900026366</v>
      </c>
      <c r="AN10" s="83">
        <v>62.333679005694847</v>
      </c>
      <c r="AO10" s="83">
        <v>61.575974396445133</v>
      </c>
      <c r="AP10" s="83">
        <v>59.365859055958779</v>
      </c>
      <c r="AQ10" s="83">
        <v>60.4012505199372</v>
      </c>
      <c r="AR10" s="83">
        <v>56.242171123007701</v>
      </c>
      <c r="AS10" s="83">
        <v>52.457529999999998</v>
      </c>
      <c r="AT10" s="83">
        <v>49.603499999999997</v>
      </c>
      <c r="AU10" s="83">
        <v>51.106699999999996</v>
      </c>
      <c r="AV10" s="83">
        <v>48.088189999999997</v>
      </c>
      <c r="AW10" s="83">
        <v>55.25376</v>
      </c>
      <c r="AX10" s="83">
        <v>53.576709999999999</v>
      </c>
      <c r="AY10" s="83">
        <v>50.043790000000001</v>
      </c>
      <c r="AZ10" s="83">
        <v>49.34704</v>
      </c>
      <c r="BA10" s="83">
        <v>50.275460000000002</v>
      </c>
      <c r="BB10" s="83">
        <v>50.325159999999997</v>
      </c>
      <c r="BC10" s="83">
        <v>51.820160000000001</v>
      </c>
      <c r="BD10" s="83">
        <v>50.299399999999999</v>
      </c>
      <c r="BE10" s="83">
        <v>50.424309999999998</v>
      </c>
      <c r="BF10" s="83">
        <v>44.407040000000002</v>
      </c>
      <c r="BG10" s="83">
        <v>45.580919999999999</v>
      </c>
      <c r="BH10" s="83">
        <v>47.372700000000002</v>
      </c>
      <c r="BI10" s="83">
        <v>49.57291</v>
      </c>
      <c r="BJ10" s="83">
        <v>51.90842</v>
      </c>
      <c r="BK10" s="83">
        <v>48.557396697235554</v>
      </c>
      <c r="BL10" s="83">
        <v>52.237583112851397</v>
      </c>
      <c r="BM10" s="83">
        <v>50.876766363286663</v>
      </c>
      <c r="BN10" s="83">
        <v>50.789002717795015</v>
      </c>
      <c r="BO10" s="83">
        <v>51.655009328179489</v>
      </c>
      <c r="BP10" s="83">
        <v>50.058445694458477</v>
      </c>
      <c r="BQ10" s="83">
        <v>51.472854030286165</v>
      </c>
      <c r="BR10" s="83">
        <v>44.011324721400982</v>
      </c>
      <c r="BS10" s="83">
        <v>48.707144131042377</v>
      </c>
      <c r="BT10" s="83">
        <v>47.812876305940996</v>
      </c>
      <c r="BU10" s="83">
        <v>51.032286529318057</v>
      </c>
      <c r="BV10" s="83">
        <v>48.395388314558851</v>
      </c>
      <c r="BW10" s="83">
        <v>46.787074655556786</v>
      </c>
      <c r="BX10" s="83">
        <v>48.545740963024656</v>
      </c>
      <c r="BY10" s="83">
        <v>49.688033523675998</v>
      </c>
      <c r="BZ10" s="83">
        <v>46.4892071338992</v>
      </c>
      <c r="CA10" s="83">
        <v>52.168561895895095</v>
      </c>
      <c r="CB10" s="83">
        <v>49.603615420760384</v>
      </c>
      <c r="CC10" s="83">
        <v>51.471707729117391</v>
      </c>
      <c r="CD10" s="83">
        <v>45.848112376085538</v>
      </c>
      <c r="CE10" s="83">
        <v>42.624484661645994</v>
      </c>
      <c r="CF10" s="83">
        <v>46.739724065664781</v>
      </c>
      <c r="CG10" s="83">
        <v>50.552057853925156</v>
      </c>
      <c r="CH10" s="83">
        <v>49.961009302856127</v>
      </c>
      <c r="CI10" s="83">
        <v>52.457430956618225</v>
      </c>
      <c r="CJ10" s="83">
        <v>52.856785454343083</v>
      </c>
      <c r="CK10" s="83">
        <v>51.807559335779686</v>
      </c>
      <c r="CL10" s="83">
        <v>52.5737555623123</v>
      </c>
      <c r="CM10" s="83">
        <v>61.80647605285472</v>
      </c>
      <c r="CN10" s="83">
        <v>59.719821358980155</v>
      </c>
      <c r="CO10" s="83">
        <v>57.018716070316721</v>
      </c>
      <c r="CP10" s="83">
        <v>52.670017872154553</v>
      </c>
      <c r="CQ10" s="83">
        <v>52.8687661085294</v>
      </c>
      <c r="CR10" s="83">
        <v>55.016694517467535</v>
      </c>
      <c r="CS10" s="83">
        <v>59.793797348304302</v>
      </c>
      <c r="CT10" s="83">
        <v>58.863847545280734</v>
      </c>
      <c r="CU10" s="83">
        <v>58.836197457215242</v>
      </c>
      <c r="CV10" s="83">
        <v>59.421548037380404</v>
      </c>
      <c r="CW10" s="83">
        <v>61.151662180373066</v>
      </c>
      <c r="CX10" s="83">
        <v>57.549424339464963</v>
      </c>
      <c r="CY10" s="83">
        <v>57.34530825568541</v>
      </c>
      <c r="CZ10" s="83">
        <v>60.549272661003215</v>
      </c>
      <c r="DA10" s="83">
        <v>57.776228498102576</v>
      </c>
      <c r="DB10" s="83">
        <v>53.96072354694612</v>
      </c>
      <c r="DC10" s="83">
        <v>51.978887938848096</v>
      </c>
      <c r="DD10" s="83">
        <v>54.614172618579417</v>
      </c>
      <c r="DE10" s="83">
        <v>58.101156754789848</v>
      </c>
      <c r="DF10" s="83">
        <v>56.881395904364318</v>
      </c>
      <c r="DG10" s="83">
        <v>54.973406927964653</v>
      </c>
      <c r="DH10" s="83">
        <v>53.261758226253278</v>
      </c>
      <c r="DI10" s="83">
        <v>55.113967456381829</v>
      </c>
      <c r="DJ10" s="83">
        <v>55.846468831843687</v>
      </c>
      <c r="DK10" s="83">
        <v>57.553977948758131</v>
      </c>
      <c r="DL10" s="83">
        <v>55.96896551947863</v>
      </c>
      <c r="DM10" s="83">
        <v>55.577749698339026</v>
      </c>
      <c r="DN10" s="83">
        <v>50.429068822364933</v>
      </c>
      <c r="DO10" s="83">
        <v>51.642701952967862</v>
      </c>
      <c r="DP10" s="83">
        <v>54.186674394109794</v>
      </c>
      <c r="DQ10" s="83">
        <v>54.48817998263857</v>
      </c>
      <c r="DR10" s="83">
        <v>54.494095785261351</v>
      </c>
      <c r="DS10" s="83">
        <v>53.933780508317639</v>
      </c>
      <c r="DT10" s="83">
        <v>54.071529702997935</v>
      </c>
      <c r="DU10" s="83">
        <v>54.131919622569256</v>
      </c>
      <c r="DV10" s="83">
        <v>47.481920658029928</v>
      </c>
      <c r="DW10" s="83">
        <v>50.910268646695222</v>
      </c>
      <c r="DX10" s="83">
        <v>52.076825727636148</v>
      </c>
      <c r="DY10" s="83">
        <v>51.146917709298187</v>
      </c>
      <c r="DZ10" s="83">
        <v>48.684314079074568</v>
      </c>
      <c r="EA10" s="83">
        <v>53.482601836070344</v>
      </c>
      <c r="EB10" s="83">
        <v>53.694435793583509</v>
      </c>
      <c r="EC10" s="83">
        <v>55.693843962816949</v>
      </c>
      <c r="ED10" s="83">
        <v>53.614192946831942</v>
      </c>
      <c r="EE10" s="83">
        <v>52.3685473848425</v>
      </c>
      <c r="EF10" s="83">
        <v>52.965462105954245</v>
      </c>
      <c r="EG10" s="83">
        <v>53.847610998631509</v>
      </c>
      <c r="EH10" s="83">
        <v>57.133764816182854</v>
      </c>
      <c r="EI10" s="83">
        <v>57.391793530974077</v>
      </c>
      <c r="EJ10" s="83">
        <v>54.821853269346256</v>
      </c>
      <c r="EK10" s="83">
        <v>55.206769614194826</v>
      </c>
      <c r="EL10" s="83">
        <v>50.021643022037686</v>
      </c>
      <c r="EM10" s="83">
        <v>50.549144364085777</v>
      </c>
      <c r="EN10" s="83">
        <v>53.576025168843579</v>
      </c>
      <c r="EO10" s="83">
        <v>57.468328078727637</v>
      </c>
      <c r="EP10" s="83">
        <v>53.677896131184475</v>
      </c>
      <c r="EQ10" s="83">
        <v>56.521811337423834</v>
      </c>
      <c r="ER10" s="83">
        <v>53.312071218609283</v>
      </c>
      <c r="ES10" s="83">
        <v>52.378074139926611</v>
      </c>
      <c r="ET10" s="83">
        <v>53.177400131513586</v>
      </c>
      <c r="EU10" s="83">
        <v>56.345959775255736</v>
      </c>
      <c r="EV10" s="83">
        <v>54.555881422994212</v>
      </c>
      <c r="EW10" s="83">
        <v>54.323744302824053</v>
      </c>
      <c r="EX10" s="83">
        <v>49.17791501943686</v>
      </c>
      <c r="EY10" s="83">
        <v>53.737580791552745</v>
      </c>
      <c r="EZ10" s="83">
        <v>56.248407174276203</v>
      </c>
      <c r="FA10" s="83">
        <v>56.966362080492758</v>
      </c>
      <c r="FB10" s="83">
        <v>60.112923784511388</v>
      </c>
      <c r="FC10" s="83">
        <v>56.778233832170791</v>
      </c>
      <c r="FD10" s="83">
        <v>57.020992822993136</v>
      </c>
      <c r="FE10" s="84">
        <v>56.066370057947609</v>
      </c>
      <c r="FF10" s="84">
        <v>56.4011214159055</v>
      </c>
      <c r="FG10" s="84">
        <v>59.807102513701494</v>
      </c>
      <c r="FH10" s="84">
        <v>54.594842030059496</v>
      </c>
      <c r="FI10" s="84">
        <v>57.780005426378068</v>
      </c>
      <c r="FJ10" s="84">
        <v>51.062229376004098</v>
      </c>
      <c r="FK10" s="84">
        <v>52.559823937335203</v>
      </c>
      <c r="FL10" s="84">
        <v>54.964474245282311</v>
      </c>
      <c r="FM10" s="84">
        <v>58.383148176883623</v>
      </c>
      <c r="FN10" s="84">
        <v>57.52098249624995</v>
      </c>
      <c r="FO10" s="84">
        <v>56.985220967189406</v>
      </c>
      <c r="FP10" s="84">
        <v>57.695438592244344</v>
      </c>
      <c r="FQ10" s="84">
        <v>56.225195780687308</v>
      </c>
      <c r="FR10" s="84">
        <v>60.29515345641574</v>
      </c>
      <c r="FS10" s="84">
        <v>60.281101819412562</v>
      </c>
      <c r="FT10" s="84">
        <v>57.166402012336725</v>
      </c>
      <c r="FU10" s="84">
        <v>55.646857689224319</v>
      </c>
      <c r="FV10" s="84">
        <v>51.014634464470824</v>
      </c>
      <c r="FW10" s="84">
        <v>54.18800439613328</v>
      </c>
      <c r="FX10" s="84">
        <v>56.914990834580912</v>
      </c>
      <c r="FY10" s="84">
        <v>58.050752304382073</v>
      </c>
      <c r="FZ10" s="84">
        <v>59.273744467410857</v>
      </c>
      <c r="GA10" s="84">
        <v>55.191114982332849</v>
      </c>
      <c r="GB10" s="84">
        <v>53.460918778289333</v>
      </c>
      <c r="GC10" s="84">
        <v>56.075711901387351</v>
      </c>
      <c r="GD10" s="84">
        <v>57.620696225286252</v>
      </c>
      <c r="GE10" s="84">
        <v>57.994166694326545</v>
      </c>
      <c r="GF10" s="84">
        <v>55.398959883409674</v>
      </c>
      <c r="GG10" s="84">
        <v>55.467280388710918</v>
      </c>
      <c r="GH10" s="84">
        <v>51.041394147763761</v>
      </c>
      <c r="GI10" s="84">
        <v>50.986509914521442</v>
      </c>
      <c r="GJ10" s="84">
        <v>54.098493491977251</v>
      </c>
      <c r="GK10" s="84">
        <v>58.945399081633511</v>
      </c>
      <c r="GL10" s="84">
        <v>55.598012326835246</v>
      </c>
      <c r="GM10" s="84">
        <v>56.915795608867192</v>
      </c>
      <c r="GN10" s="84">
        <v>60.248846671479292</v>
      </c>
      <c r="GO10" s="84">
        <v>60.021804477248111</v>
      </c>
      <c r="GP10" s="84">
        <v>55.303488408831612</v>
      </c>
      <c r="GQ10" s="84">
        <v>58.949871875234159</v>
      </c>
      <c r="GR10" s="84">
        <v>58.676888619564437</v>
      </c>
      <c r="GS10" s="84">
        <v>58.160144809093694</v>
      </c>
      <c r="GT10" s="84">
        <v>53.587286469632133</v>
      </c>
      <c r="GU10" s="84">
        <v>55.762192766472211</v>
      </c>
      <c r="GV10" s="84">
        <v>57.812342906131505</v>
      </c>
      <c r="GW10" s="84">
        <v>60.753030873304823</v>
      </c>
      <c r="GX10" s="84">
        <v>61.142047227771926</v>
      </c>
      <c r="GY10" s="84">
        <v>60.934900469805953</v>
      </c>
      <c r="GZ10" s="84">
        <v>62.728670676530761</v>
      </c>
      <c r="HA10" s="84">
        <v>61.394453580268113</v>
      </c>
      <c r="HB10" s="84">
        <v>62.017024270416421</v>
      </c>
      <c r="HC10" s="84">
        <v>65.399274427701371</v>
      </c>
      <c r="HD10" s="84">
        <v>62.531386048467432</v>
      </c>
      <c r="HE10" s="84">
        <v>63.728145333226706</v>
      </c>
      <c r="HF10" s="84">
        <v>58.709556164457744</v>
      </c>
      <c r="HG10" s="84">
        <v>59.127240611755163</v>
      </c>
      <c r="HH10" s="84">
        <v>63.555463656690691</v>
      </c>
      <c r="HI10" s="84">
        <v>62.468122182731534</v>
      </c>
      <c r="HJ10" s="84">
        <v>64.239941070426681</v>
      </c>
      <c r="HK10" s="84">
        <v>63.213314859681311</v>
      </c>
      <c r="HL10" s="84">
        <v>61.331266537406584</v>
      </c>
      <c r="HM10" s="84">
        <v>62.22478501205233</v>
      </c>
      <c r="HN10" s="84">
        <v>62.661648377329769</v>
      </c>
      <c r="HO10" s="84">
        <v>61.267586527834524</v>
      </c>
      <c r="HP10" s="84">
        <v>64.984669366043448</v>
      </c>
      <c r="HQ10" s="84">
        <v>62.662634451519828</v>
      </c>
      <c r="HR10" s="84">
        <v>70.260900000000007</v>
      </c>
      <c r="HS10" s="84">
        <v>80.710599999999999</v>
      </c>
      <c r="HT10" s="84">
        <v>81.820274401121395</v>
      </c>
      <c r="HU10" s="84">
        <v>79.701607596513796</v>
      </c>
      <c r="HV10" s="84">
        <v>78.374823909333003</v>
      </c>
      <c r="HW10" s="84">
        <v>75.691768036783799</v>
      </c>
      <c r="HX10" s="84">
        <v>71.973582306056102</v>
      </c>
      <c r="HY10" s="84">
        <v>72.238920328177102</v>
      </c>
      <c r="HZ10" s="84">
        <v>68.977144801866302</v>
      </c>
      <c r="IA10" s="84">
        <v>65.778576618365804</v>
      </c>
      <c r="IB10" s="84">
        <v>64.220918330320998</v>
      </c>
      <c r="IC10" s="84">
        <v>64.126138955166596</v>
      </c>
      <c r="ID10" s="84">
        <v>58.866902729361797</v>
      </c>
      <c r="IE10" s="84">
        <v>61.606164593582903</v>
      </c>
      <c r="IF10" s="84">
        <v>63.211593960781101</v>
      </c>
      <c r="IG10" s="84">
        <v>66.077415288081795</v>
      </c>
      <c r="IH10" s="84">
        <v>63.369618095879403</v>
      </c>
      <c r="II10" s="84">
        <v>62.397198923367597</v>
      </c>
      <c r="IJ10" s="84">
        <v>62.8589401153137</v>
      </c>
      <c r="IK10" s="84">
        <v>62.155387948922403</v>
      </c>
      <c r="IL10" s="84">
        <v>63.0986498150925</v>
      </c>
      <c r="IM10" s="84">
        <v>61.603760899441397</v>
      </c>
      <c r="IN10" s="84">
        <v>59.836774228424801</v>
      </c>
      <c r="IO10" s="84">
        <v>59.456906047539199</v>
      </c>
      <c r="IP10" s="84">
        <v>51.803576579555298</v>
      </c>
      <c r="IQ10" s="84">
        <v>52.697365955328301</v>
      </c>
      <c r="IR10" s="84">
        <v>54.299235303613401</v>
      </c>
      <c r="IS10" s="84">
        <v>56.756082322708899</v>
      </c>
      <c r="IT10" s="84">
        <v>54.508081155282099</v>
      </c>
      <c r="IU10" s="84">
        <v>54.750035178702902</v>
      </c>
      <c r="IV10" s="84">
        <v>56.300880100951701</v>
      </c>
      <c r="IW10" s="84">
        <v>58.967679548271498</v>
      </c>
      <c r="IX10" s="84">
        <v>57.796518141896698</v>
      </c>
      <c r="IY10" s="84">
        <v>59.577489719792503</v>
      </c>
      <c r="IZ10" s="84">
        <v>59.649275522187601</v>
      </c>
      <c r="JA10" s="84">
        <v>60.014191154122301</v>
      </c>
      <c r="JB10" s="84">
        <v>51.948357134605402</v>
      </c>
      <c r="JC10" s="84">
        <v>55.8657422711292</v>
      </c>
      <c r="JD10" s="84">
        <v>60.1042033557246</v>
      </c>
      <c r="JE10" s="84">
        <v>58.164096596254801</v>
      </c>
      <c r="JF10" s="84">
        <v>61.520927223121703</v>
      </c>
      <c r="JG10" s="84">
        <v>57.215444321393001</v>
      </c>
      <c r="JH10" s="84">
        <v>62.324539787409599</v>
      </c>
      <c r="JI10" s="84">
        <v>61.591603855752702</v>
      </c>
      <c r="JJ10" s="84">
        <v>61.588040186402203</v>
      </c>
      <c r="JK10" s="84">
        <v>63.580284883866398</v>
      </c>
      <c r="JL10" s="84">
        <v>59.709553464707803</v>
      </c>
      <c r="JM10" s="84">
        <v>61.629362310951898</v>
      </c>
      <c r="JN10" s="84">
        <v>60.658467750800902</v>
      </c>
      <c r="JO10" s="84">
        <v>62.869682780965697</v>
      </c>
      <c r="JP10" s="84">
        <v>64.805841645743399</v>
      </c>
      <c r="JQ10" s="84">
        <v>62.864568495835599</v>
      </c>
      <c r="JR10" s="84">
        <v>63.037898073424003</v>
      </c>
      <c r="JS10" s="84">
        <v>60.148355318270603</v>
      </c>
      <c r="JT10" s="84">
        <v>60.156243945857497</v>
      </c>
      <c r="JU10" s="84">
        <v>60.912413293001698</v>
      </c>
      <c r="JV10" s="84">
        <v>59.945881669967399</v>
      </c>
      <c r="JW10" s="84">
        <v>61.907161746067402</v>
      </c>
      <c r="JX10" s="84">
        <v>60.535915187173799</v>
      </c>
      <c r="JY10" s="84">
        <v>58.5461087471962</v>
      </c>
      <c r="JZ10" s="84">
        <v>57.2702937056632</v>
      </c>
      <c r="KA10" s="84">
        <v>56.343929212128501</v>
      </c>
      <c r="KB10" s="84">
        <v>59.162049252491201</v>
      </c>
      <c r="KC10" s="84">
        <v>61.289336396541302</v>
      </c>
      <c r="KD10" s="84">
        <v>59.116204303186599</v>
      </c>
      <c r="KE10" s="84">
        <v>55.716208172041597</v>
      </c>
      <c r="KF10" s="84">
        <v>60.805007451122101</v>
      </c>
      <c r="KG10" s="84">
        <v>60.666097026792599</v>
      </c>
      <c r="KH10" s="84">
        <v>60.297901611427498</v>
      </c>
      <c r="KI10" s="84">
        <v>60.684261437084999</v>
      </c>
      <c r="KJ10" s="84">
        <v>60.152306398450001</v>
      </c>
      <c r="KK10" s="84">
        <v>61.296438017919797</v>
      </c>
      <c r="KL10" s="84">
        <v>56.692420423651399</v>
      </c>
      <c r="KM10" s="84">
        <v>58.507225910382601</v>
      </c>
      <c r="KN10" s="84">
        <v>58.785543660968102</v>
      </c>
      <c r="KO10" s="84">
        <v>63.390930346606503</v>
      </c>
    </row>
    <row r="11" spans="1:301" s="72" customFormat="1" ht="30" customHeight="1" thickBot="1">
      <c r="A11" s="69" t="s">
        <v>152</v>
      </c>
      <c r="B11" s="69"/>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t="s">
        <v>138</v>
      </c>
      <c r="BQ11" s="85" t="s">
        <v>138</v>
      </c>
      <c r="BR11" s="85" t="s">
        <v>138</v>
      </c>
      <c r="BS11" s="85" t="s">
        <v>138</v>
      </c>
      <c r="BT11" s="85" t="s">
        <v>138</v>
      </c>
      <c r="BU11" s="85" t="s">
        <v>138</v>
      </c>
      <c r="BV11" s="85" t="s">
        <v>138</v>
      </c>
      <c r="BW11" s="85" t="s">
        <v>138</v>
      </c>
      <c r="BX11" s="85" t="s">
        <v>138</v>
      </c>
      <c r="BY11" s="85" t="s">
        <v>138</v>
      </c>
      <c r="BZ11" s="85" t="s">
        <v>138</v>
      </c>
      <c r="CA11" s="85" t="s">
        <v>138</v>
      </c>
      <c r="CB11" s="85" t="s">
        <v>138</v>
      </c>
      <c r="CC11" s="85" t="s">
        <v>138</v>
      </c>
      <c r="CD11" s="85" t="s">
        <v>138</v>
      </c>
      <c r="CE11" s="85" t="s">
        <v>138</v>
      </c>
      <c r="CF11" s="85" t="s">
        <v>138</v>
      </c>
      <c r="CG11" s="85" t="s">
        <v>138</v>
      </c>
      <c r="CH11" s="85" t="s">
        <v>138</v>
      </c>
      <c r="CI11" s="85" t="s">
        <v>138</v>
      </c>
      <c r="CJ11" s="85" t="s">
        <v>138</v>
      </c>
      <c r="CK11" s="85" t="s">
        <v>138</v>
      </c>
      <c r="CL11" s="85" t="s">
        <v>138</v>
      </c>
      <c r="CM11" s="85" t="s">
        <v>138</v>
      </c>
      <c r="CN11" s="85" t="s">
        <v>138</v>
      </c>
      <c r="CO11" s="85" t="s">
        <v>138</v>
      </c>
      <c r="CP11" s="85" t="s">
        <v>138</v>
      </c>
      <c r="CQ11" s="85" t="s">
        <v>138</v>
      </c>
      <c r="CR11" s="85" t="s">
        <v>138</v>
      </c>
      <c r="CS11" s="85" t="s">
        <v>138</v>
      </c>
      <c r="CT11" s="85" t="s">
        <v>138</v>
      </c>
      <c r="CU11" s="85" t="s">
        <v>138</v>
      </c>
      <c r="CV11" s="85" t="s">
        <v>138</v>
      </c>
      <c r="CW11" s="85" t="s">
        <v>138</v>
      </c>
      <c r="CX11" s="85" t="s">
        <v>138</v>
      </c>
      <c r="CY11" s="85" t="s">
        <v>138</v>
      </c>
      <c r="CZ11" s="85" t="s">
        <v>138</v>
      </c>
      <c r="DA11" s="85" t="s">
        <v>138</v>
      </c>
      <c r="DB11" s="85" t="s">
        <v>138</v>
      </c>
      <c r="DC11" s="85" t="s">
        <v>138</v>
      </c>
      <c r="DD11" s="85" t="s">
        <v>138</v>
      </c>
      <c r="DE11" s="85" t="s">
        <v>138</v>
      </c>
      <c r="DF11" s="85" t="s">
        <v>138</v>
      </c>
      <c r="DG11" s="85" t="s">
        <v>138</v>
      </c>
      <c r="DH11" s="85" t="s">
        <v>138</v>
      </c>
      <c r="DI11" s="85" t="s">
        <v>138</v>
      </c>
      <c r="DJ11" s="85" t="s">
        <v>138</v>
      </c>
      <c r="DK11" s="85" t="s">
        <v>138</v>
      </c>
      <c r="DL11" s="85" t="s">
        <v>138</v>
      </c>
      <c r="DM11" s="85" t="s">
        <v>138</v>
      </c>
      <c r="DN11" s="85" t="s">
        <v>138</v>
      </c>
      <c r="DO11" s="85" t="s">
        <v>138</v>
      </c>
      <c r="DP11" s="85" t="s">
        <v>138</v>
      </c>
      <c r="DQ11" s="85" t="s">
        <v>138</v>
      </c>
      <c r="DR11" s="85" t="s">
        <v>138</v>
      </c>
      <c r="DS11" s="85" t="s">
        <v>138</v>
      </c>
      <c r="DT11" s="85" t="s">
        <v>138</v>
      </c>
      <c r="DU11" s="85" t="s">
        <v>138</v>
      </c>
      <c r="DV11" s="85" t="s">
        <v>138</v>
      </c>
      <c r="DW11" s="85" t="s">
        <v>138</v>
      </c>
      <c r="DX11" s="85" t="s">
        <v>138</v>
      </c>
      <c r="DY11" s="85" t="s">
        <v>138</v>
      </c>
      <c r="DZ11" s="85" t="s">
        <v>138</v>
      </c>
      <c r="EA11" s="85" t="s">
        <v>138</v>
      </c>
      <c r="EB11" s="85" t="s">
        <v>138</v>
      </c>
      <c r="EC11" s="85" t="s">
        <v>138</v>
      </c>
      <c r="ED11" s="85" t="s">
        <v>138</v>
      </c>
      <c r="EE11" s="85" t="s">
        <v>138</v>
      </c>
      <c r="EF11" s="85" t="s">
        <v>138</v>
      </c>
      <c r="EG11" s="85" t="s">
        <v>138</v>
      </c>
      <c r="EH11" s="85" t="s">
        <v>138</v>
      </c>
      <c r="EI11" s="85" t="s">
        <v>138</v>
      </c>
      <c r="EJ11" s="85" t="s">
        <v>138</v>
      </c>
      <c r="EK11" s="85" t="s">
        <v>138</v>
      </c>
      <c r="EL11" s="85" t="s">
        <v>138</v>
      </c>
      <c r="EM11" s="85" t="s">
        <v>138</v>
      </c>
      <c r="EN11" s="85" t="s">
        <v>138</v>
      </c>
      <c r="EO11" s="85" t="s">
        <v>138</v>
      </c>
      <c r="EP11" s="85" t="s">
        <v>138</v>
      </c>
      <c r="EQ11" s="85" t="s">
        <v>138</v>
      </c>
      <c r="ER11" s="85" t="s">
        <v>138</v>
      </c>
      <c r="ES11" s="85" t="s">
        <v>138</v>
      </c>
      <c r="ET11" s="85" t="s">
        <v>138</v>
      </c>
      <c r="EU11" s="85" t="s">
        <v>138</v>
      </c>
      <c r="EV11" s="85" t="s">
        <v>138</v>
      </c>
      <c r="EW11" s="85" t="s">
        <v>138</v>
      </c>
      <c r="EX11" s="85" t="s">
        <v>138</v>
      </c>
      <c r="EY11" s="85" t="s">
        <v>138</v>
      </c>
      <c r="EZ11" s="85" t="s">
        <v>138</v>
      </c>
      <c r="FA11" s="85" t="s">
        <v>138</v>
      </c>
      <c r="FB11" s="85" t="s">
        <v>138</v>
      </c>
      <c r="FC11" s="85" t="s">
        <v>138</v>
      </c>
      <c r="FD11" s="85" t="s">
        <v>138</v>
      </c>
      <c r="FE11" s="85" t="s">
        <v>138</v>
      </c>
      <c r="FF11" s="85" t="s">
        <v>138</v>
      </c>
      <c r="FG11" s="85" t="s">
        <v>138</v>
      </c>
      <c r="FH11" s="85" t="s">
        <v>138</v>
      </c>
      <c r="FI11" s="85" t="s">
        <v>138</v>
      </c>
      <c r="FJ11" s="85" t="s">
        <v>138</v>
      </c>
      <c r="FK11" s="85" t="s">
        <v>138</v>
      </c>
      <c r="FL11" s="85" t="s">
        <v>138</v>
      </c>
      <c r="FM11" s="85" t="s">
        <v>138</v>
      </c>
      <c r="FN11" s="85" t="s">
        <v>138</v>
      </c>
      <c r="FO11" s="85" t="s">
        <v>138</v>
      </c>
      <c r="FP11" s="85" t="s">
        <v>138</v>
      </c>
      <c r="FQ11" s="85" t="s">
        <v>138</v>
      </c>
      <c r="FR11" s="85" t="s">
        <v>138</v>
      </c>
      <c r="FS11" s="85" t="s">
        <v>138</v>
      </c>
      <c r="FT11" s="85" t="s">
        <v>138</v>
      </c>
      <c r="FU11" s="85" t="s">
        <v>138</v>
      </c>
      <c r="FV11" s="85" t="s">
        <v>138</v>
      </c>
      <c r="FW11" s="85" t="s">
        <v>138</v>
      </c>
      <c r="FX11" s="85" t="s">
        <v>138</v>
      </c>
      <c r="FY11" s="85" t="s">
        <v>138</v>
      </c>
      <c r="FZ11" s="85" t="s">
        <v>138</v>
      </c>
      <c r="GA11" s="85" t="s">
        <v>138</v>
      </c>
      <c r="GB11" s="85" t="s">
        <v>138</v>
      </c>
      <c r="GC11" s="85" t="s">
        <v>138</v>
      </c>
      <c r="GD11" s="85" t="s">
        <v>138</v>
      </c>
      <c r="GE11" s="85" t="s">
        <v>138</v>
      </c>
      <c r="GF11" s="85" t="s">
        <v>138</v>
      </c>
      <c r="GG11" s="85" t="s">
        <v>138</v>
      </c>
      <c r="GH11" s="85" t="s">
        <v>138</v>
      </c>
      <c r="GI11" s="85" t="s">
        <v>138</v>
      </c>
      <c r="GJ11" s="85" t="s">
        <v>138</v>
      </c>
      <c r="GK11" s="85" t="s">
        <v>138</v>
      </c>
      <c r="GL11" s="85" t="s">
        <v>138</v>
      </c>
      <c r="GM11" s="85" t="s">
        <v>138</v>
      </c>
      <c r="GN11" s="85" t="s">
        <v>138</v>
      </c>
      <c r="GO11" s="85" t="s">
        <v>138</v>
      </c>
      <c r="GP11" s="85" t="s">
        <v>138</v>
      </c>
      <c r="GQ11" s="85" t="s">
        <v>138</v>
      </c>
      <c r="GR11" s="85"/>
      <c r="GS11" s="85"/>
      <c r="GT11" s="85"/>
      <c r="GU11" s="85"/>
      <c r="GV11" s="85"/>
      <c r="GW11" s="85"/>
      <c r="GX11" s="85"/>
      <c r="GY11" s="85"/>
      <c r="GZ11" s="85"/>
      <c r="HA11" s="85" t="s">
        <v>138</v>
      </c>
      <c r="HB11" s="85" t="s">
        <v>138</v>
      </c>
      <c r="HC11" s="85" t="s">
        <v>138</v>
      </c>
      <c r="HD11" s="85"/>
      <c r="HE11" s="85" t="s">
        <v>138</v>
      </c>
      <c r="HF11" s="85"/>
      <c r="HG11" s="85" t="s">
        <v>138</v>
      </c>
      <c r="HH11" s="85" t="s">
        <v>138</v>
      </c>
      <c r="HI11" s="85"/>
      <c r="HJ11" s="85"/>
      <c r="HK11" s="85"/>
      <c r="HL11" s="85"/>
      <c r="HM11" s="85" t="s">
        <v>138</v>
      </c>
      <c r="HN11" s="85"/>
      <c r="HO11" s="85"/>
      <c r="HP11" s="85"/>
      <c r="HQ11" s="85"/>
      <c r="HR11" s="85"/>
      <c r="HS11" s="85"/>
      <c r="HT11" s="85"/>
      <c r="HU11" s="85"/>
      <c r="HV11" s="85"/>
      <c r="HW11" s="85"/>
      <c r="HX11" s="85"/>
      <c r="HY11" s="85"/>
      <c r="HZ11" s="85"/>
      <c r="IA11" s="85"/>
      <c r="IB11" s="85"/>
      <c r="IC11" s="85"/>
      <c r="ID11" s="85"/>
      <c r="IE11" s="85"/>
      <c r="IF11" s="85"/>
      <c r="IG11" s="85"/>
      <c r="IH11" s="85"/>
      <c r="II11" s="85"/>
      <c r="IJ11" s="85"/>
      <c r="IK11" s="85"/>
      <c r="IL11" s="85"/>
      <c r="IM11" s="85"/>
      <c r="IN11" s="85"/>
      <c r="IO11" s="85"/>
      <c r="IP11" s="85"/>
      <c r="IQ11" s="85"/>
      <c r="IR11" s="85"/>
      <c r="IS11" s="85"/>
      <c r="IT11" s="85"/>
      <c r="IU11" s="85"/>
      <c r="IV11" s="85"/>
      <c r="IW11" s="85"/>
      <c r="IX11" s="85"/>
      <c r="IY11" s="85"/>
      <c r="IZ11" s="85"/>
      <c r="JA11" s="85"/>
      <c r="JB11" s="85"/>
      <c r="JC11" s="85"/>
      <c r="JD11" s="85"/>
      <c r="JE11" s="85"/>
      <c r="JF11" s="85"/>
      <c r="JG11" s="85"/>
      <c r="JH11" s="85"/>
      <c r="JI11" s="85"/>
      <c r="JJ11" s="85"/>
      <c r="JK11" s="85"/>
      <c r="JL11" s="85"/>
      <c r="JM11" s="85"/>
      <c r="JN11" s="85"/>
      <c r="JO11" s="85"/>
      <c r="JP11" s="85"/>
      <c r="JQ11" s="85"/>
      <c r="JR11" s="85"/>
      <c r="JS11" s="85"/>
      <c r="JT11" s="85"/>
      <c r="JU11" s="85"/>
      <c r="JV11" s="85"/>
      <c r="JW11" s="85"/>
      <c r="JX11" s="85"/>
      <c r="JY11" s="85"/>
      <c r="JZ11" s="85"/>
      <c r="KA11" s="85"/>
      <c r="KB11" s="85"/>
      <c r="KC11" s="85"/>
      <c r="KD11" s="85"/>
      <c r="KE11" s="85"/>
      <c r="KF11" s="213"/>
      <c r="KG11" s="213"/>
      <c r="KH11" s="213"/>
      <c r="KI11" s="213"/>
      <c r="KJ11" s="213"/>
      <c r="KK11" s="213"/>
      <c r="KL11" s="213"/>
      <c r="KM11" s="213"/>
      <c r="KN11" s="213"/>
      <c r="KO11" s="213"/>
    </row>
    <row r="12" spans="1:301" s="77" customFormat="1" ht="18" customHeight="1">
      <c r="A12" s="86" t="s">
        <v>153</v>
      </c>
      <c r="B12" s="87"/>
      <c r="C12" s="88">
        <v>100</v>
      </c>
      <c r="D12" s="88">
        <v>100</v>
      </c>
      <c r="E12" s="88">
        <v>100</v>
      </c>
      <c r="F12" s="88">
        <v>100</v>
      </c>
      <c r="G12" s="88">
        <v>100.00000000000001</v>
      </c>
      <c r="H12" s="88">
        <v>100</v>
      </c>
      <c r="I12" s="88">
        <v>100</v>
      </c>
      <c r="J12" s="88">
        <v>100</v>
      </c>
      <c r="K12" s="88">
        <v>100</v>
      </c>
      <c r="L12" s="88">
        <v>100.00000000000001</v>
      </c>
      <c r="M12" s="88">
        <v>100</v>
      </c>
      <c r="N12" s="88">
        <v>100</v>
      </c>
      <c r="O12" s="88">
        <v>100</v>
      </c>
      <c r="P12" s="88">
        <v>100</v>
      </c>
      <c r="Q12" s="88">
        <v>100</v>
      </c>
      <c r="R12" s="88">
        <v>100</v>
      </c>
      <c r="S12" s="88">
        <v>100</v>
      </c>
      <c r="T12" s="88">
        <v>100</v>
      </c>
      <c r="U12" s="88">
        <v>100</v>
      </c>
      <c r="V12" s="88">
        <v>100</v>
      </c>
      <c r="W12" s="88">
        <v>100</v>
      </c>
      <c r="X12" s="88">
        <v>100</v>
      </c>
      <c r="Y12" s="88">
        <v>100</v>
      </c>
      <c r="Z12" s="88">
        <v>100</v>
      </c>
      <c r="AA12" s="88">
        <v>100</v>
      </c>
      <c r="AB12" s="88">
        <v>100</v>
      </c>
      <c r="AC12" s="88">
        <v>100</v>
      </c>
      <c r="AD12" s="88">
        <v>100</v>
      </c>
      <c r="AE12" s="88">
        <v>100</v>
      </c>
      <c r="AF12" s="88">
        <v>100</v>
      </c>
      <c r="AG12" s="88">
        <v>100</v>
      </c>
      <c r="AH12" s="88">
        <v>100</v>
      </c>
      <c r="AI12" s="88">
        <v>100</v>
      </c>
      <c r="AJ12" s="88">
        <v>100</v>
      </c>
      <c r="AK12" s="88">
        <v>100</v>
      </c>
      <c r="AL12" s="88">
        <v>100</v>
      </c>
      <c r="AM12" s="88">
        <v>100</v>
      </c>
      <c r="AN12" s="88">
        <v>100</v>
      </c>
      <c r="AO12" s="88">
        <v>100</v>
      </c>
      <c r="AP12" s="88">
        <v>99.999999999999972</v>
      </c>
      <c r="AQ12" s="88">
        <v>99.999999999999815</v>
      </c>
      <c r="AR12" s="88">
        <v>100.00000000000021</v>
      </c>
      <c r="AS12" s="88">
        <v>100.00000559999998</v>
      </c>
      <c r="AT12" s="88">
        <v>99.999996549999992</v>
      </c>
      <c r="AU12" s="88">
        <v>100.000004733</v>
      </c>
      <c r="AV12" s="88">
        <v>99.999996999999993</v>
      </c>
      <c r="AW12" s="88">
        <v>100.0000038</v>
      </c>
      <c r="AX12" s="88">
        <v>99.999999099999997</v>
      </c>
      <c r="AY12" s="88">
        <v>99.999997920000013</v>
      </c>
      <c r="AZ12" s="88">
        <v>100.00000729999999</v>
      </c>
      <c r="BA12" s="88">
        <v>99.999992699999993</v>
      </c>
      <c r="BB12" s="88">
        <v>99.999995899999988</v>
      </c>
      <c r="BC12" s="88">
        <v>99.999985900000013</v>
      </c>
      <c r="BD12" s="88">
        <v>100.00000879999999</v>
      </c>
      <c r="BE12" s="88">
        <v>100.00000319999999</v>
      </c>
      <c r="BF12" s="88">
        <v>99.999990539999999</v>
      </c>
      <c r="BG12" s="88">
        <v>99.999995060000003</v>
      </c>
      <c r="BH12" s="88">
        <v>100.00000657</v>
      </c>
      <c r="BI12" s="88">
        <v>100.00000032999999</v>
      </c>
      <c r="BJ12" s="88">
        <v>100.0000094</v>
      </c>
      <c r="BK12" s="88">
        <v>99.999999999999986</v>
      </c>
      <c r="BL12" s="88">
        <v>100</v>
      </c>
      <c r="BM12" s="88">
        <v>99.999999999999957</v>
      </c>
      <c r="BN12" s="88">
        <v>100.00000000000007</v>
      </c>
      <c r="BO12" s="88">
        <v>100.00000000000009</v>
      </c>
      <c r="BP12" s="88">
        <v>100</v>
      </c>
      <c r="BQ12" s="88">
        <v>100</v>
      </c>
      <c r="BR12" s="88">
        <v>100</v>
      </c>
      <c r="BS12" s="88">
        <v>100</v>
      </c>
      <c r="BT12" s="88">
        <v>100</v>
      </c>
      <c r="BU12" s="88">
        <v>100</v>
      </c>
      <c r="BV12" s="88">
        <v>99.999999999999986</v>
      </c>
      <c r="BW12" s="88">
        <v>100.00000000000001</v>
      </c>
      <c r="BX12" s="88">
        <v>99.999999999999986</v>
      </c>
      <c r="BY12" s="88">
        <v>99.999999999999986</v>
      </c>
      <c r="BZ12" s="88">
        <v>100.00000000000003</v>
      </c>
      <c r="CA12" s="88">
        <v>100.00000000000001</v>
      </c>
      <c r="CB12" s="88">
        <v>100</v>
      </c>
      <c r="CC12" s="88">
        <v>99.999999999999986</v>
      </c>
      <c r="CD12" s="88">
        <v>99.999999999999986</v>
      </c>
      <c r="CE12" s="88">
        <v>100</v>
      </c>
      <c r="CF12" s="88">
        <v>100.00000000000001</v>
      </c>
      <c r="CG12" s="88">
        <v>100</v>
      </c>
      <c r="CH12" s="88">
        <v>100</v>
      </c>
      <c r="CI12" s="88">
        <v>100</v>
      </c>
      <c r="CJ12" s="88">
        <v>99.999999999999986</v>
      </c>
      <c r="CK12" s="88">
        <v>100</v>
      </c>
      <c r="CL12" s="88">
        <v>100</v>
      </c>
      <c r="CM12" s="88">
        <v>99.999999999999986</v>
      </c>
      <c r="CN12" s="88">
        <v>100</v>
      </c>
      <c r="CO12" s="88">
        <v>100.00000000000001</v>
      </c>
      <c r="CP12" s="88">
        <v>99.999999999999986</v>
      </c>
      <c r="CQ12" s="88">
        <v>99.999999999999986</v>
      </c>
      <c r="CR12" s="88">
        <v>99.999999999999986</v>
      </c>
      <c r="CS12" s="88">
        <v>100.00000000000001</v>
      </c>
      <c r="CT12" s="88">
        <v>100.00000000000001</v>
      </c>
      <c r="CU12" s="88">
        <v>100.00000000000001</v>
      </c>
      <c r="CV12" s="88">
        <v>99.999999999999986</v>
      </c>
      <c r="CW12" s="88">
        <v>100.00000000000001</v>
      </c>
      <c r="CX12" s="88">
        <v>100</v>
      </c>
      <c r="CY12" s="88">
        <v>100</v>
      </c>
      <c r="CZ12" s="88">
        <v>100</v>
      </c>
      <c r="DA12" s="88">
        <v>100</v>
      </c>
      <c r="DB12" s="88">
        <v>100.00000000000001</v>
      </c>
      <c r="DC12" s="88">
        <v>100</v>
      </c>
      <c r="DD12" s="88">
        <v>100</v>
      </c>
      <c r="DE12" s="88">
        <v>100</v>
      </c>
      <c r="DF12" s="88">
        <v>100.00000000000001</v>
      </c>
      <c r="DG12" s="88">
        <v>100</v>
      </c>
      <c r="DH12" s="88">
        <v>100</v>
      </c>
      <c r="DI12" s="88">
        <v>100</v>
      </c>
      <c r="DJ12" s="88">
        <v>100.00000000000001</v>
      </c>
      <c r="DK12" s="88">
        <v>100.00000000000001</v>
      </c>
      <c r="DL12" s="88">
        <v>100</v>
      </c>
      <c r="DM12" s="88">
        <v>100</v>
      </c>
      <c r="DN12" s="88">
        <v>100</v>
      </c>
      <c r="DO12" s="88">
        <v>100</v>
      </c>
      <c r="DP12" s="88">
        <v>100</v>
      </c>
      <c r="DQ12" s="88">
        <v>99.999999999999986</v>
      </c>
      <c r="DR12" s="88">
        <v>100.00000000000001</v>
      </c>
      <c r="DS12" s="88">
        <v>100</v>
      </c>
      <c r="DT12" s="88">
        <v>100.00000000000001</v>
      </c>
      <c r="DU12" s="88">
        <v>100.00002829026377</v>
      </c>
      <c r="DV12" s="88">
        <v>100.00000000000006</v>
      </c>
      <c r="DW12" s="88">
        <v>100.00000000000007</v>
      </c>
      <c r="DX12" s="88">
        <v>99.999999999999986</v>
      </c>
      <c r="DY12" s="88">
        <v>99.999999999999901</v>
      </c>
      <c r="DZ12" s="88">
        <v>99.999999999999929</v>
      </c>
      <c r="EA12" s="88">
        <v>99.999999999999929</v>
      </c>
      <c r="EB12" s="88">
        <v>100.00000000000004</v>
      </c>
      <c r="EC12" s="88">
        <v>99.999999999999972</v>
      </c>
      <c r="ED12" s="88">
        <v>99.999999999999886</v>
      </c>
      <c r="EE12" s="88">
        <v>99.999999999999929</v>
      </c>
      <c r="EF12" s="88">
        <v>99.999999999999957</v>
      </c>
      <c r="EG12" s="88">
        <v>99.999999999999972</v>
      </c>
      <c r="EH12" s="88">
        <v>99.999999999999943</v>
      </c>
      <c r="EI12" s="88">
        <v>99.999999999999915</v>
      </c>
      <c r="EJ12" s="88">
        <v>99.999999999999957</v>
      </c>
      <c r="EK12" s="88">
        <v>100.00000000000007</v>
      </c>
      <c r="EL12" s="88">
        <v>99.999999999999986</v>
      </c>
      <c r="EM12" s="88">
        <v>99.999999999999957</v>
      </c>
      <c r="EN12" s="88">
        <v>99.999999999999986</v>
      </c>
      <c r="EO12" s="88">
        <v>99.999999999999957</v>
      </c>
      <c r="EP12" s="88">
        <v>99.999999999999972</v>
      </c>
      <c r="EQ12" s="88">
        <v>99.999999999999972</v>
      </c>
      <c r="ER12" s="88">
        <v>99.999999999999943</v>
      </c>
      <c r="ES12" s="88">
        <v>100.00000000000003</v>
      </c>
      <c r="ET12" s="88">
        <v>99.999999999999957</v>
      </c>
      <c r="EU12" s="88">
        <v>99.999999999999858</v>
      </c>
      <c r="EV12" s="88">
        <v>99.999999999999986</v>
      </c>
      <c r="EW12" s="88">
        <v>99.999999999999986</v>
      </c>
      <c r="EX12" s="88">
        <v>99.999999999999943</v>
      </c>
      <c r="EY12" s="88">
        <v>100.00000000000001</v>
      </c>
      <c r="EZ12" s="88">
        <v>99.999999999999986</v>
      </c>
      <c r="FA12" s="88">
        <v>99.999999999999972</v>
      </c>
      <c r="FB12" s="88">
        <v>100.00000000000001</v>
      </c>
      <c r="FC12" s="88">
        <v>100.00000000000004</v>
      </c>
      <c r="FD12" s="88">
        <v>100.00000000000003</v>
      </c>
      <c r="FE12" s="88">
        <v>100</v>
      </c>
      <c r="FF12" s="88">
        <v>99.999999999999915</v>
      </c>
      <c r="FG12" s="88">
        <v>99.999999999999986</v>
      </c>
      <c r="FH12" s="88">
        <v>100.00000000000006</v>
      </c>
      <c r="FI12" s="88">
        <v>99.999999999999972</v>
      </c>
      <c r="FJ12" s="88">
        <v>99.999999999999957</v>
      </c>
      <c r="FK12" s="88">
        <v>100.00000000000009</v>
      </c>
      <c r="FL12" s="88">
        <v>99.999999999999986</v>
      </c>
      <c r="FM12" s="88">
        <v>99.999999999999972</v>
      </c>
      <c r="FN12" s="88">
        <v>99.999999999999986</v>
      </c>
      <c r="FO12" s="88">
        <v>99.999999999999943</v>
      </c>
      <c r="FP12" s="88">
        <v>99.999999999999957</v>
      </c>
      <c r="FQ12" s="88">
        <v>100.0000000000001</v>
      </c>
      <c r="FR12" s="88">
        <v>100</v>
      </c>
      <c r="FS12" s="88">
        <v>100.0000000000001</v>
      </c>
      <c r="FT12" s="88">
        <v>100.00000000000007</v>
      </c>
      <c r="FU12" s="88">
        <v>100.00000000000004</v>
      </c>
      <c r="FV12" s="88">
        <v>99.999999999999858</v>
      </c>
      <c r="FW12" s="88">
        <v>100.00000000000003</v>
      </c>
      <c r="FX12" s="88">
        <v>99.999999999999957</v>
      </c>
      <c r="FY12" s="88">
        <v>100.00000000000009</v>
      </c>
      <c r="FZ12" s="88">
        <v>100.00000000000003</v>
      </c>
      <c r="GA12" s="88">
        <v>100.00000000000007</v>
      </c>
      <c r="GB12" s="88">
        <v>100.00000000000007</v>
      </c>
      <c r="GC12" s="88">
        <v>100</v>
      </c>
      <c r="GD12" s="88">
        <v>100.00000000000009</v>
      </c>
      <c r="GE12" s="88">
        <v>100.00000000000006</v>
      </c>
      <c r="GF12" s="88">
        <v>100.00000000000003</v>
      </c>
      <c r="GG12" s="88">
        <v>99.999999999999957</v>
      </c>
      <c r="GH12" s="88">
        <v>100.00000000000001</v>
      </c>
      <c r="GI12" s="88">
        <v>99.999999999999901</v>
      </c>
      <c r="GJ12" s="88">
        <v>100</v>
      </c>
      <c r="GK12" s="88">
        <v>99.999999999999901</v>
      </c>
      <c r="GL12" s="88">
        <v>100.00000000000009</v>
      </c>
      <c r="GM12" s="88">
        <v>100.00000000000004</v>
      </c>
      <c r="GN12" s="88">
        <v>100</v>
      </c>
      <c r="GO12" s="88">
        <v>99.999999999999915</v>
      </c>
      <c r="GP12" s="88">
        <v>99.999999999999986</v>
      </c>
      <c r="GQ12" s="88">
        <v>100</v>
      </c>
      <c r="GR12" s="88">
        <v>100.00000000000003</v>
      </c>
      <c r="GS12" s="88">
        <v>99.999999999999986</v>
      </c>
      <c r="GT12" s="88">
        <v>99.999999999999901</v>
      </c>
      <c r="GU12" s="88">
        <v>99.999999999999886</v>
      </c>
      <c r="GV12" s="88">
        <v>99.999999999999972</v>
      </c>
      <c r="GW12" s="88">
        <v>99.999999999999972</v>
      </c>
      <c r="GX12" s="88">
        <v>100.00000000000001</v>
      </c>
      <c r="GY12" s="88">
        <v>99.999999999999915</v>
      </c>
      <c r="GZ12" s="88">
        <v>100.00000000000001</v>
      </c>
      <c r="HA12" s="88">
        <v>99.999999999999943</v>
      </c>
      <c r="HB12" s="88">
        <v>99.999999999999943</v>
      </c>
      <c r="HC12" s="88">
        <v>99.999999999999872</v>
      </c>
      <c r="HD12" s="88">
        <v>99.999999999999943</v>
      </c>
      <c r="HE12" s="88">
        <v>100.00000000000014</v>
      </c>
      <c r="HF12" s="88">
        <v>100</v>
      </c>
      <c r="HG12" s="88">
        <v>100.00000000000006</v>
      </c>
      <c r="HH12" s="88">
        <v>100.00000000000003</v>
      </c>
      <c r="HI12" s="88">
        <v>100.00000000000001</v>
      </c>
      <c r="HJ12" s="88">
        <v>100.00000000000006</v>
      </c>
      <c r="HK12" s="88">
        <v>99.999999999999957</v>
      </c>
      <c r="HL12" s="88">
        <v>100.00000000000001</v>
      </c>
      <c r="HM12" s="88">
        <v>99.999999999999957</v>
      </c>
      <c r="HN12" s="88">
        <v>100.00000000000003</v>
      </c>
      <c r="HO12" s="88">
        <v>99.999999999999915</v>
      </c>
      <c r="HP12" s="88">
        <v>99.999999999999929</v>
      </c>
      <c r="HQ12" s="88">
        <v>100.00000000000003</v>
      </c>
      <c r="HR12" s="88">
        <v>99.999960999999999</v>
      </c>
      <c r="HS12" s="88">
        <v>100.000005</v>
      </c>
      <c r="HT12" s="88">
        <v>100.00000000000003</v>
      </c>
      <c r="HU12" s="88">
        <v>99.999999999999915</v>
      </c>
      <c r="HV12" s="88">
        <v>100.00000000000009</v>
      </c>
      <c r="HW12" s="88">
        <v>100.00000000000006</v>
      </c>
      <c r="HX12" s="88">
        <v>99.999999999999929</v>
      </c>
      <c r="HY12" s="88">
        <v>100.00000000000006</v>
      </c>
      <c r="HZ12" s="88">
        <v>100</v>
      </c>
      <c r="IA12" s="88">
        <v>100.00000000000003</v>
      </c>
      <c r="IB12" s="88">
        <v>99.999999999999986</v>
      </c>
      <c r="IC12" s="88">
        <v>100.00000000000003</v>
      </c>
      <c r="ID12" s="88">
        <v>100</v>
      </c>
      <c r="IE12" s="88">
        <v>100.00000000000006</v>
      </c>
      <c r="IF12" s="88">
        <v>99.999999999999957</v>
      </c>
      <c r="IG12" s="88">
        <v>99.999999999999972</v>
      </c>
      <c r="IH12" s="88">
        <v>100.00000000000009</v>
      </c>
      <c r="II12" s="88">
        <v>100</v>
      </c>
      <c r="IJ12" s="88">
        <v>99.999999999999972</v>
      </c>
      <c r="IK12" s="88">
        <v>99.999999999999972</v>
      </c>
      <c r="IL12" s="88">
        <v>99.999999999999972</v>
      </c>
      <c r="IM12" s="88">
        <v>99.999999999999986</v>
      </c>
      <c r="IN12" s="88">
        <v>99.999999999999972</v>
      </c>
      <c r="IO12" s="88">
        <v>99.999999999999986</v>
      </c>
      <c r="IP12" s="88">
        <v>99.999999999999972</v>
      </c>
      <c r="IQ12" s="88">
        <v>99.999999999999986</v>
      </c>
      <c r="IR12" s="88">
        <v>99.999999999999957</v>
      </c>
      <c r="IS12" s="88">
        <v>100.00000000000003</v>
      </c>
      <c r="IT12" s="88">
        <v>100</v>
      </c>
      <c r="IU12" s="88">
        <v>99.999999999999972</v>
      </c>
      <c r="IV12" s="88">
        <f t="shared" ref="IV12" si="1">+IV13+IV14+IV18</f>
        <v>100.00000000000007</v>
      </c>
      <c r="IW12" s="88">
        <v>99.999999999999886</v>
      </c>
      <c r="IX12" s="88">
        <v>100</v>
      </c>
      <c r="IY12" s="88">
        <v>100.00000000000003</v>
      </c>
      <c r="IZ12" s="88">
        <v>99.999999999999972</v>
      </c>
      <c r="JA12" s="88">
        <v>100.00000000000004</v>
      </c>
      <c r="JB12" s="88">
        <v>100.00000000000003</v>
      </c>
      <c r="JC12" s="88">
        <v>99.999999999999972</v>
      </c>
      <c r="JD12" s="88">
        <v>99.999999999999972</v>
      </c>
      <c r="JE12" s="88">
        <v>100.00000000000001</v>
      </c>
      <c r="JF12" s="88">
        <v>99.999999999999972</v>
      </c>
      <c r="JG12" s="88">
        <v>99.999999999999986</v>
      </c>
      <c r="JH12" s="88">
        <v>100.00000000000007</v>
      </c>
      <c r="JI12" s="88">
        <v>99.999999999999915</v>
      </c>
      <c r="JJ12" s="88">
        <v>99.999999999999943</v>
      </c>
      <c r="JK12" s="88">
        <v>100.00000000000004</v>
      </c>
      <c r="JL12" s="88">
        <v>100.00000000000006</v>
      </c>
      <c r="JM12" s="88">
        <v>100.00000000000003</v>
      </c>
      <c r="JN12" s="88">
        <v>100</v>
      </c>
      <c r="JO12" s="88">
        <v>100.00000000000007</v>
      </c>
      <c r="JP12" s="88">
        <v>100.00000000000003</v>
      </c>
      <c r="JQ12" s="88">
        <v>100.00000000000003</v>
      </c>
      <c r="JR12" s="88">
        <v>99.999999999999972</v>
      </c>
      <c r="JS12" s="88">
        <v>100.00000000000006</v>
      </c>
      <c r="JT12" s="88">
        <v>99.999999999999929</v>
      </c>
      <c r="JU12" s="88">
        <v>100.00000000000004</v>
      </c>
      <c r="JV12" s="88">
        <v>100.00000000000009</v>
      </c>
      <c r="JW12" s="88">
        <v>100.00000000000001</v>
      </c>
      <c r="JX12" s="88">
        <v>100.00000000000009</v>
      </c>
      <c r="JY12" s="88">
        <v>100.00000000000003</v>
      </c>
      <c r="JZ12" s="88">
        <v>99.999999999999972</v>
      </c>
      <c r="KA12" s="88">
        <v>100.00000000000003</v>
      </c>
      <c r="KB12" s="88">
        <v>100</v>
      </c>
      <c r="KC12" s="88">
        <v>100</v>
      </c>
      <c r="KD12" s="88">
        <v>99.999999999999957</v>
      </c>
      <c r="KE12" s="88">
        <v>100.00000000000011</v>
      </c>
      <c r="KF12" s="214">
        <v>100.00000000000009</v>
      </c>
      <c r="KG12" s="214">
        <v>100.00000000000001</v>
      </c>
      <c r="KH12" s="214">
        <v>99.999999999999957</v>
      </c>
      <c r="KI12" s="214">
        <v>100.00000000000001</v>
      </c>
      <c r="KJ12" s="214">
        <v>100</v>
      </c>
      <c r="KK12" s="214">
        <v>100.00000000000009</v>
      </c>
      <c r="KL12" s="214">
        <v>99.999999999999929</v>
      </c>
      <c r="KM12" s="214">
        <v>100.00000000000003</v>
      </c>
      <c r="KN12" s="214">
        <v>100.00000000000006</v>
      </c>
      <c r="KO12" s="214">
        <v>99.999999999999915</v>
      </c>
    </row>
    <row r="13" spans="1:301" s="77" customFormat="1" ht="18" customHeight="1">
      <c r="A13" s="73"/>
      <c r="B13" s="79" t="s">
        <v>154</v>
      </c>
      <c r="C13" s="89">
        <v>30.15625</v>
      </c>
      <c r="D13" s="89">
        <v>37.155361050328231</v>
      </c>
      <c r="E13" s="89">
        <v>38.518843120070109</v>
      </c>
      <c r="F13" s="89">
        <v>46.619773348964443</v>
      </c>
      <c r="G13" s="89">
        <v>25.549915397631136</v>
      </c>
      <c r="H13" s="89">
        <v>38.090551181102363</v>
      </c>
      <c r="I13" s="89">
        <v>31.741573033707866</v>
      </c>
      <c r="J13" s="89">
        <v>48.014279339580547</v>
      </c>
      <c r="K13" s="89">
        <v>29.233870967741936</v>
      </c>
      <c r="L13" s="89">
        <v>29.438982070561021</v>
      </c>
      <c r="M13" s="89">
        <v>24.854045037531275</v>
      </c>
      <c r="N13" s="89">
        <v>43.288084464555055</v>
      </c>
      <c r="O13" s="89">
        <v>50.305725403001667</v>
      </c>
      <c r="P13" s="89">
        <v>52.325581395348841</v>
      </c>
      <c r="Q13" s="89">
        <v>43.638170974155074</v>
      </c>
      <c r="R13" s="89">
        <v>61.307251908396942</v>
      </c>
      <c r="S13" s="89">
        <v>44.853737811484287</v>
      </c>
      <c r="T13" s="89">
        <v>53.461975028376841</v>
      </c>
      <c r="U13" s="89">
        <v>50.325732899022803</v>
      </c>
      <c r="V13" s="89">
        <v>57.813998082454454</v>
      </c>
      <c r="W13" s="89">
        <v>43.431053203040179</v>
      </c>
      <c r="X13" s="89">
        <v>33.46153846153846</v>
      </c>
      <c r="Y13" s="89">
        <v>40.866185452526373</v>
      </c>
      <c r="Z13" s="89">
        <v>45.301681503461921</v>
      </c>
      <c r="AA13" s="89">
        <v>39.130434782608695</v>
      </c>
      <c r="AB13" s="89">
        <v>40.497237569060772</v>
      </c>
      <c r="AC13" s="89">
        <v>42.497625830959166</v>
      </c>
      <c r="AD13" s="89">
        <v>50.513236088600756</v>
      </c>
      <c r="AE13" s="89">
        <v>46.894586894586894</v>
      </c>
      <c r="AF13" s="89">
        <v>38.356164383561641</v>
      </c>
      <c r="AG13" s="89">
        <v>37.435567010309278</v>
      </c>
      <c r="AH13" s="89">
        <v>47.916666666666671</v>
      </c>
      <c r="AI13" s="89">
        <v>48.962490023942543</v>
      </c>
      <c r="AJ13" s="89">
        <v>44.813877846042644</v>
      </c>
      <c r="AK13" s="89">
        <v>41.06544901065449</v>
      </c>
      <c r="AL13" s="89">
        <v>44.013948082138704</v>
      </c>
      <c r="AM13" s="89">
        <v>33.153347732181423</v>
      </c>
      <c r="AN13" s="89">
        <v>29.774184555338724</v>
      </c>
      <c r="AO13" s="89">
        <v>35.80110497237569</v>
      </c>
      <c r="AP13" s="89">
        <v>31.420131738065006</v>
      </c>
      <c r="AQ13" s="89">
        <v>40.917431968186946</v>
      </c>
      <c r="AR13" s="89">
        <v>36.131711416833483</v>
      </c>
      <c r="AS13" s="89">
        <v>35.753340000000001</v>
      </c>
      <c r="AT13" s="89">
        <v>48.138716000000002</v>
      </c>
      <c r="AU13" s="89">
        <v>45.064501</v>
      </c>
      <c r="AV13" s="89">
        <v>39.635992999999999</v>
      </c>
      <c r="AW13" s="89">
        <v>48.692431999999997</v>
      </c>
      <c r="AX13" s="89">
        <v>47.982739000000002</v>
      </c>
      <c r="AY13" s="89">
        <v>48.846167999999999</v>
      </c>
      <c r="AZ13" s="89">
        <v>53.981488999999996</v>
      </c>
      <c r="BA13" s="89">
        <v>50.624257999999998</v>
      </c>
      <c r="BB13" s="89">
        <v>59.002754999999993</v>
      </c>
      <c r="BC13" s="89">
        <v>62.14452</v>
      </c>
      <c r="BD13" s="89">
        <v>55.652321000000001</v>
      </c>
      <c r="BE13" s="89">
        <v>47.369087</v>
      </c>
      <c r="BF13" s="89">
        <v>42.296156999999994</v>
      </c>
      <c r="BG13" s="89">
        <v>56.677008000000001</v>
      </c>
      <c r="BH13" s="89">
        <v>43.912667999999996</v>
      </c>
      <c r="BI13" s="89">
        <v>48.941447999999994</v>
      </c>
      <c r="BJ13" s="89">
        <v>43.025859999999994</v>
      </c>
      <c r="BK13" s="89">
        <v>40.340174450096185</v>
      </c>
      <c r="BL13" s="89">
        <v>43.289944345087086</v>
      </c>
      <c r="BM13" s="89">
        <v>44.690398433039533</v>
      </c>
      <c r="BN13" s="89">
        <v>53.718468328692936</v>
      </c>
      <c r="BO13" s="89">
        <v>54.796551899174098</v>
      </c>
      <c r="BP13" s="89">
        <v>51.597464981992012</v>
      </c>
      <c r="BQ13" s="89">
        <v>49.442968515615256</v>
      </c>
      <c r="BR13" s="89">
        <v>49.727280088299722</v>
      </c>
      <c r="BS13" s="89">
        <v>49.763258652528918</v>
      </c>
      <c r="BT13" s="89">
        <v>45.162052569547697</v>
      </c>
      <c r="BU13" s="89">
        <v>40.605279627608695</v>
      </c>
      <c r="BV13" s="89">
        <v>46.885453445348155</v>
      </c>
      <c r="BW13" s="89">
        <v>42.196076682501818</v>
      </c>
      <c r="BX13" s="89">
        <v>42.648803001273308</v>
      </c>
      <c r="BY13" s="89">
        <v>46.925348188777598</v>
      </c>
      <c r="BZ13" s="89">
        <v>37.457062314634911</v>
      </c>
      <c r="CA13" s="89">
        <v>44.579017505642874</v>
      </c>
      <c r="CB13" s="89">
        <v>46.292795821128749</v>
      </c>
      <c r="CC13" s="89">
        <v>42.375043162206026</v>
      </c>
      <c r="CD13" s="89">
        <v>40.738528707018411</v>
      </c>
      <c r="CE13" s="89">
        <v>38.815745562072479</v>
      </c>
      <c r="CF13" s="89">
        <v>41.843069983369233</v>
      </c>
      <c r="CG13" s="89">
        <v>38.944189959924216</v>
      </c>
      <c r="CH13" s="89">
        <v>47.425057981729161</v>
      </c>
      <c r="CI13" s="89">
        <v>42.014283436159729</v>
      </c>
      <c r="CJ13" s="89">
        <v>39.931966094659778</v>
      </c>
      <c r="CK13" s="89">
        <v>36.71993269100934</v>
      </c>
      <c r="CL13" s="89">
        <v>40.167341767174577</v>
      </c>
      <c r="CM13" s="89">
        <v>47.150391135395338</v>
      </c>
      <c r="CN13" s="89">
        <v>42.740329630354722</v>
      </c>
      <c r="CO13" s="89">
        <v>38.287799281765281</v>
      </c>
      <c r="CP13" s="89">
        <v>39.042168187146018</v>
      </c>
      <c r="CQ13" s="89">
        <v>41.919654748484255</v>
      </c>
      <c r="CR13" s="89">
        <v>36.715112488800386</v>
      </c>
      <c r="CS13" s="89">
        <v>40.824381521875651</v>
      </c>
      <c r="CT13" s="89">
        <v>49.745493984896306</v>
      </c>
      <c r="CU13" s="89">
        <v>46.028767631564691</v>
      </c>
      <c r="CV13" s="89">
        <v>45.047449176305321</v>
      </c>
      <c r="CW13" s="89">
        <v>46.511706998554473</v>
      </c>
      <c r="CX13" s="89">
        <v>53.250655229076216</v>
      </c>
      <c r="CY13" s="89">
        <v>50.472410887413645</v>
      </c>
      <c r="CZ13" s="89">
        <v>50.111691975507924</v>
      </c>
      <c r="DA13" s="89">
        <v>43.222245418952213</v>
      </c>
      <c r="DB13" s="89">
        <v>39.310548836656558</v>
      </c>
      <c r="DC13" s="89">
        <v>40.508620930017642</v>
      </c>
      <c r="DD13" s="89">
        <v>44.430467905050676</v>
      </c>
      <c r="DE13" s="89">
        <v>41.972315246943126</v>
      </c>
      <c r="DF13" s="89">
        <v>45.748259649582955</v>
      </c>
      <c r="DG13" s="89">
        <v>38.868805686101112</v>
      </c>
      <c r="DH13" s="89">
        <v>45.000759180632095</v>
      </c>
      <c r="DI13" s="89">
        <v>47.546825878157122</v>
      </c>
      <c r="DJ13" s="89">
        <v>52.856717889242397</v>
      </c>
      <c r="DK13" s="89">
        <v>52.19718495946266</v>
      </c>
      <c r="DL13" s="89">
        <v>47.779497661770357</v>
      </c>
      <c r="DM13" s="89">
        <v>44.275804255734663</v>
      </c>
      <c r="DN13" s="89">
        <v>39.535213447925614</v>
      </c>
      <c r="DO13" s="89">
        <v>43.742738252281796</v>
      </c>
      <c r="DP13" s="89">
        <v>41.423179681624909</v>
      </c>
      <c r="DQ13" s="89">
        <v>49.581009762641834</v>
      </c>
      <c r="DR13" s="89">
        <v>46.1509372916099</v>
      </c>
      <c r="DS13" s="89">
        <v>40.973992037426918</v>
      </c>
      <c r="DT13" s="89">
        <v>46.195550799698466</v>
      </c>
      <c r="DU13" s="89">
        <v>49.488002806394178</v>
      </c>
      <c r="DV13" s="89">
        <v>49.229606240716222</v>
      </c>
      <c r="DW13" s="89">
        <v>51.884548627640712</v>
      </c>
      <c r="DX13" s="89">
        <v>51.604120628649454</v>
      </c>
      <c r="DY13" s="89">
        <v>44.240619806267297</v>
      </c>
      <c r="DZ13" s="89">
        <v>45.51114365176246</v>
      </c>
      <c r="EA13" s="89">
        <v>38.18014337600475</v>
      </c>
      <c r="EB13" s="89">
        <v>40.508124916749331</v>
      </c>
      <c r="EC13" s="89">
        <v>49.543735965014669</v>
      </c>
      <c r="ED13" s="89">
        <v>43.496711859170361</v>
      </c>
      <c r="EE13" s="89">
        <v>44.735515681000152</v>
      </c>
      <c r="EF13" s="89">
        <v>52.351319187477273</v>
      </c>
      <c r="EG13" s="89">
        <v>45.140339000962562</v>
      </c>
      <c r="EH13" s="89">
        <v>50.13983662030428</v>
      </c>
      <c r="EI13" s="89">
        <v>53.129991035237808</v>
      </c>
      <c r="EJ13" s="89">
        <v>46.992336808687419</v>
      </c>
      <c r="EK13" s="89">
        <v>42.204223112688851</v>
      </c>
      <c r="EL13" s="89">
        <v>33.446362861328367</v>
      </c>
      <c r="EM13" s="89">
        <v>36.326265657121546</v>
      </c>
      <c r="EN13" s="89">
        <v>39.386765465070212</v>
      </c>
      <c r="EO13" s="89">
        <v>44.275887257949989</v>
      </c>
      <c r="EP13" s="89">
        <v>48.804666449625472</v>
      </c>
      <c r="EQ13" s="89">
        <v>45.128211495763956</v>
      </c>
      <c r="ER13" s="89">
        <v>45.38019259733268</v>
      </c>
      <c r="ES13" s="89">
        <v>46.180876920801786</v>
      </c>
      <c r="ET13" s="89">
        <v>58.118993536850553</v>
      </c>
      <c r="EU13" s="89">
        <v>49.841001891251999</v>
      </c>
      <c r="EV13" s="89">
        <v>52.026563190382632</v>
      </c>
      <c r="EW13" s="89">
        <v>39.308564461916042</v>
      </c>
      <c r="EX13" s="89">
        <v>42.255005549408381</v>
      </c>
      <c r="EY13" s="89">
        <v>47.998686911023739</v>
      </c>
      <c r="EZ13" s="89">
        <v>42.502658202802785</v>
      </c>
      <c r="FA13" s="89">
        <v>49.289962108400289</v>
      </c>
      <c r="FB13" s="89">
        <v>47.477865100331421</v>
      </c>
      <c r="FC13" s="89">
        <v>43.654223860803434</v>
      </c>
      <c r="FD13" s="89">
        <v>52.234904815830937</v>
      </c>
      <c r="FE13" s="89">
        <v>55.152614068578544</v>
      </c>
      <c r="FF13" s="89">
        <v>50.18817900173601</v>
      </c>
      <c r="FG13" s="89">
        <v>59.778098494763533</v>
      </c>
      <c r="FH13" s="89">
        <v>41.807448435519959</v>
      </c>
      <c r="FI13" s="89">
        <v>45.63703198463196</v>
      </c>
      <c r="FJ13" s="89">
        <v>46.080428353390531</v>
      </c>
      <c r="FK13" s="89">
        <v>37.651018183292685</v>
      </c>
      <c r="FL13" s="89">
        <v>44.114905826145062</v>
      </c>
      <c r="FM13" s="89">
        <v>42.279716513226795</v>
      </c>
      <c r="FN13" s="89">
        <v>45.066461990752856</v>
      </c>
      <c r="FO13" s="89">
        <v>38.753836958907009</v>
      </c>
      <c r="FP13" s="89">
        <v>43.848951772018943</v>
      </c>
      <c r="FQ13" s="89">
        <v>45.531985906166923</v>
      </c>
      <c r="FR13" s="89">
        <v>49.149832412425582</v>
      </c>
      <c r="FS13" s="89">
        <v>51.803571133031035</v>
      </c>
      <c r="FT13" s="89">
        <v>49.525238874077303</v>
      </c>
      <c r="FU13" s="89">
        <v>45.311738345051801</v>
      </c>
      <c r="FV13" s="89">
        <v>39.527099068164937</v>
      </c>
      <c r="FW13" s="89">
        <v>40.133592439851604</v>
      </c>
      <c r="FX13" s="89">
        <v>43.716621423512805</v>
      </c>
      <c r="FY13" s="89">
        <v>47.613274052010688</v>
      </c>
      <c r="FZ13" s="89">
        <v>45.937916846320412</v>
      </c>
      <c r="GA13" s="89">
        <v>45.175352884824463</v>
      </c>
      <c r="GB13" s="89">
        <v>49.582363410869441</v>
      </c>
      <c r="GC13" s="89">
        <v>45.075008076135667</v>
      </c>
      <c r="GD13" s="89">
        <v>50.489182195741748</v>
      </c>
      <c r="GE13" s="89">
        <v>49.013751930832484</v>
      </c>
      <c r="GF13" s="89">
        <v>49.871406426224127</v>
      </c>
      <c r="GG13" s="89">
        <v>50.874874284994085</v>
      </c>
      <c r="GH13" s="89">
        <v>46.627948495870001</v>
      </c>
      <c r="GI13" s="89">
        <v>46.297774994746412</v>
      </c>
      <c r="GJ13" s="89">
        <v>49.773610107484309</v>
      </c>
      <c r="GK13" s="89">
        <v>50.216594133810169</v>
      </c>
      <c r="GL13" s="89">
        <v>44.189082360797357</v>
      </c>
      <c r="GM13" s="89">
        <v>60.248980038483303</v>
      </c>
      <c r="GN13" s="89">
        <v>52.094884494396211</v>
      </c>
      <c r="GO13" s="89">
        <v>52.487815375392529</v>
      </c>
      <c r="GP13" s="89">
        <v>59.11600237364425</v>
      </c>
      <c r="GQ13" s="89">
        <v>56.907840607564133</v>
      </c>
      <c r="GR13" s="89">
        <v>57.586533422953423</v>
      </c>
      <c r="GS13" s="89">
        <v>48.742094442514251</v>
      </c>
      <c r="GT13" s="89">
        <v>51.377714305763369</v>
      </c>
      <c r="GU13" s="89">
        <v>46.00029582930653</v>
      </c>
      <c r="GV13" s="89">
        <v>42.979088616085313</v>
      </c>
      <c r="GW13" s="89">
        <v>44.613302330758742</v>
      </c>
      <c r="GX13" s="89">
        <v>47.854306436306274</v>
      </c>
      <c r="GY13" s="89">
        <v>46.480157625748639</v>
      </c>
      <c r="GZ13" s="89">
        <v>45.08823346144257</v>
      </c>
      <c r="HA13" s="89">
        <v>50.601889700709378</v>
      </c>
      <c r="HB13" s="89">
        <v>53.200739882244385</v>
      </c>
      <c r="HC13" s="89">
        <v>52.897746684790938</v>
      </c>
      <c r="HD13" s="89">
        <v>55.77063739033192</v>
      </c>
      <c r="HE13" s="89">
        <v>58.980249305446819</v>
      </c>
      <c r="HF13" s="89">
        <v>49.999568419936949</v>
      </c>
      <c r="HG13" s="89">
        <v>48.141876052116942</v>
      </c>
      <c r="HH13" s="89">
        <v>51.794010104713138</v>
      </c>
      <c r="HI13" s="89">
        <v>49.042233159832918</v>
      </c>
      <c r="HJ13" s="89">
        <v>53.150924109208717</v>
      </c>
      <c r="HK13" s="89">
        <v>52.246852434820248</v>
      </c>
      <c r="HL13" s="89">
        <v>50.331676597114893</v>
      </c>
      <c r="HM13" s="89">
        <v>51.220537204049066</v>
      </c>
      <c r="HN13" s="89">
        <v>56.901567868855118</v>
      </c>
      <c r="HO13" s="89">
        <v>58.094094498205465</v>
      </c>
      <c r="HP13" s="89">
        <v>54.860304779937252</v>
      </c>
      <c r="HQ13" s="89">
        <v>51.873897253694722</v>
      </c>
      <c r="HR13" s="89">
        <v>46.343699999999998</v>
      </c>
      <c r="HS13" s="89">
        <v>53.81</v>
      </c>
      <c r="HT13" s="89">
        <v>49.360005920612998</v>
      </c>
      <c r="HU13" s="89">
        <v>50.917261913635699</v>
      </c>
      <c r="HV13" s="89">
        <v>48.830842012340199</v>
      </c>
      <c r="HW13" s="89">
        <v>51.546977373832704</v>
      </c>
      <c r="HX13" s="89">
        <v>51.948584553108397</v>
      </c>
      <c r="HY13" s="89">
        <v>57.764360039425902</v>
      </c>
      <c r="HZ13" s="89">
        <v>57.895265185154898</v>
      </c>
      <c r="IA13" s="89">
        <v>50.649096778990703</v>
      </c>
      <c r="IB13" s="89">
        <v>52.098264909795198</v>
      </c>
      <c r="IC13" s="89">
        <v>40.705490357041903</v>
      </c>
      <c r="ID13" s="89">
        <v>49.597017003372699</v>
      </c>
      <c r="IE13" s="89">
        <v>48.437901571124797</v>
      </c>
      <c r="IF13" s="89">
        <v>39.831428589493697</v>
      </c>
      <c r="IG13" s="89">
        <v>52.217975581814699</v>
      </c>
      <c r="IH13" s="89">
        <v>48.882890392895398</v>
      </c>
      <c r="II13" s="89">
        <v>44.608991375731598</v>
      </c>
      <c r="IJ13" s="89">
        <v>51.765861604011803</v>
      </c>
      <c r="IK13" s="89">
        <v>52.007262717350798</v>
      </c>
      <c r="IL13" s="89">
        <v>53.271108068953502</v>
      </c>
      <c r="IM13" s="89">
        <v>53.609430597973599</v>
      </c>
      <c r="IN13" s="89">
        <v>50.5503639661137</v>
      </c>
      <c r="IO13" s="89">
        <v>47.335743580341898</v>
      </c>
      <c r="IP13" s="89">
        <v>46.437415756809898</v>
      </c>
      <c r="IQ13" s="89">
        <v>44.670922796279797</v>
      </c>
      <c r="IR13" s="89">
        <v>40.898687828608999</v>
      </c>
      <c r="IS13" s="89">
        <v>45.5114752551615</v>
      </c>
      <c r="IT13" s="89">
        <v>41.605321236639803</v>
      </c>
      <c r="IU13" s="89">
        <v>43.464342259430602</v>
      </c>
      <c r="IV13" s="89">
        <v>43.4560792596262</v>
      </c>
      <c r="IW13" s="89">
        <v>46.214388900943398</v>
      </c>
      <c r="IX13" s="89">
        <v>46.267989650138901</v>
      </c>
      <c r="IY13" s="89">
        <v>49.188950152288399</v>
      </c>
      <c r="IZ13" s="89">
        <v>47.668035654387602</v>
      </c>
      <c r="JA13" s="89">
        <v>48.667603118837299</v>
      </c>
      <c r="JB13" s="89">
        <v>44.504621078134598</v>
      </c>
      <c r="JC13" s="89">
        <v>44.340467980202803</v>
      </c>
      <c r="JD13" s="89">
        <v>44.634692284733298</v>
      </c>
      <c r="JE13" s="89">
        <v>47.097263708716902</v>
      </c>
      <c r="JF13" s="89">
        <v>53.6719202545721</v>
      </c>
      <c r="JG13" s="89">
        <v>44.718557570109297</v>
      </c>
      <c r="JH13" s="89">
        <v>48.0629193309884</v>
      </c>
      <c r="JI13" s="89">
        <v>50.343200456944203</v>
      </c>
      <c r="JJ13" s="89">
        <v>48.541181062003901</v>
      </c>
      <c r="JK13" s="89">
        <v>48.743559693155603</v>
      </c>
      <c r="JL13" s="89">
        <v>47.347871990474601</v>
      </c>
      <c r="JM13" s="89">
        <v>45.971175523726998</v>
      </c>
      <c r="JN13" s="89">
        <v>37.607469551886702</v>
      </c>
      <c r="JO13" s="89">
        <v>41.100259063221003</v>
      </c>
      <c r="JP13" s="89">
        <v>49.025003320238497</v>
      </c>
      <c r="JQ13" s="89">
        <v>43.472029140329802</v>
      </c>
      <c r="JR13" s="89">
        <v>48.531097491123703</v>
      </c>
      <c r="JS13" s="89">
        <v>47.657850247813201</v>
      </c>
      <c r="JT13" s="89">
        <v>48.2564653462073</v>
      </c>
      <c r="JU13" s="89">
        <v>50.572046491513099</v>
      </c>
      <c r="JV13" s="89">
        <v>49.693937218797402</v>
      </c>
      <c r="JW13" s="89">
        <v>43.876212163652603</v>
      </c>
      <c r="JX13" s="89">
        <v>51.8503665754181</v>
      </c>
      <c r="JY13" s="89">
        <v>37.805789312865798</v>
      </c>
      <c r="JZ13" s="89">
        <v>39.355196953999503</v>
      </c>
      <c r="KA13" s="89">
        <v>42.664880804889698</v>
      </c>
      <c r="KB13" s="89">
        <v>42.912825723159003</v>
      </c>
      <c r="KC13" s="89">
        <v>42.075979104075302</v>
      </c>
      <c r="KD13" s="89">
        <v>47.579287708530501</v>
      </c>
      <c r="KE13" s="89">
        <v>43.844847725721102</v>
      </c>
      <c r="KF13" s="215">
        <v>42.4135366981319</v>
      </c>
      <c r="KG13" s="215">
        <v>46.5673404506936</v>
      </c>
      <c r="KH13" s="215">
        <v>41.641344362228097</v>
      </c>
      <c r="KI13" s="215">
        <v>49.287430991461903</v>
      </c>
      <c r="KJ13" s="215">
        <v>49.304153631144899</v>
      </c>
      <c r="KK13" s="215">
        <v>45.637530081909802</v>
      </c>
      <c r="KL13" s="215">
        <v>43.230585268438602</v>
      </c>
      <c r="KM13" s="215">
        <v>43.104641271020597</v>
      </c>
      <c r="KN13" s="215">
        <v>40.325427880652001</v>
      </c>
      <c r="KO13" s="215">
        <v>42.065212807134799</v>
      </c>
    </row>
    <row r="14" spans="1:301" s="77" customFormat="1" ht="18" customHeight="1">
      <c r="A14" s="73"/>
      <c r="B14" s="79" t="s">
        <v>155</v>
      </c>
      <c r="C14" s="89">
        <v>69.84375</v>
      </c>
      <c r="D14" s="89">
        <v>62.844638949671769</v>
      </c>
      <c r="E14" s="89">
        <v>61.481156879929891</v>
      </c>
      <c r="F14" s="89">
        <v>53.380226651035557</v>
      </c>
      <c r="G14" s="89">
        <v>74.450084602368875</v>
      </c>
      <c r="H14" s="89">
        <v>61.909448818897637</v>
      </c>
      <c r="I14" s="89">
        <v>68.258426966292134</v>
      </c>
      <c r="J14" s="89">
        <v>51.985720660419453</v>
      </c>
      <c r="K14" s="89">
        <v>70.766129032258064</v>
      </c>
      <c r="L14" s="89">
        <v>70.561017929438989</v>
      </c>
      <c r="M14" s="89">
        <v>75.145954962468721</v>
      </c>
      <c r="N14" s="89">
        <v>56.711915535444945</v>
      </c>
      <c r="O14" s="89">
        <v>49.694274596998333</v>
      </c>
      <c r="P14" s="89">
        <v>47.674418604651166</v>
      </c>
      <c r="Q14" s="89">
        <v>56.361829025844933</v>
      </c>
      <c r="R14" s="89">
        <v>38.69274809160305</v>
      </c>
      <c r="S14" s="89">
        <v>55.146262188515706</v>
      </c>
      <c r="T14" s="89">
        <v>46.538024971623152</v>
      </c>
      <c r="U14" s="89">
        <v>49.674267100977197</v>
      </c>
      <c r="V14" s="89">
        <v>42.186001917545539</v>
      </c>
      <c r="W14" s="89">
        <v>56.568946796959828</v>
      </c>
      <c r="X14" s="89">
        <v>66.538461538461533</v>
      </c>
      <c r="Y14" s="89">
        <v>59.133814547473627</v>
      </c>
      <c r="Z14" s="89">
        <v>54.698318496538079</v>
      </c>
      <c r="AA14" s="89">
        <v>60.869565217391312</v>
      </c>
      <c r="AB14" s="89">
        <v>59.502762430939228</v>
      </c>
      <c r="AC14" s="89">
        <v>57.502374169040834</v>
      </c>
      <c r="AD14" s="89">
        <v>49.486763911399244</v>
      </c>
      <c r="AE14" s="89">
        <v>53.105413105413099</v>
      </c>
      <c r="AF14" s="89">
        <v>61.643835616438359</v>
      </c>
      <c r="AG14" s="89">
        <v>62.564432989690722</v>
      </c>
      <c r="AH14" s="89">
        <v>52.083333333333336</v>
      </c>
      <c r="AI14" s="89">
        <v>51.037509976057457</v>
      </c>
      <c r="AJ14" s="89">
        <v>55.186122153957349</v>
      </c>
      <c r="AK14" s="89">
        <v>58.93455098934551</v>
      </c>
      <c r="AL14" s="89">
        <v>55.986051917861289</v>
      </c>
      <c r="AM14" s="89">
        <v>66.84665226781857</v>
      </c>
      <c r="AN14" s="89">
        <v>70.225815444661279</v>
      </c>
      <c r="AO14" s="89">
        <v>64.198895027624317</v>
      </c>
      <c r="AP14" s="89">
        <v>68.579868261934962</v>
      </c>
      <c r="AQ14" s="89">
        <v>59.082568031812869</v>
      </c>
      <c r="AR14" s="89">
        <v>63.868288583166731</v>
      </c>
      <c r="AS14" s="89">
        <v>61.476120599999987</v>
      </c>
      <c r="AT14" s="89">
        <v>49.789575549999995</v>
      </c>
      <c r="AU14" s="89">
        <v>52.623763732999997</v>
      </c>
      <c r="AV14" s="89">
        <v>57.849668000000001</v>
      </c>
      <c r="AW14" s="89">
        <v>49.525522799999997</v>
      </c>
      <c r="AX14" s="89">
        <v>50.9712861</v>
      </c>
      <c r="AY14" s="89">
        <v>50.464202720000003</v>
      </c>
      <c r="AZ14" s="89">
        <v>45.098242299999995</v>
      </c>
      <c r="BA14" s="89">
        <v>48.844489700000004</v>
      </c>
      <c r="BB14" s="89">
        <v>38.4379019</v>
      </c>
      <c r="BC14" s="89">
        <v>36.934141500000003</v>
      </c>
      <c r="BD14" s="89">
        <v>43.215705799999995</v>
      </c>
      <c r="BE14" s="89">
        <v>51.014637199999996</v>
      </c>
      <c r="BF14" s="89">
        <v>55.33959754</v>
      </c>
      <c r="BG14" s="89">
        <v>40.948785059999999</v>
      </c>
      <c r="BH14" s="89">
        <v>55.077127570000002</v>
      </c>
      <c r="BI14" s="89">
        <v>49.785655329999997</v>
      </c>
      <c r="BJ14" s="89">
        <v>55.372732400000004</v>
      </c>
      <c r="BK14" s="89">
        <v>46.97886104506631</v>
      </c>
      <c r="BL14" s="89">
        <v>55.855640428102774</v>
      </c>
      <c r="BM14" s="89">
        <v>53.751321670938154</v>
      </c>
      <c r="BN14" s="89">
        <v>45.146104918241569</v>
      </c>
      <c r="BO14" s="89">
        <v>44.861509875291333</v>
      </c>
      <c r="BP14" s="89">
        <v>47.300874058825549</v>
      </c>
      <c r="BQ14" s="89">
        <v>49.689828329638921</v>
      </c>
      <c r="BR14" s="89">
        <v>49.124761992785196</v>
      </c>
      <c r="BS14" s="89">
        <v>49.717555261438093</v>
      </c>
      <c r="BT14" s="89">
        <v>54.334755408479083</v>
      </c>
      <c r="BU14" s="89">
        <v>55.954472225276611</v>
      </c>
      <c r="BV14" s="89">
        <v>51.904402645504597</v>
      </c>
      <c r="BW14" s="89">
        <v>57.285424328652979</v>
      </c>
      <c r="BX14" s="89">
        <v>52.573102422251459</v>
      </c>
      <c r="BY14" s="89">
        <v>45.846739070923249</v>
      </c>
      <c r="BZ14" s="89">
        <v>42.455750697058939</v>
      </c>
      <c r="CA14" s="89">
        <v>55.111461440037644</v>
      </c>
      <c r="CB14" s="89">
        <v>53.374771225947626</v>
      </c>
      <c r="CC14" s="89">
        <v>57.048271295767286</v>
      </c>
      <c r="CD14" s="89">
        <v>58.507198011789477</v>
      </c>
      <c r="CE14" s="89">
        <v>60.597822046802762</v>
      </c>
      <c r="CF14" s="89">
        <v>57.728943234307465</v>
      </c>
      <c r="CG14" s="89">
        <v>60.90226152846617</v>
      </c>
      <c r="CH14" s="89">
        <v>52.191675137712856</v>
      </c>
      <c r="CI14" s="89">
        <v>57.65301426238937</v>
      </c>
      <c r="CJ14" s="89">
        <v>59.704636362075235</v>
      </c>
      <c r="CK14" s="89">
        <v>62.816942258847021</v>
      </c>
      <c r="CL14" s="89">
        <v>57.146576215035502</v>
      </c>
      <c r="CM14" s="89">
        <v>52.014763711753943</v>
      </c>
      <c r="CN14" s="89">
        <v>56.147991077138236</v>
      </c>
      <c r="CO14" s="89">
        <v>60.98711186486112</v>
      </c>
      <c r="CP14" s="89">
        <v>58.086927042633448</v>
      </c>
      <c r="CQ14" s="89">
        <v>56.89835144441102</v>
      </c>
      <c r="CR14" s="89">
        <v>62.807504637887625</v>
      </c>
      <c r="CS14" s="89">
        <v>58.423687007096568</v>
      </c>
      <c r="CT14" s="89">
        <v>48.795024417961486</v>
      </c>
      <c r="CU14" s="89">
        <v>53.52563807034074</v>
      </c>
      <c r="CV14" s="89">
        <v>54.465179346954116</v>
      </c>
      <c r="CW14" s="89">
        <v>52.315957645700585</v>
      </c>
      <c r="CX14" s="89">
        <v>46.39610875880485</v>
      </c>
      <c r="CY14" s="89">
        <v>49.298861122606162</v>
      </c>
      <c r="CZ14" s="89">
        <v>49.720745578749579</v>
      </c>
      <c r="DA14" s="89">
        <v>56.64374738034924</v>
      </c>
      <c r="DB14" s="89">
        <v>60.461824083973248</v>
      </c>
      <c r="DC14" s="89">
        <v>59.332447326666305</v>
      </c>
      <c r="DD14" s="89">
        <v>55.417048092597931</v>
      </c>
      <c r="DE14" s="89">
        <v>57.806040775166153</v>
      </c>
      <c r="DF14" s="89">
        <v>54.024154754980948</v>
      </c>
      <c r="DG14" s="89">
        <v>60.327715830090597</v>
      </c>
      <c r="DH14" s="89">
        <v>53.011511076497712</v>
      </c>
      <c r="DI14" s="89">
        <v>51.824285200849516</v>
      </c>
      <c r="DJ14" s="89">
        <v>46.965575005047633</v>
      </c>
      <c r="DK14" s="89">
        <v>47.051077964114782</v>
      </c>
      <c r="DL14" s="89">
        <v>52.074110327974957</v>
      </c>
      <c r="DM14" s="89">
        <v>55.430517536935177</v>
      </c>
      <c r="DN14" s="89">
        <v>59.398542368837482</v>
      </c>
      <c r="DO14" s="89">
        <v>55.938550265146816</v>
      </c>
      <c r="DP14" s="89">
        <v>57.730011378995393</v>
      </c>
      <c r="DQ14" s="89">
        <v>49.420824065417925</v>
      </c>
      <c r="DR14" s="89">
        <v>53.144083269891262</v>
      </c>
      <c r="DS14" s="89">
        <v>58.856961012766952</v>
      </c>
      <c r="DT14" s="89">
        <v>53.571031642536695</v>
      </c>
      <c r="DU14" s="89">
        <v>49.830951528876575</v>
      </c>
      <c r="DV14" s="89">
        <v>50.355440413591111</v>
      </c>
      <c r="DW14" s="89">
        <v>47.764537786880737</v>
      </c>
      <c r="DX14" s="89">
        <v>48.288796903784267</v>
      </c>
      <c r="DY14" s="89">
        <v>55.60957480258547</v>
      </c>
      <c r="DZ14" s="89">
        <v>53.909945695620024</v>
      </c>
      <c r="EA14" s="89">
        <v>60.075059060412826</v>
      </c>
      <c r="EB14" s="89">
        <v>59.285667728218449</v>
      </c>
      <c r="EC14" s="89">
        <v>49.578799204974381</v>
      </c>
      <c r="ED14" s="89">
        <v>53.848643458284037</v>
      </c>
      <c r="EE14" s="89">
        <v>54.933089750745104</v>
      </c>
      <c r="EF14" s="89">
        <v>46.513860806333106</v>
      </c>
      <c r="EG14" s="89">
        <v>54.646726627733877</v>
      </c>
      <c r="EH14" s="89">
        <v>49.731244388659917</v>
      </c>
      <c r="EI14" s="89">
        <v>45.442602926292039</v>
      </c>
      <c r="EJ14" s="89">
        <v>52.653857775439846</v>
      </c>
      <c r="EK14" s="89">
        <v>57.41822459377709</v>
      </c>
      <c r="EL14" s="89">
        <v>65.271448183828539</v>
      </c>
      <c r="EM14" s="89">
        <v>63.050994461472911</v>
      </c>
      <c r="EN14" s="89">
        <v>60.493687665033633</v>
      </c>
      <c r="EO14" s="89">
        <v>54.482095373878728</v>
      </c>
      <c r="EP14" s="89">
        <v>48.872688796798123</v>
      </c>
      <c r="EQ14" s="89">
        <v>54.291746897936001</v>
      </c>
      <c r="ER14" s="89">
        <v>53.810268850803958</v>
      </c>
      <c r="ES14" s="89">
        <v>52.871665729594611</v>
      </c>
      <c r="ET14" s="89">
        <v>40.145517302571946</v>
      </c>
      <c r="EU14" s="89">
        <v>49.260956770430454</v>
      </c>
      <c r="EV14" s="89">
        <v>46.676130320510509</v>
      </c>
      <c r="EW14" s="89">
        <v>59.718218841373407</v>
      </c>
      <c r="EX14" s="89">
        <v>53.965229838081918</v>
      </c>
      <c r="EY14" s="89">
        <v>49.832014080697931</v>
      </c>
      <c r="EZ14" s="89">
        <v>52.286762055132222</v>
      </c>
      <c r="FA14" s="89">
        <v>50.013555788856657</v>
      </c>
      <c r="FB14" s="89">
        <v>45.944768513682895</v>
      </c>
      <c r="FC14" s="89">
        <v>55.165412698418081</v>
      </c>
      <c r="FD14" s="89">
        <v>47.495874461192635</v>
      </c>
      <c r="FE14" s="89">
        <v>44.304906397236785</v>
      </c>
      <c r="FF14" s="89">
        <v>49.395213394724429</v>
      </c>
      <c r="FG14" s="89">
        <v>40.162847859247861</v>
      </c>
      <c r="FH14" s="89">
        <v>58.023631839385878</v>
      </c>
      <c r="FI14" s="89">
        <v>53.955181734860638</v>
      </c>
      <c r="FJ14" s="89">
        <v>53.467003576930658</v>
      </c>
      <c r="FK14" s="89">
        <v>61.908261811219077</v>
      </c>
      <c r="FL14" s="89">
        <v>55.504275831614855</v>
      </c>
      <c r="FM14" s="89">
        <v>57.170218484731031</v>
      </c>
      <c r="FN14" s="89">
        <v>54.15801715876114</v>
      </c>
      <c r="FO14" s="89">
        <v>60.989072679805226</v>
      </c>
      <c r="FP14" s="89">
        <v>55.848051246162825</v>
      </c>
      <c r="FQ14" s="89">
        <v>53.64442816310553</v>
      </c>
      <c r="FR14" s="89">
        <v>48.23458207203916</v>
      </c>
      <c r="FS14" s="89">
        <v>47.750998835635713</v>
      </c>
      <c r="FT14" s="89">
        <v>50.202619253808592</v>
      </c>
      <c r="FU14" s="89">
        <v>54.288002798898802</v>
      </c>
      <c r="FV14" s="89">
        <v>60.016590917230658</v>
      </c>
      <c r="FW14" s="89">
        <v>59.727437360725609</v>
      </c>
      <c r="FX14" s="89">
        <v>56.141180000395039</v>
      </c>
      <c r="FY14" s="89">
        <v>52.135165798014796</v>
      </c>
      <c r="FZ14" s="89">
        <v>53.693905985268906</v>
      </c>
      <c r="GA14" s="89">
        <v>53.748511875620849</v>
      </c>
      <c r="GB14" s="89">
        <v>49.165781210416554</v>
      </c>
      <c r="GC14" s="89">
        <v>54.44158135033976</v>
      </c>
      <c r="GD14" s="89">
        <v>48.543453387953555</v>
      </c>
      <c r="GE14" s="89">
        <v>50.516030597353925</v>
      </c>
      <c r="GF14" s="89">
        <v>49.973459415368019</v>
      </c>
      <c r="GG14" s="89">
        <v>48.850522733113699</v>
      </c>
      <c r="GH14" s="89">
        <v>53.107081754368387</v>
      </c>
      <c r="GI14" s="89">
        <v>52.777129342089999</v>
      </c>
      <c r="GJ14" s="89">
        <v>49.096665496543515</v>
      </c>
      <c r="GK14" s="89">
        <v>49.098584711354079</v>
      </c>
      <c r="GL14" s="89">
        <v>53.204611640663011</v>
      </c>
      <c r="GM14" s="89">
        <v>39.210673355741164</v>
      </c>
      <c r="GN14" s="89">
        <v>47.574043764295581</v>
      </c>
      <c r="GO14" s="89">
        <v>47.211703407546359</v>
      </c>
      <c r="GP14" s="89">
        <v>40.361333019371443</v>
      </c>
      <c r="GQ14" s="89">
        <v>42.432815692371854</v>
      </c>
      <c r="GR14" s="89">
        <v>42.074289663391632</v>
      </c>
      <c r="GS14" s="89">
        <v>50.85973638970971</v>
      </c>
      <c r="GT14" s="89">
        <v>48.21727694918885</v>
      </c>
      <c r="GU14" s="89">
        <v>53.41884482483529</v>
      </c>
      <c r="GV14" s="89">
        <v>56.643986096449908</v>
      </c>
      <c r="GW14" s="89">
        <v>55.167461320607245</v>
      </c>
      <c r="GX14" s="89">
        <v>51.101407470909585</v>
      </c>
      <c r="GY14" s="89">
        <v>52.819997235206507</v>
      </c>
      <c r="GZ14" s="89">
        <v>54.493811314242969</v>
      </c>
      <c r="HA14" s="89">
        <v>46.841370316966731</v>
      </c>
      <c r="HB14" s="89">
        <v>46.18727712551248</v>
      </c>
      <c r="HC14" s="89">
        <v>46.291630843291948</v>
      </c>
      <c r="HD14" s="89">
        <v>43.507531534129363</v>
      </c>
      <c r="HE14" s="89">
        <v>40.154941247102578</v>
      </c>
      <c r="HF14" s="89">
        <v>48.862332672152675</v>
      </c>
      <c r="HG14" s="89">
        <v>51.838891167724043</v>
      </c>
      <c r="HH14" s="89">
        <v>47.365245027083098</v>
      </c>
      <c r="HI14" s="89">
        <v>50.490475379393452</v>
      </c>
      <c r="HJ14" s="89">
        <v>46.103062884676795</v>
      </c>
      <c r="HK14" s="89">
        <v>47.711679174987268</v>
      </c>
      <c r="HL14" s="89">
        <v>47.261929103509623</v>
      </c>
      <c r="HM14" s="89">
        <v>48.041248705241088</v>
      </c>
      <c r="HN14" s="89">
        <v>43.089765258884327</v>
      </c>
      <c r="HO14" s="89">
        <v>41.654162630842329</v>
      </c>
      <c r="HP14" s="89">
        <v>45.022390322792511</v>
      </c>
      <c r="HQ14" s="89">
        <v>47.885543316073829</v>
      </c>
      <c r="HR14" s="89">
        <v>53.453636000000003</v>
      </c>
      <c r="HS14" s="89">
        <v>45.935559999999995</v>
      </c>
      <c r="HT14" s="89">
        <v>49.184352702137289</v>
      </c>
      <c r="HU14" s="89">
        <v>48.399694021343592</v>
      </c>
      <c r="HV14" s="89">
        <v>51.103976021931544</v>
      </c>
      <c r="HW14" s="89">
        <v>47.315497409679814</v>
      </c>
      <c r="HX14" s="89">
        <v>47.12666465560293</v>
      </c>
      <c r="HY14" s="89">
        <v>41.958477641588814</v>
      </c>
      <c r="HZ14" s="89">
        <v>41.407312833728625</v>
      </c>
      <c r="IA14" s="89">
        <v>49.171140237304812</v>
      </c>
      <c r="IB14" s="89">
        <v>47.545520809812736</v>
      </c>
      <c r="IC14" s="89">
        <v>59.294509642958118</v>
      </c>
      <c r="ID14" s="89">
        <v>50.375684909402246</v>
      </c>
      <c r="IE14" s="89">
        <v>51.56209842887526</v>
      </c>
      <c r="IF14" s="89">
        <v>60.09547455320125</v>
      </c>
      <c r="IG14" s="89">
        <v>47.78202441818528</v>
      </c>
      <c r="IH14" s="89">
        <v>51.109988565471014</v>
      </c>
      <c r="II14" s="89">
        <v>55.293434389026245</v>
      </c>
      <c r="IJ14" s="89">
        <v>48.227801968462849</v>
      </c>
      <c r="IK14" s="89">
        <v>47.981542841355733</v>
      </c>
      <c r="IL14" s="89">
        <v>46.701561665444451</v>
      </c>
      <c r="IM14" s="89">
        <v>46.390569402026387</v>
      </c>
      <c r="IN14" s="89">
        <v>49.449636033886279</v>
      </c>
      <c r="IO14" s="89">
        <v>52.664256419658088</v>
      </c>
      <c r="IP14" s="89">
        <v>53.532268420386451</v>
      </c>
      <c r="IQ14" s="89">
        <v>55.14175233245993</v>
      </c>
      <c r="IR14" s="89">
        <v>59.050134080064886</v>
      </c>
      <c r="IS14" s="89">
        <v>54.488524744838521</v>
      </c>
      <c r="IT14" s="89">
        <v>58.39467876336019</v>
      </c>
      <c r="IU14" s="89">
        <v>56.524888542201921</v>
      </c>
      <c r="IV14" s="89">
        <f t="shared" ref="IV14" si="2">+SUM(IV15:IV17)</f>
        <v>56.543920740373871</v>
      </c>
      <c r="IW14" s="89">
        <v>53.67145010494275</v>
      </c>
      <c r="IX14" s="89">
        <v>53.363849412741452</v>
      </c>
      <c r="IY14" s="89">
        <v>50.811049847711629</v>
      </c>
      <c r="IZ14" s="89">
        <v>52.331964345612363</v>
      </c>
      <c r="JA14" s="89">
        <v>51.275415435246785</v>
      </c>
      <c r="JB14" s="89">
        <v>55.461155757091205</v>
      </c>
      <c r="JC14" s="89">
        <v>55.659532019797176</v>
      </c>
      <c r="JD14" s="89">
        <v>55.254963908498581</v>
      </c>
      <c r="JE14" s="89">
        <v>52.861096878100682</v>
      </c>
      <c r="JF14" s="89">
        <v>46.30940558324901</v>
      </c>
      <c r="JG14" s="89">
        <v>55.281442429890689</v>
      </c>
      <c r="JH14" s="89">
        <v>51.893023480860947</v>
      </c>
      <c r="JI14" s="89">
        <v>49.630716599676418</v>
      </c>
      <c r="JJ14" s="89">
        <v>51.458818937996043</v>
      </c>
      <c r="JK14" s="89">
        <v>51.193837692169701</v>
      </c>
      <c r="JL14" s="89">
        <v>52.623153894797184</v>
      </c>
      <c r="JM14" s="89">
        <v>54.02882447627303</v>
      </c>
      <c r="JN14" s="89">
        <v>62.377940962143157</v>
      </c>
      <c r="JO14" s="89">
        <v>58.864873514538857</v>
      </c>
      <c r="JP14" s="89">
        <v>50.974996679761531</v>
      </c>
      <c r="JQ14" s="89">
        <v>56.527970859670226</v>
      </c>
      <c r="JR14" s="89">
        <v>51.466872808383016</v>
      </c>
      <c r="JS14" s="89">
        <v>52.269930154161727</v>
      </c>
      <c r="JT14" s="89">
        <v>51.649003676137184</v>
      </c>
      <c r="JU14" s="89">
        <v>49.427953508486944</v>
      </c>
      <c r="JV14" s="89">
        <v>50.215894764965171</v>
      </c>
      <c r="JW14" s="89">
        <v>56.106566199421415</v>
      </c>
      <c r="JX14" s="89">
        <v>47.876641117517018</v>
      </c>
      <c r="JY14" s="89">
        <v>62.194210687134238</v>
      </c>
      <c r="JZ14" s="89">
        <v>60.471555114316523</v>
      </c>
      <c r="KA14" s="89">
        <v>57.33511919511033</v>
      </c>
      <c r="KB14" s="89">
        <v>56.567137559549408</v>
      </c>
      <c r="KC14" s="89">
        <v>57.713805065112055</v>
      </c>
      <c r="KD14" s="89">
        <v>52.420712291469457</v>
      </c>
      <c r="KE14" s="89">
        <v>56.155152274279004</v>
      </c>
      <c r="KF14" s="215">
        <v>57.45892823545784</v>
      </c>
      <c r="KG14" s="215">
        <v>53.408373446774995</v>
      </c>
      <c r="KH14" s="215">
        <v>58.358655637771861</v>
      </c>
      <c r="KI14" s="215">
        <v>50.712569008538111</v>
      </c>
      <c r="KJ14" s="215">
        <v>50.606523279306792</v>
      </c>
      <c r="KK14" s="215">
        <v>54.362469918090291</v>
      </c>
      <c r="KL14" s="215">
        <v>56.4810039735125</v>
      </c>
      <c r="KM14" s="215">
        <v>56.895358728979431</v>
      </c>
      <c r="KN14" s="215">
        <v>59.213847427493732</v>
      </c>
      <c r="KO14" s="215">
        <v>57.934787192865123</v>
      </c>
    </row>
    <row r="15" spans="1:301" s="77" customFormat="1" ht="18" customHeight="1">
      <c r="A15" s="78"/>
      <c r="B15" s="90" t="s">
        <v>156</v>
      </c>
      <c r="C15" s="91" t="s">
        <v>8</v>
      </c>
      <c r="D15" s="91" t="s">
        <v>8</v>
      </c>
      <c r="E15" s="91" t="s">
        <v>8</v>
      </c>
      <c r="F15" s="91" t="s">
        <v>8</v>
      </c>
      <c r="G15" s="91" t="s">
        <v>8</v>
      </c>
      <c r="H15" s="91" t="s">
        <v>8</v>
      </c>
      <c r="I15" s="91" t="s">
        <v>8</v>
      </c>
      <c r="J15" s="91" t="s">
        <v>8</v>
      </c>
      <c r="K15" s="91" t="s">
        <v>8</v>
      </c>
      <c r="L15" s="91" t="s">
        <v>8</v>
      </c>
      <c r="M15" s="91" t="s">
        <v>8</v>
      </c>
      <c r="N15" s="91" t="s">
        <v>8</v>
      </c>
      <c r="O15" s="91" t="s">
        <v>8</v>
      </c>
      <c r="P15" s="91" t="s">
        <v>8</v>
      </c>
      <c r="Q15" s="91" t="s">
        <v>8</v>
      </c>
      <c r="R15" s="91" t="s">
        <v>8</v>
      </c>
      <c r="S15" s="91" t="s">
        <v>8</v>
      </c>
      <c r="T15" s="91" t="s">
        <v>8</v>
      </c>
      <c r="U15" s="91" t="s">
        <v>8</v>
      </c>
      <c r="V15" s="91" t="s">
        <v>8</v>
      </c>
      <c r="W15" s="91" t="s">
        <v>8</v>
      </c>
      <c r="X15" s="91" t="s">
        <v>8</v>
      </c>
      <c r="Y15" s="91" t="s">
        <v>8</v>
      </c>
      <c r="Z15" s="91" t="s">
        <v>8</v>
      </c>
      <c r="AA15" s="91" t="s">
        <v>8</v>
      </c>
      <c r="AB15" s="91" t="s">
        <v>8</v>
      </c>
      <c r="AC15" s="91" t="s">
        <v>8</v>
      </c>
      <c r="AD15" s="91" t="s">
        <v>8</v>
      </c>
      <c r="AE15" s="91" t="s">
        <v>8</v>
      </c>
      <c r="AF15" s="91" t="s">
        <v>8</v>
      </c>
      <c r="AG15" s="91" t="s">
        <v>8</v>
      </c>
      <c r="AH15" s="91" t="s">
        <v>8</v>
      </c>
      <c r="AI15" s="91" t="s">
        <v>8</v>
      </c>
      <c r="AJ15" s="91" t="s">
        <v>8</v>
      </c>
      <c r="AK15" s="91" t="s">
        <v>8</v>
      </c>
      <c r="AL15" s="91" t="s">
        <v>8</v>
      </c>
      <c r="AM15" s="91" t="s">
        <v>8</v>
      </c>
      <c r="AN15" s="91" t="s">
        <v>8</v>
      </c>
      <c r="AO15" s="91" t="s">
        <v>8</v>
      </c>
      <c r="AP15" s="91" t="s">
        <v>8</v>
      </c>
      <c r="AQ15" s="91" t="s">
        <v>8</v>
      </c>
      <c r="AR15" s="91" t="s">
        <v>8</v>
      </c>
      <c r="AS15" s="80">
        <v>33.456280599999992</v>
      </c>
      <c r="AT15" s="80">
        <v>24.41342495</v>
      </c>
      <c r="AU15" s="80">
        <v>26.306080732999998</v>
      </c>
      <c r="AV15" s="80">
        <v>28.969715999999998</v>
      </c>
      <c r="AW15" s="80">
        <v>19.8835224</v>
      </c>
      <c r="AX15" s="80">
        <v>26.103005100000001</v>
      </c>
      <c r="AY15" s="80">
        <v>24.865242720000001</v>
      </c>
      <c r="AZ15" s="80">
        <v>17.612246299999999</v>
      </c>
      <c r="BA15" s="80">
        <v>18.324186700000002</v>
      </c>
      <c r="BB15" s="80">
        <v>14.237837899999999</v>
      </c>
      <c r="BC15" s="80">
        <v>15.0859395</v>
      </c>
      <c r="BD15" s="80">
        <v>14.2663598</v>
      </c>
      <c r="BE15" s="80">
        <v>17.867281200000001</v>
      </c>
      <c r="BF15" s="80">
        <v>19.485658539999999</v>
      </c>
      <c r="BG15" s="80">
        <v>15.749629059999998</v>
      </c>
      <c r="BH15" s="80">
        <v>17.026869570000002</v>
      </c>
      <c r="BI15" s="80">
        <v>17.70014033</v>
      </c>
      <c r="BJ15" s="80">
        <v>19.799598400000001</v>
      </c>
      <c r="BK15" s="80">
        <v>17.186774946883922</v>
      </c>
      <c r="BL15" s="80">
        <v>15.443915468091179</v>
      </c>
      <c r="BM15" s="80">
        <v>17.828146048714551</v>
      </c>
      <c r="BN15" s="80">
        <v>14.717216434067559</v>
      </c>
      <c r="BO15" s="80">
        <v>13.879005766139349</v>
      </c>
      <c r="BP15" s="80">
        <v>18.044787774135433</v>
      </c>
      <c r="BQ15" s="80">
        <v>15.931529025545011</v>
      </c>
      <c r="BR15" s="80">
        <v>14.886058360590695</v>
      </c>
      <c r="BS15" s="80">
        <v>14.792614509498216</v>
      </c>
      <c r="BT15" s="80">
        <v>17.263065222078001</v>
      </c>
      <c r="BU15" s="80">
        <v>19.594000467053796</v>
      </c>
      <c r="BV15" s="80">
        <v>14.470368004807572</v>
      </c>
      <c r="BW15" s="80">
        <v>17.198703716125227</v>
      </c>
      <c r="BX15" s="80">
        <v>13.75100612771466</v>
      </c>
      <c r="BY15" s="80">
        <v>9.7444520727654425</v>
      </c>
      <c r="BZ15" s="80">
        <v>10.353911474990095</v>
      </c>
      <c r="CA15" s="80">
        <v>13.511370325084423</v>
      </c>
      <c r="CB15" s="80">
        <v>14.934560598076075</v>
      </c>
      <c r="CC15" s="80">
        <v>13.788995542759922</v>
      </c>
      <c r="CD15" s="80">
        <v>13.940863893357932</v>
      </c>
      <c r="CE15" s="80">
        <v>14.596097372647209</v>
      </c>
      <c r="CF15" s="80">
        <v>15.192912754426816</v>
      </c>
      <c r="CG15" s="80">
        <v>16.078764355801507</v>
      </c>
      <c r="CH15" s="80">
        <v>14.740697213960097</v>
      </c>
      <c r="CI15" s="80">
        <v>14.133296747233961</v>
      </c>
      <c r="CJ15" s="80">
        <v>16.429934318517862</v>
      </c>
      <c r="CK15" s="80">
        <v>17.47159816781307</v>
      </c>
      <c r="CL15" s="80">
        <v>17.604624230733197</v>
      </c>
      <c r="CM15" s="80">
        <v>11.731804796261544</v>
      </c>
      <c r="CN15" s="80">
        <v>11.81753709786571</v>
      </c>
      <c r="CO15" s="80">
        <v>10.414828113112815</v>
      </c>
      <c r="CP15" s="80">
        <v>13.813367130328103</v>
      </c>
      <c r="CQ15" s="80">
        <v>15.584546445778107</v>
      </c>
      <c r="CR15" s="80">
        <v>16.325477861754205</v>
      </c>
      <c r="CS15" s="80">
        <v>16.356292819737373</v>
      </c>
      <c r="CT15" s="80">
        <v>15.91609047899609</v>
      </c>
      <c r="CU15" s="80">
        <v>14.209293303379061</v>
      </c>
      <c r="CV15" s="80">
        <v>13.789446254755768</v>
      </c>
      <c r="CW15" s="80">
        <v>17.804135552645093</v>
      </c>
      <c r="CX15" s="80">
        <v>9.7590016395477175</v>
      </c>
      <c r="CY15" s="80">
        <v>13.230516462333133</v>
      </c>
      <c r="CZ15" s="80">
        <v>12.118684179215869</v>
      </c>
      <c r="DA15" s="80">
        <v>15.569291711695351</v>
      </c>
      <c r="DB15" s="80">
        <v>12.375493555713863</v>
      </c>
      <c r="DC15" s="80">
        <v>11.339604182695357</v>
      </c>
      <c r="DD15" s="80">
        <v>14.316135375107988</v>
      </c>
      <c r="DE15" s="80">
        <v>16.630089281951602</v>
      </c>
      <c r="DF15" s="80">
        <v>14.783154244049538</v>
      </c>
      <c r="DG15" s="80">
        <v>19.045165306857669</v>
      </c>
      <c r="DH15" s="80">
        <v>10.861885089188366</v>
      </c>
      <c r="DI15" s="80">
        <v>14.351346538128531</v>
      </c>
      <c r="DJ15" s="80">
        <v>12.769275200571068</v>
      </c>
      <c r="DK15" s="80">
        <v>10.002421483783785</v>
      </c>
      <c r="DL15" s="80">
        <v>14.978257301919223</v>
      </c>
      <c r="DM15" s="80">
        <v>14.233461671206991</v>
      </c>
      <c r="DN15" s="80">
        <v>13.219746502107762</v>
      </c>
      <c r="DO15" s="80">
        <v>14.42104511827324</v>
      </c>
      <c r="DP15" s="80">
        <v>14.166502852334309</v>
      </c>
      <c r="DQ15" s="80">
        <v>10.781982071874346</v>
      </c>
      <c r="DR15" s="80">
        <v>10.108373423495983</v>
      </c>
      <c r="DS15" s="80">
        <v>11.792476219643461</v>
      </c>
      <c r="DT15" s="80">
        <v>13.440563149630153</v>
      </c>
      <c r="DU15" s="80">
        <v>11.422236430221357</v>
      </c>
      <c r="DV15" s="80">
        <v>9.3987761061885404</v>
      </c>
      <c r="DW15" s="80">
        <v>16.321072338483674</v>
      </c>
      <c r="DX15" s="80">
        <v>13.668717647903195</v>
      </c>
      <c r="DY15" s="80">
        <v>14.42438490138835</v>
      </c>
      <c r="DZ15" s="80">
        <v>12.723339038320603</v>
      </c>
      <c r="EA15" s="80">
        <v>15.416975545487499</v>
      </c>
      <c r="EB15" s="80">
        <v>15.763742019034702</v>
      </c>
      <c r="EC15" s="80">
        <v>12.106528950196342</v>
      </c>
      <c r="ED15" s="80">
        <v>13.846449415249761</v>
      </c>
      <c r="EE15" s="80">
        <v>16.475601246544343</v>
      </c>
      <c r="EF15" s="80">
        <v>11.266781207559996</v>
      </c>
      <c r="EG15" s="80">
        <v>17.469326440444028</v>
      </c>
      <c r="EH15" s="80">
        <v>11.560928069124307</v>
      </c>
      <c r="EI15" s="80">
        <v>12.323578441173233</v>
      </c>
      <c r="EJ15" s="80">
        <v>15.289828427701993</v>
      </c>
      <c r="EK15" s="80">
        <v>13.004475107046719</v>
      </c>
      <c r="EL15" s="80">
        <v>15.31510388409674</v>
      </c>
      <c r="EM15" s="80">
        <v>23.979253628393966</v>
      </c>
      <c r="EN15" s="80">
        <v>16.526872054544508</v>
      </c>
      <c r="EO15" s="80">
        <v>15.818417008333096</v>
      </c>
      <c r="EP15" s="80">
        <v>19.380303127365984</v>
      </c>
      <c r="EQ15" s="80">
        <v>11.60983791376187</v>
      </c>
      <c r="ER15" s="80">
        <v>15.011902673454086</v>
      </c>
      <c r="ES15" s="80">
        <v>13.337929602689844</v>
      </c>
      <c r="ET15" s="80">
        <v>11.99571249420354</v>
      </c>
      <c r="EU15" s="80">
        <v>10.991141251760187</v>
      </c>
      <c r="EV15" s="80">
        <v>10.405456881424847</v>
      </c>
      <c r="EW15" s="80">
        <v>15.298126090143271</v>
      </c>
      <c r="EX15" s="80">
        <v>13.62250280632713</v>
      </c>
      <c r="EY15" s="80">
        <v>12.059790468172004</v>
      </c>
      <c r="EZ15" s="80">
        <v>12.557489090780386</v>
      </c>
      <c r="FA15" s="80">
        <v>15.369308684923707</v>
      </c>
      <c r="FB15" s="80">
        <v>15.860286367240569</v>
      </c>
      <c r="FC15" s="80">
        <v>15.857077171253383</v>
      </c>
      <c r="FD15" s="80">
        <v>12.713400970684747</v>
      </c>
      <c r="FE15" s="80">
        <v>15.053433762300598</v>
      </c>
      <c r="FF15" s="80">
        <v>11.627960258159337</v>
      </c>
      <c r="FG15" s="80">
        <v>9.234055239474154</v>
      </c>
      <c r="FH15" s="80">
        <v>14.816076096940209</v>
      </c>
      <c r="FI15" s="80">
        <v>12.335918544884885</v>
      </c>
      <c r="FJ15" s="80">
        <v>14.551382809018026</v>
      </c>
      <c r="FK15" s="80">
        <v>18.557979555491315</v>
      </c>
      <c r="FL15" s="80">
        <v>15.523679629149086</v>
      </c>
      <c r="FM15" s="80">
        <v>14.981223059144538</v>
      </c>
      <c r="FN15" s="80">
        <v>16.167014831380968</v>
      </c>
      <c r="FO15" s="80">
        <v>16.829836602557418</v>
      </c>
      <c r="FP15" s="80">
        <v>13.550198323859542</v>
      </c>
      <c r="FQ15" s="80">
        <v>11.977949794774547</v>
      </c>
      <c r="FR15" s="80">
        <v>11.532959167648452</v>
      </c>
      <c r="FS15" s="80">
        <v>10.580962557948503</v>
      </c>
      <c r="FT15" s="80">
        <v>11.895311302687958</v>
      </c>
      <c r="FU15" s="80">
        <v>13.946268638649562</v>
      </c>
      <c r="FV15" s="80">
        <v>13.640817682967333</v>
      </c>
      <c r="FW15" s="80">
        <v>13.311761477609457</v>
      </c>
      <c r="FX15" s="80">
        <v>13.568005100192511</v>
      </c>
      <c r="FY15" s="80">
        <v>11.328561484895269</v>
      </c>
      <c r="FZ15" s="80">
        <v>11.398016926796545</v>
      </c>
      <c r="GA15" s="80">
        <v>13.677976057917823</v>
      </c>
      <c r="GB15" s="80">
        <v>13.926226859663709</v>
      </c>
      <c r="GC15" s="80">
        <v>17.466170527280465</v>
      </c>
      <c r="GD15" s="80">
        <v>11.649667665693068</v>
      </c>
      <c r="GE15" s="80">
        <v>12.19896958312064</v>
      </c>
      <c r="GF15" s="80">
        <v>11.517838751710546</v>
      </c>
      <c r="GG15" s="80">
        <v>11.771973031839313</v>
      </c>
      <c r="GH15" s="80">
        <v>10.220109576688131</v>
      </c>
      <c r="GI15" s="80">
        <v>13.023643912810472</v>
      </c>
      <c r="GJ15" s="80">
        <v>10.8127876929462</v>
      </c>
      <c r="GK15" s="80">
        <v>14.515502708247269</v>
      </c>
      <c r="GL15" s="80">
        <v>17.835998992067495</v>
      </c>
      <c r="GM15" s="80">
        <v>7.8696142146736179</v>
      </c>
      <c r="GN15" s="80">
        <v>11.346747934753372</v>
      </c>
      <c r="GO15" s="80">
        <v>10.912299046695107</v>
      </c>
      <c r="GP15" s="80">
        <v>8.313492194790701</v>
      </c>
      <c r="GQ15" s="80">
        <v>9.1642259857691695</v>
      </c>
      <c r="GR15" s="80">
        <v>11.808492144371781</v>
      </c>
      <c r="GS15" s="80">
        <v>13.138993772708895</v>
      </c>
      <c r="GT15" s="80">
        <v>8.2375660845988392</v>
      </c>
      <c r="GU15" s="80">
        <v>14.225914642669785</v>
      </c>
      <c r="GV15" s="80">
        <v>13.764584478096644</v>
      </c>
      <c r="GW15" s="80">
        <v>13.4217699261552</v>
      </c>
      <c r="GX15" s="80">
        <v>12.307973781017632</v>
      </c>
      <c r="GY15" s="80">
        <v>11.480561509694224</v>
      </c>
      <c r="GZ15" s="80">
        <v>13.963050429456903</v>
      </c>
      <c r="HA15" s="80">
        <v>13.34529282356273</v>
      </c>
      <c r="HB15" s="80">
        <v>10.702916548762726</v>
      </c>
      <c r="HC15" s="80">
        <v>8.3402715434567405</v>
      </c>
      <c r="HD15" s="80">
        <v>10.152008351400649</v>
      </c>
      <c r="HE15" s="80">
        <v>8.2814246496142694</v>
      </c>
      <c r="HF15" s="80">
        <v>9.0336230915927818</v>
      </c>
      <c r="HG15" s="80">
        <v>14.431620687578301</v>
      </c>
      <c r="HH15" s="80">
        <v>11.592521501193479</v>
      </c>
      <c r="HI15" s="80">
        <v>15.151651537596205</v>
      </c>
      <c r="HJ15" s="80">
        <v>13.713960850799253</v>
      </c>
      <c r="HK15" s="80">
        <v>12.102318737024268</v>
      </c>
      <c r="HL15" s="80">
        <v>13.44242611479604</v>
      </c>
      <c r="HM15" s="80">
        <v>12.233422008067718</v>
      </c>
      <c r="HN15" s="80">
        <v>13.335738431313024</v>
      </c>
      <c r="HO15" s="80">
        <v>9.5159031406248804</v>
      </c>
      <c r="HP15" s="80">
        <v>11.450386070724832</v>
      </c>
      <c r="HQ15" s="80">
        <v>10.201243442270135</v>
      </c>
      <c r="HR15" s="80">
        <v>10.432499999999999</v>
      </c>
      <c r="HS15" s="80">
        <v>12.7364</v>
      </c>
      <c r="HT15" s="80">
        <v>15.0022933212892</v>
      </c>
      <c r="HU15" s="80">
        <v>12.659114033731701</v>
      </c>
      <c r="HV15" s="80">
        <v>16.2883961311096</v>
      </c>
      <c r="HW15" s="80">
        <v>10.450413466039199</v>
      </c>
      <c r="HX15" s="80">
        <v>10.203784010406601</v>
      </c>
      <c r="HY15" s="80">
        <v>11.568289651378899</v>
      </c>
      <c r="HZ15" s="80">
        <v>13.916498466250101</v>
      </c>
      <c r="IA15" s="80">
        <v>7.9564424667313096</v>
      </c>
      <c r="IB15" s="80">
        <v>10.983608789018501</v>
      </c>
      <c r="IC15" s="80">
        <v>12.857100012763601</v>
      </c>
      <c r="ID15" s="80">
        <v>10.9481549643783</v>
      </c>
      <c r="IE15" s="80">
        <v>15.025919612657299</v>
      </c>
      <c r="IF15" s="80">
        <v>14.175723971834801</v>
      </c>
      <c r="IG15" s="80">
        <v>10.200550759833099</v>
      </c>
      <c r="IH15" s="80">
        <v>13.619868935810301</v>
      </c>
      <c r="II15" s="80">
        <v>10.3841509531117</v>
      </c>
      <c r="IJ15" s="80">
        <v>8.4972879168096007</v>
      </c>
      <c r="IK15" s="80">
        <v>7.2089984722717997</v>
      </c>
      <c r="IL15" s="80">
        <v>6.3330094288213203</v>
      </c>
      <c r="IM15" s="80">
        <v>4.6367527222492697</v>
      </c>
      <c r="IN15" s="80">
        <v>7.6117782497417901</v>
      </c>
      <c r="IO15" s="80">
        <v>9.7854252203172702</v>
      </c>
      <c r="IP15" s="80">
        <v>9.5791473849576896</v>
      </c>
      <c r="IQ15" s="80">
        <v>11.756628567014401</v>
      </c>
      <c r="IR15" s="80">
        <v>11.353416351469599</v>
      </c>
      <c r="IS15" s="80">
        <v>9.2895235107125398</v>
      </c>
      <c r="IT15" s="80">
        <v>12.4270432778717</v>
      </c>
      <c r="IU15" s="80">
        <v>9.8022298977075994</v>
      </c>
      <c r="IV15" s="80">
        <v>10.714320081119499</v>
      </c>
      <c r="IW15" s="80">
        <v>10.8600991193836</v>
      </c>
      <c r="IX15" s="80">
        <v>9.1310472222414596</v>
      </c>
      <c r="IY15" s="80">
        <v>8.2120274018959396</v>
      </c>
      <c r="IZ15" s="80">
        <v>9.9631814383811896</v>
      </c>
      <c r="JA15" s="80">
        <v>8.7012378898642897</v>
      </c>
      <c r="JB15" s="80">
        <v>10.3639658693656</v>
      </c>
      <c r="JC15" s="80">
        <v>9.4604045488292599</v>
      </c>
      <c r="JD15" s="80">
        <v>9.6579665779073292</v>
      </c>
      <c r="JE15" s="80">
        <v>11.659470907184399</v>
      </c>
      <c r="JF15" s="80">
        <v>8.5778523901559591</v>
      </c>
      <c r="JG15" s="80">
        <v>9.8307352296095694</v>
      </c>
      <c r="JH15" s="80">
        <v>7.6675094834150501</v>
      </c>
      <c r="JI15" s="80">
        <v>8.7137241945749597</v>
      </c>
      <c r="JJ15" s="80">
        <v>8.3857324145032592</v>
      </c>
      <c r="JK15" s="80">
        <v>7.4168003172840002</v>
      </c>
      <c r="JL15" s="80">
        <v>10.806559441935599</v>
      </c>
      <c r="JM15" s="80">
        <v>8.5561947266195304</v>
      </c>
      <c r="JN15" s="80">
        <v>9.8368591279919997</v>
      </c>
      <c r="JO15" s="80">
        <v>12.5323596646846</v>
      </c>
      <c r="JP15" s="80">
        <v>7.6116975218512204</v>
      </c>
      <c r="JQ15" s="80">
        <v>9.5483915343287595</v>
      </c>
      <c r="JR15" s="80">
        <v>10.908526446610701</v>
      </c>
      <c r="JS15" s="80">
        <v>10.348288335602501</v>
      </c>
      <c r="JT15" s="80">
        <v>12.019856921607699</v>
      </c>
      <c r="JU15" s="80">
        <v>11.851080035740299</v>
      </c>
      <c r="JV15" s="80">
        <v>12.387594338881501</v>
      </c>
      <c r="JW15" s="80">
        <v>12.757720464560901</v>
      </c>
      <c r="JX15" s="80">
        <v>9.6876188748618492</v>
      </c>
      <c r="JY15" s="80">
        <v>11.2756784022634</v>
      </c>
      <c r="JZ15" s="80">
        <v>10.0071999673987</v>
      </c>
      <c r="KA15" s="80">
        <v>12.805003063567501</v>
      </c>
      <c r="KB15" s="80">
        <v>9.5594174847580398</v>
      </c>
      <c r="KC15" s="80">
        <v>10.412092464836601</v>
      </c>
      <c r="KD15" s="80">
        <v>9.1979080108051505</v>
      </c>
      <c r="KE15" s="80">
        <v>10.259063750720401</v>
      </c>
      <c r="KF15" s="81">
        <v>8.0917479906408403</v>
      </c>
      <c r="KG15" s="81">
        <v>6.7991352708794803</v>
      </c>
      <c r="KH15" s="81">
        <v>13.190076088743</v>
      </c>
      <c r="KI15" s="81">
        <v>8.6718828526299792</v>
      </c>
      <c r="KJ15" s="81">
        <v>7.3358439834362201</v>
      </c>
      <c r="KK15" s="81">
        <v>10.511241186083801</v>
      </c>
      <c r="KL15" s="81">
        <v>9.8819380562150396</v>
      </c>
      <c r="KM15" s="81">
        <v>10.88978215437</v>
      </c>
      <c r="KN15" s="81">
        <v>14.0203820001629</v>
      </c>
      <c r="KO15" s="81">
        <v>8.2008919179524309</v>
      </c>
    </row>
    <row r="16" spans="1:301" s="72" customFormat="1" ht="18" customHeight="1">
      <c r="A16" s="78"/>
      <c r="B16" s="92" t="s">
        <v>157</v>
      </c>
      <c r="C16" s="91" t="s">
        <v>8</v>
      </c>
      <c r="D16" s="91" t="s">
        <v>8</v>
      </c>
      <c r="E16" s="91" t="s">
        <v>8</v>
      </c>
      <c r="F16" s="91" t="s">
        <v>8</v>
      </c>
      <c r="G16" s="91" t="s">
        <v>8</v>
      </c>
      <c r="H16" s="91" t="s">
        <v>8</v>
      </c>
      <c r="I16" s="91" t="s">
        <v>8</v>
      </c>
      <c r="J16" s="91" t="s">
        <v>8</v>
      </c>
      <c r="K16" s="91" t="s">
        <v>8</v>
      </c>
      <c r="L16" s="91" t="s">
        <v>8</v>
      </c>
      <c r="M16" s="91" t="s">
        <v>8</v>
      </c>
      <c r="N16" s="91" t="s">
        <v>8</v>
      </c>
      <c r="O16" s="91" t="s">
        <v>8</v>
      </c>
      <c r="P16" s="91" t="s">
        <v>8</v>
      </c>
      <c r="Q16" s="91" t="s">
        <v>8</v>
      </c>
      <c r="R16" s="91" t="s">
        <v>8</v>
      </c>
      <c r="S16" s="91" t="s">
        <v>8</v>
      </c>
      <c r="T16" s="91" t="s">
        <v>8</v>
      </c>
      <c r="U16" s="91" t="s">
        <v>8</v>
      </c>
      <c r="V16" s="91" t="s">
        <v>8</v>
      </c>
      <c r="W16" s="91" t="s">
        <v>8</v>
      </c>
      <c r="X16" s="91" t="s">
        <v>8</v>
      </c>
      <c r="Y16" s="91" t="s">
        <v>8</v>
      </c>
      <c r="Z16" s="91" t="s">
        <v>8</v>
      </c>
      <c r="AA16" s="91" t="s">
        <v>8</v>
      </c>
      <c r="AB16" s="91" t="s">
        <v>8</v>
      </c>
      <c r="AC16" s="91" t="s">
        <v>8</v>
      </c>
      <c r="AD16" s="91" t="s">
        <v>8</v>
      </c>
      <c r="AE16" s="91" t="s">
        <v>8</v>
      </c>
      <c r="AF16" s="91" t="s">
        <v>8</v>
      </c>
      <c r="AG16" s="91" t="s">
        <v>8</v>
      </c>
      <c r="AH16" s="91" t="s">
        <v>8</v>
      </c>
      <c r="AI16" s="91" t="s">
        <v>8</v>
      </c>
      <c r="AJ16" s="91" t="s">
        <v>8</v>
      </c>
      <c r="AK16" s="91" t="s">
        <v>8</v>
      </c>
      <c r="AL16" s="91" t="s">
        <v>8</v>
      </c>
      <c r="AM16" s="91" t="s">
        <v>8</v>
      </c>
      <c r="AN16" s="91" t="s">
        <v>8</v>
      </c>
      <c r="AO16" s="91" t="s">
        <v>8</v>
      </c>
      <c r="AP16" s="91" t="s">
        <v>8</v>
      </c>
      <c r="AQ16" s="91" t="s">
        <v>8</v>
      </c>
      <c r="AR16" s="91" t="s">
        <v>8</v>
      </c>
      <c r="AS16" s="80">
        <v>0</v>
      </c>
      <c r="AT16" s="80">
        <v>0.68242060000000004</v>
      </c>
      <c r="AU16" s="80">
        <v>1.1989829999999999</v>
      </c>
      <c r="AV16" s="80">
        <v>1.3122720000000001</v>
      </c>
      <c r="AW16" s="80">
        <v>0.9767304</v>
      </c>
      <c r="AX16" s="80">
        <v>1.8421810000000001</v>
      </c>
      <c r="AY16" s="80">
        <v>1.62957</v>
      </c>
      <c r="AZ16" s="80">
        <v>1.732696</v>
      </c>
      <c r="BA16" s="80">
        <v>3.0982129999999999</v>
      </c>
      <c r="BB16" s="80">
        <v>2.6591339999999999</v>
      </c>
      <c r="BC16" s="80">
        <v>1.0969120000000001</v>
      </c>
      <c r="BD16" s="80">
        <v>1.028986</v>
      </c>
      <c r="BE16" s="80">
        <v>1.8934660000000001</v>
      </c>
      <c r="BF16" s="80">
        <v>1.317639</v>
      </c>
      <c r="BG16" s="80">
        <v>2.0230760000000001</v>
      </c>
      <c r="BH16" s="80">
        <v>1.567318</v>
      </c>
      <c r="BI16" s="80">
        <v>2.011555</v>
      </c>
      <c r="BJ16" s="80">
        <v>1.4462140000000001</v>
      </c>
      <c r="BK16" s="80">
        <v>1.7670581896099966</v>
      </c>
      <c r="BL16" s="80">
        <v>3.4843965298217117</v>
      </c>
      <c r="BM16" s="80">
        <v>0.95240635148635255</v>
      </c>
      <c r="BN16" s="80">
        <v>0.96238717919529104</v>
      </c>
      <c r="BO16" s="80">
        <v>1.4319145111387503</v>
      </c>
      <c r="BP16" s="80">
        <v>1.357399988766927</v>
      </c>
      <c r="BQ16" s="80">
        <v>0.98501347871884615</v>
      </c>
      <c r="BR16" s="80">
        <v>1.0379571471783287</v>
      </c>
      <c r="BS16" s="80">
        <v>1.1430105982161023</v>
      </c>
      <c r="BT16" s="80">
        <v>0.83929226088721132</v>
      </c>
      <c r="BU16" s="80">
        <v>1.1958537990417004</v>
      </c>
      <c r="BV16" s="80">
        <v>1.5271126821805916</v>
      </c>
      <c r="BW16" s="80">
        <v>1.3209361139720375</v>
      </c>
      <c r="BX16" s="80">
        <v>0.59447643506734027</v>
      </c>
      <c r="BY16" s="80">
        <v>1.6907448541179291</v>
      </c>
      <c r="BZ16" s="80">
        <v>1.4622176795786546</v>
      </c>
      <c r="CA16" s="80">
        <v>2.2483280050503232</v>
      </c>
      <c r="CB16" s="80">
        <v>1.1986209552282758</v>
      </c>
      <c r="CC16" s="80">
        <v>1.5921220801386284</v>
      </c>
      <c r="CD16" s="80">
        <v>1.5700905047327902</v>
      </c>
      <c r="CE16" s="80">
        <v>0.82619761257891788</v>
      </c>
      <c r="CF16" s="80">
        <v>3.1630916697109894</v>
      </c>
      <c r="CG16" s="80">
        <v>1.2199591198009534</v>
      </c>
      <c r="CH16" s="80">
        <v>1.7931317041961048</v>
      </c>
      <c r="CI16" s="80">
        <v>2.1886339809960567</v>
      </c>
      <c r="CJ16" s="80">
        <v>2.4740264039567053</v>
      </c>
      <c r="CK16" s="80">
        <v>2.888236511701606</v>
      </c>
      <c r="CL16" s="80">
        <v>2.287792720435724</v>
      </c>
      <c r="CM16" s="80">
        <v>1.7638687669851074</v>
      </c>
      <c r="CN16" s="80">
        <v>1.0900313983305272</v>
      </c>
      <c r="CO16" s="80">
        <v>1.5933106158343064</v>
      </c>
      <c r="CP16" s="80">
        <v>1.1843039506198159</v>
      </c>
      <c r="CQ16" s="80">
        <v>1.4972356252819365</v>
      </c>
      <c r="CR16" s="80">
        <v>1.7203272662022169</v>
      </c>
      <c r="CS16" s="80">
        <v>3.2140015220187057</v>
      </c>
      <c r="CT16" s="80">
        <v>1.9181266660141127</v>
      </c>
      <c r="CU16" s="80">
        <v>1.0804908861223135</v>
      </c>
      <c r="CV16" s="80">
        <v>1.8969154641199553</v>
      </c>
      <c r="CW16" s="80">
        <v>1.1376116470666959</v>
      </c>
      <c r="CX16" s="80">
        <v>1.1522090776125309</v>
      </c>
      <c r="CY16" s="80">
        <v>1.0274793089140808</v>
      </c>
      <c r="CZ16" s="80">
        <v>2.1790082685781682</v>
      </c>
      <c r="DA16" s="80">
        <v>3.1590259720245357</v>
      </c>
      <c r="DB16" s="80">
        <v>6.0535046495386462</v>
      </c>
      <c r="DC16" s="80">
        <v>3.0677046188643007</v>
      </c>
      <c r="DD16" s="80">
        <v>1.9089051942845801</v>
      </c>
      <c r="DE16" s="80">
        <v>2.0853067944838091</v>
      </c>
      <c r="DF16" s="80">
        <v>4.8450445183758717</v>
      </c>
      <c r="DG16" s="80">
        <v>1.999220499503001</v>
      </c>
      <c r="DH16" s="80">
        <v>4.5654475016696754</v>
      </c>
      <c r="DI16" s="80">
        <v>1.1212360235904846</v>
      </c>
      <c r="DJ16" s="80">
        <v>4.2152886254714268</v>
      </c>
      <c r="DK16" s="80">
        <v>1.9523343210728861</v>
      </c>
      <c r="DL16" s="80">
        <v>1.7310155534609537</v>
      </c>
      <c r="DM16" s="80">
        <v>1.578321406089858</v>
      </c>
      <c r="DN16" s="80">
        <v>0.83260416005542759</v>
      </c>
      <c r="DO16" s="80">
        <v>2.0452727392145311</v>
      </c>
      <c r="DP16" s="80">
        <v>1.1763156831835564</v>
      </c>
      <c r="DQ16" s="80">
        <v>1.5391220635776448</v>
      </c>
      <c r="DR16" s="80">
        <v>0.85962896555908574</v>
      </c>
      <c r="DS16" s="80">
        <v>0.74516580183929759</v>
      </c>
      <c r="DT16" s="80">
        <v>2.1390636442808924</v>
      </c>
      <c r="DU16" s="80">
        <v>2.5133494682137671</v>
      </c>
      <c r="DV16" s="80">
        <v>1.294464063224303</v>
      </c>
      <c r="DW16" s="80">
        <v>0.320384135814829</v>
      </c>
      <c r="DX16" s="80">
        <v>0.84773859576772448</v>
      </c>
      <c r="DY16" s="80">
        <v>1.7101288367694301</v>
      </c>
      <c r="DZ16" s="80">
        <v>0.56718164949594563</v>
      </c>
      <c r="EA16" s="80">
        <v>1.7335973652186092</v>
      </c>
      <c r="EB16" s="80">
        <v>2.3221012707824951</v>
      </c>
      <c r="EC16" s="80">
        <v>2.7050854782840621</v>
      </c>
      <c r="ED16" s="80">
        <v>0.86014764071763272</v>
      </c>
      <c r="EE16" s="80">
        <v>1.5450081825732249</v>
      </c>
      <c r="EF16" s="80">
        <v>1.3824683561277764</v>
      </c>
      <c r="EG16" s="80">
        <v>2.1272718031214675</v>
      </c>
      <c r="EH16" s="80">
        <v>1.0945404365742808</v>
      </c>
      <c r="EI16" s="80">
        <v>1.4886433561921588</v>
      </c>
      <c r="EJ16" s="80">
        <v>2.7151042227363966</v>
      </c>
      <c r="EK16" s="80">
        <v>3.0488214021053164</v>
      </c>
      <c r="EL16" s="80">
        <v>1.5905064468413173</v>
      </c>
      <c r="EM16" s="80">
        <v>1.0856818247822428</v>
      </c>
      <c r="EN16" s="80">
        <v>3.1213926112413808</v>
      </c>
      <c r="EO16" s="80">
        <v>1.7236902082477961</v>
      </c>
      <c r="EP16" s="80">
        <v>1.4789401178013908</v>
      </c>
      <c r="EQ16" s="80">
        <v>2.3288614562418486</v>
      </c>
      <c r="ER16" s="80">
        <v>1.5771535648631687</v>
      </c>
      <c r="ES16" s="80">
        <v>1.1973268902583876</v>
      </c>
      <c r="ET16" s="80">
        <v>2.4488036501929233</v>
      </c>
      <c r="EU16" s="80">
        <v>2.9188932017269402</v>
      </c>
      <c r="EV16" s="80">
        <v>1.6623959839292206</v>
      </c>
      <c r="EW16" s="80">
        <v>1.0319661344018662</v>
      </c>
      <c r="EX16" s="80">
        <v>1.6526715281619802</v>
      </c>
      <c r="EY16" s="80">
        <v>2.2858435766420926</v>
      </c>
      <c r="EZ16" s="80">
        <v>3.2575007379416565</v>
      </c>
      <c r="FA16" s="80">
        <v>2.6882989428632622</v>
      </c>
      <c r="FB16" s="80">
        <v>0.74573269669404563</v>
      </c>
      <c r="FC16" s="80">
        <v>1.1976347473927462</v>
      </c>
      <c r="FD16" s="80">
        <v>0.81665458147254577</v>
      </c>
      <c r="FE16" s="80">
        <v>2.7416046878428459</v>
      </c>
      <c r="FF16" s="80">
        <v>1.072453623607037</v>
      </c>
      <c r="FG16" s="80">
        <v>0.88474430335069387</v>
      </c>
      <c r="FH16" s="80">
        <v>0.79027720775255683</v>
      </c>
      <c r="FI16" s="80">
        <v>2.0270542207939299</v>
      </c>
      <c r="FJ16" s="80">
        <v>2.402288294350635</v>
      </c>
      <c r="FK16" s="80">
        <v>1.3401114121047841</v>
      </c>
      <c r="FL16" s="80">
        <v>0.67958493726251612</v>
      </c>
      <c r="FM16" s="80">
        <v>1.5500069080217167</v>
      </c>
      <c r="FN16" s="80">
        <v>0.94258039116745052</v>
      </c>
      <c r="FO16" s="80">
        <v>2.0381749252044168</v>
      </c>
      <c r="FP16" s="80">
        <v>0.93861402707416564</v>
      </c>
      <c r="FQ16" s="80">
        <v>1.3142013797381527</v>
      </c>
      <c r="FR16" s="80">
        <v>1.9667641133061902</v>
      </c>
      <c r="FS16" s="80">
        <v>0.2370459935226974</v>
      </c>
      <c r="FT16" s="80">
        <v>0.92986017799019693</v>
      </c>
      <c r="FU16" s="80">
        <v>2.1278102813678661</v>
      </c>
      <c r="FV16" s="80">
        <v>0.99382067771933602</v>
      </c>
      <c r="FW16" s="80">
        <v>3.1690333769759209</v>
      </c>
      <c r="FX16" s="80">
        <v>2.5678071223610668</v>
      </c>
      <c r="FY16" s="80">
        <v>1.1975530204954667</v>
      </c>
      <c r="FZ16" s="80">
        <v>4.6029144098000438</v>
      </c>
      <c r="GA16" s="80">
        <v>2.8644136743601671</v>
      </c>
      <c r="GB16" s="80">
        <v>2.5159691380905507</v>
      </c>
      <c r="GC16" s="80">
        <v>1.6830439614888388</v>
      </c>
      <c r="GD16" s="80">
        <v>1.3127983648213637</v>
      </c>
      <c r="GE16" s="80">
        <v>1.239077034615917</v>
      </c>
      <c r="GF16" s="80">
        <v>1.1478036424142066</v>
      </c>
      <c r="GG16" s="80">
        <v>0.92508382515380205</v>
      </c>
      <c r="GH16" s="80">
        <v>2.127265268516179</v>
      </c>
      <c r="GI16" s="80">
        <v>1.6771545318665735</v>
      </c>
      <c r="GJ16" s="80">
        <v>1.356765835323952</v>
      </c>
      <c r="GK16" s="80">
        <v>0.50994407687360854</v>
      </c>
      <c r="GL16" s="80">
        <v>0.74073713555798693</v>
      </c>
      <c r="GM16" s="80">
        <v>0.79916479913795935</v>
      </c>
      <c r="GN16" s="80">
        <v>2.2996720112474462</v>
      </c>
      <c r="GO16" s="80">
        <v>1.9650401356255252</v>
      </c>
      <c r="GP16" s="80">
        <v>1.2643716337152726</v>
      </c>
      <c r="GQ16" s="80">
        <v>1.6837017298274211</v>
      </c>
      <c r="GR16" s="80">
        <v>3.1367452365491553</v>
      </c>
      <c r="GS16" s="80">
        <v>1.2469876815832721</v>
      </c>
      <c r="GT16" s="80">
        <v>1.0939144477010219</v>
      </c>
      <c r="GU16" s="80">
        <v>2.3264762671047299</v>
      </c>
      <c r="GV16" s="80">
        <v>5.0615888481665658</v>
      </c>
      <c r="GW16" s="80">
        <v>2.1120104407255798</v>
      </c>
      <c r="GX16" s="80">
        <v>1.9822763769499856</v>
      </c>
      <c r="GY16" s="80">
        <v>2.3509540390620236</v>
      </c>
      <c r="GZ16" s="80">
        <v>1.3501488470759166</v>
      </c>
      <c r="HA16" s="80">
        <v>3.1128527428196846</v>
      </c>
      <c r="HB16" s="80">
        <v>1.6189609786588259</v>
      </c>
      <c r="HC16" s="80">
        <v>1.4991379421475159</v>
      </c>
      <c r="HD16" s="80">
        <v>0.63560601781495152</v>
      </c>
      <c r="HE16" s="80">
        <v>1.6938682542968055</v>
      </c>
      <c r="HF16" s="80">
        <v>1.3335445314337009</v>
      </c>
      <c r="HG16" s="80">
        <v>2.0230140393232534</v>
      </c>
      <c r="HH16" s="80">
        <v>0.54372060357233643</v>
      </c>
      <c r="HI16" s="80">
        <v>1.7531850197664149</v>
      </c>
      <c r="HJ16" s="80">
        <v>1.0009027516152513</v>
      </c>
      <c r="HK16" s="80">
        <v>1.5897324562639026</v>
      </c>
      <c r="HL16" s="80">
        <v>1.3391578656453837</v>
      </c>
      <c r="HM16" s="80">
        <v>1.0980870082204668</v>
      </c>
      <c r="HN16" s="80">
        <v>0.45417061640060147</v>
      </c>
      <c r="HO16" s="80">
        <v>1.6649460139441523</v>
      </c>
      <c r="HP16" s="80">
        <v>1.8205125909795714</v>
      </c>
      <c r="HQ16" s="80">
        <v>1.100152986979908</v>
      </c>
      <c r="HR16" s="80">
        <v>0.98663599999999996</v>
      </c>
      <c r="HS16" s="80">
        <v>0.11616</v>
      </c>
      <c r="HT16" s="80">
        <v>4.76055398594874E-2</v>
      </c>
      <c r="HU16" s="80">
        <v>1.16007578445229</v>
      </c>
      <c r="HV16" s="80">
        <v>0.27205657241404002</v>
      </c>
      <c r="HW16" s="80">
        <v>0.65936293706851501</v>
      </c>
      <c r="HX16" s="80">
        <v>0.25265656487482502</v>
      </c>
      <c r="HY16" s="80">
        <v>0.22261369505561501</v>
      </c>
      <c r="HZ16" s="80">
        <v>0.28827340078542502</v>
      </c>
      <c r="IA16" s="80">
        <v>0.2247576787525</v>
      </c>
      <c r="IB16" s="80">
        <v>0.43183643548953399</v>
      </c>
      <c r="IC16" s="80">
        <v>1.28117688991812</v>
      </c>
      <c r="ID16" s="80">
        <v>0.67303493697334604</v>
      </c>
      <c r="IE16" s="80">
        <v>7.3462513153760595E-2</v>
      </c>
      <c r="IF16" s="80">
        <v>0.44544857272124799</v>
      </c>
      <c r="IG16" s="80">
        <v>0.17222555983818</v>
      </c>
      <c r="IH16" s="80">
        <v>0.10544619023341199</v>
      </c>
      <c r="II16" s="80">
        <v>0.44060680074595099</v>
      </c>
      <c r="IJ16" s="80">
        <v>1.0279269297646501</v>
      </c>
      <c r="IK16" s="80">
        <v>0.30321689284393699</v>
      </c>
      <c r="IL16" s="80">
        <v>0.14595107591213</v>
      </c>
      <c r="IM16" s="80">
        <v>0.72021902060871701</v>
      </c>
      <c r="IN16" s="80">
        <v>1.5080466140767901</v>
      </c>
      <c r="IO16" s="80">
        <v>0.69269010299592004</v>
      </c>
      <c r="IP16" s="80">
        <v>0.89558571617676297</v>
      </c>
      <c r="IQ16" s="80">
        <v>0.91073336492883405</v>
      </c>
      <c r="IR16" s="80">
        <v>0.54229481269889102</v>
      </c>
      <c r="IS16" s="80">
        <v>0.86383377392927996</v>
      </c>
      <c r="IT16" s="80">
        <v>1.0444329229823901</v>
      </c>
      <c r="IU16" s="80">
        <v>1.31724163422742</v>
      </c>
      <c r="IV16" s="80">
        <v>0.73501462386247196</v>
      </c>
      <c r="IW16" s="80">
        <v>0.84514131973275297</v>
      </c>
      <c r="IX16" s="80">
        <v>1.1898745137789899</v>
      </c>
      <c r="IY16" s="80">
        <v>0.98422702759949099</v>
      </c>
      <c r="IZ16" s="80">
        <v>0.54440447140768</v>
      </c>
      <c r="JA16" s="80">
        <v>0.67127914508879805</v>
      </c>
      <c r="JB16" s="80">
        <v>0.83768332423150904</v>
      </c>
      <c r="JC16" s="80">
        <v>0.78549840592241804</v>
      </c>
      <c r="JD16" s="80">
        <v>0.76265052196905603</v>
      </c>
      <c r="JE16" s="80">
        <v>0.92774628825248395</v>
      </c>
      <c r="JF16" s="80">
        <v>1.1522093437018499</v>
      </c>
      <c r="JG16" s="80">
        <v>1.5652385353465199</v>
      </c>
      <c r="JH16" s="80">
        <v>0.364193984920197</v>
      </c>
      <c r="JI16" s="80">
        <v>0.94917403472875705</v>
      </c>
      <c r="JJ16" s="80">
        <v>1.50423565815088</v>
      </c>
      <c r="JK16" s="80">
        <v>0.15402533871480301</v>
      </c>
      <c r="JL16" s="80">
        <v>0.24760418843949</v>
      </c>
      <c r="JM16" s="80">
        <v>1.0201422361224</v>
      </c>
      <c r="JN16" s="80">
        <v>1.4496587317296601</v>
      </c>
      <c r="JO16" s="80">
        <v>0.62026653029516199</v>
      </c>
      <c r="JP16" s="80">
        <v>0.20777135988491</v>
      </c>
      <c r="JQ16" s="80">
        <v>0.54798439874946803</v>
      </c>
      <c r="JR16" s="80">
        <v>0.59747616007651605</v>
      </c>
      <c r="JS16" s="80">
        <v>0.17319298719192999</v>
      </c>
      <c r="JT16" s="80">
        <v>0.62930134469449095</v>
      </c>
      <c r="JU16" s="80">
        <v>0.50990625078364904</v>
      </c>
      <c r="JV16" s="80">
        <v>0.92203279491067303</v>
      </c>
      <c r="JW16" s="80">
        <v>0.25695683913811801</v>
      </c>
      <c r="JX16" s="80">
        <v>0.87350579416217</v>
      </c>
      <c r="JY16" s="80">
        <v>1.92485212897304</v>
      </c>
      <c r="JZ16" s="80">
        <v>0.56199755562042097</v>
      </c>
      <c r="KA16" s="80">
        <v>0.95259434637533402</v>
      </c>
      <c r="KB16" s="80">
        <v>1.9842126903322701</v>
      </c>
      <c r="KC16" s="80">
        <v>1.9790625896379499</v>
      </c>
      <c r="KD16" s="80">
        <v>1.2800215157562</v>
      </c>
      <c r="KE16" s="80">
        <v>1.5113481830925</v>
      </c>
      <c r="KF16" s="81">
        <v>2.8000453471001001</v>
      </c>
      <c r="KG16" s="81">
        <v>2.0366882192975102</v>
      </c>
      <c r="KH16" s="81">
        <v>2.32400432730216</v>
      </c>
      <c r="KI16" s="81">
        <v>1.8893942623076301</v>
      </c>
      <c r="KJ16" s="81">
        <v>1.4446018000793699</v>
      </c>
      <c r="KK16" s="81">
        <v>3.2255964283303902</v>
      </c>
      <c r="KL16" s="81">
        <v>2.9538190182894599</v>
      </c>
      <c r="KM16" s="81">
        <v>1.47739712562593</v>
      </c>
      <c r="KN16" s="81">
        <v>2.7987414915986299</v>
      </c>
      <c r="KO16" s="81">
        <v>2.0302961607654901</v>
      </c>
    </row>
    <row r="17" spans="1:301" s="72" customFormat="1" ht="18" customHeight="1">
      <c r="A17" s="78"/>
      <c r="B17" s="92" t="s">
        <v>158</v>
      </c>
      <c r="C17" s="91" t="s">
        <v>8</v>
      </c>
      <c r="D17" s="91" t="s">
        <v>8</v>
      </c>
      <c r="E17" s="91" t="s">
        <v>8</v>
      </c>
      <c r="F17" s="91" t="s">
        <v>8</v>
      </c>
      <c r="G17" s="91" t="s">
        <v>8</v>
      </c>
      <c r="H17" s="91" t="s">
        <v>8</v>
      </c>
      <c r="I17" s="91" t="s">
        <v>8</v>
      </c>
      <c r="J17" s="91" t="s">
        <v>8</v>
      </c>
      <c r="K17" s="91" t="s">
        <v>8</v>
      </c>
      <c r="L17" s="91" t="s">
        <v>8</v>
      </c>
      <c r="M17" s="91" t="s">
        <v>8</v>
      </c>
      <c r="N17" s="91" t="s">
        <v>8</v>
      </c>
      <c r="O17" s="91" t="s">
        <v>8</v>
      </c>
      <c r="P17" s="91" t="s">
        <v>8</v>
      </c>
      <c r="Q17" s="91" t="s">
        <v>8</v>
      </c>
      <c r="R17" s="91" t="s">
        <v>8</v>
      </c>
      <c r="S17" s="91" t="s">
        <v>8</v>
      </c>
      <c r="T17" s="91" t="s">
        <v>8</v>
      </c>
      <c r="U17" s="91" t="s">
        <v>8</v>
      </c>
      <c r="V17" s="91" t="s">
        <v>8</v>
      </c>
      <c r="W17" s="91" t="s">
        <v>8</v>
      </c>
      <c r="X17" s="91" t="s">
        <v>8</v>
      </c>
      <c r="Y17" s="91" t="s">
        <v>8</v>
      </c>
      <c r="Z17" s="91" t="s">
        <v>8</v>
      </c>
      <c r="AA17" s="91" t="s">
        <v>8</v>
      </c>
      <c r="AB17" s="91" t="s">
        <v>8</v>
      </c>
      <c r="AC17" s="91" t="s">
        <v>8</v>
      </c>
      <c r="AD17" s="91" t="s">
        <v>8</v>
      </c>
      <c r="AE17" s="91" t="s">
        <v>8</v>
      </c>
      <c r="AF17" s="91" t="s">
        <v>8</v>
      </c>
      <c r="AG17" s="91" t="s">
        <v>8</v>
      </c>
      <c r="AH17" s="91" t="s">
        <v>8</v>
      </c>
      <c r="AI17" s="91" t="s">
        <v>8</v>
      </c>
      <c r="AJ17" s="91" t="s">
        <v>8</v>
      </c>
      <c r="AK17" s="91" t="s">
        <v>8</v>
      </c>
      <c r="AL17" s="91" t="s">
        <v>8</v>
      </c>
      <c r="AM17" s="91" t="s">
        <v>8</v>
      </c>
      <c r="AN17" s="91" t="s">
        <v>8</v>
      </c>
      <c r="AO17" s="91" t="s">
        <v>8</v>
      </c>
      <c r="AP17" s="91" t="s">
        <v>8</v>
      </c>
      <c r="AQ17" s="91" t="s">
        <v>8</v>
      </c>
      <c r="AR17" s="91" t="s">
        <v>8</v>
      </c>
      <c r="AS17" s="80">
        <v>28.019839999999999</v>
      </c>
      <c r="AT17" s="80">
        <v>24.693729999999999</v>
      </c>
      <c r="AU17" s="80">
        <v>25.1187</v>
      </c>
      <c r="AV17" s="80">
        <v>27.567679999999999</v>
      </c>
      <c r="AW17" s="80">
        <v>28.66527</v>
      </c>
      <c r="AX17" s="80">
        <v>23.0261</v>
      </c>
      <c r="AY17" s="80">
        <v>23.969390000000001</v>
      </c>
      <c r="AZ17" s="80">
        <v>25.753299999999999</v>
      </c>
      <c r="BA17" s="80">
        <v>27.422090000000001</v>
      </c>
      <c r="BB17" s="80">
        <v>21.540929999999999</v>
      </c>
      <c r="BC17" s="80">
        <v>20.751290000000001</v>
      </c>
      <c r="BD17" s="80">
        <v>27.920359999999999</v>
      </c>
      <c r="BE17" s="80">
        <v>31.253889999999998</v>
      </c>
      <c r="BF17" s="80">
        <v>34.536299999999997</v>
      </c>
      <c r="BG17" s="80">
        <v>23.176079999999999</v>
      </c>
      <c r="BH17" s="80">
        <v>36.482939999999999</v>
      </c>
      <c r="BI17" s="80">
        <v>30.07396</v>
      </c>
      <c r="BJ17" s="80">
        <v>34.126919999999998</v>
      </c>
      <c r="BK17" s="80">
        <v>28.025027908572397</v>
      </c>
      <c r="BL17" s="80">
        <v>36.927328430189881</v>
      </c>
      <c r="BM17" s="80">
        <v>34.97076927073725</v>
      </c>
      <c r="BN17" s="80">
        <v>29.466501304978721</v>
      </c>
      <c r="BO17" s="80">
        <v>29.550589598013239</v>
      </c>
      <c r="BP17" s="80">
        <v>27.898686295923188</v>
      </c>
      <c r="BQ17" s="80">
        <v>32.773285825375062</v>
      </c>
      <c r="BR17" s="80">
        <v>33.200746485016168</v>
      </c>
      <c r="BS17" s="80">
        <v>33.781930153723778</v>
      </c>
      <c r="BT17" s="80">
        <v>36.232397925513872</v>
      </c>
      <c r="BU17" s="80">
        <v>35.164617959181108</v>
      </c>
      <c r="BV17" s="80">
        <v>35.906921958516435</v>
      </c>
      <c r="BW17" s="80">
        <v>38.765784498555711</v>
      </c>
      <c r="BX17" s="80">
        <v>38.227619859469463</v>
      </c>
      <c r="BY17" s="80">
        <v>34.411542144039878</v>
      </c>
      <c r="BZ17" s="80">
        <v>30.639621542490186</v>
      </c>
      <c r="CA17" s="80">
        <v>39.35176310990289</v>
      </c>
      <c r="CB17" s="80">
        <v>37.241589672643286</v>
      </c>
      <c r="CC17" s="80">
        <v>41.667153672868743</v>
      </c>
      <c r="CD17" s="80">
        <v>42.996243613698745</v>
      </c>
      <c r="CE17" s="80">
        <v>45.175527061576638</v>
      </c>
      <c r="CF17" s="80">
        <v>39.37293881016965</v>
      </c>
      <c r="CG17" s="80">
        <v>43.603538052863712</v>
      </c>
      <c r="CH17" s="80">
        <v>35.657846219556646</v>
      </c>
      <c r="CI17" s="80">
        <v>41.331083534159355</v>
      </c>
      <c r="CJ17" s="80">
        <v>40.800675639600676</v>
      </c>
      <c r="CK17" s="80">
        <v>42.457107579332352</v>
      </c>
      <c r="CL17" s="80">
        <v>37.25415926386659</v>
      </c>
      <c r="CM17" s="80">
        <v>38.519090148507289</v>
      </c>
      <c r="CN17" s="80">
        <v>43.240422580942003</v>
      </c>
      <c r="CO17" s="80">
        <v>48.978973135914003</v>
      </c>
      <c r="CP17" s="80">
        <v>43.089255961685538</v>
      </c>
      <c r="CQ17" s="80">
        <v>39.81656937335098</v>
      </c>
      <c r="CR17" s="80">
        <v>44.761699509931205</v>
      </c>
      <c r="CS17" s="80">
        <v>38.853392665340493</v>
      </c>
      <c r="CT17" s="80">
        <v>30.960807272951286</v>
      </c>
      <c r="CU17" s="80">
        <v>38.235853880839365</v>
      </c>
      <c r="CV17" s="80">
        <v>38.7788176280784</v>
      </c>
      <c r="CW17" s="80">
        <v>33.374210445988794</v>
      </c>
      <c r="CX17" s="80">
        <v>35.484898041644605</v>
      </c>
      <c r="CY17" s="80">
        <v>35.040865351358946</v>
      </c>
      <c r="CZ17" s="80">
        <v>35.423053130955537</v>
      </c>
      <c r="DA17" s="80">
        <v>37.915429696629353</v>
      </c>
      <c r="DB17" s="80">
        <v>42.032825878720736</v>
      </c>
      <c r="DC17" s="80">
        <v>44.925138525106654</v>
      </c>
      <c r="DD17" s="80">
        <v>39.192007523205369</v>
      </c>
      <c r="DE17" s="80">
        <v>39.090644698730749</v>
      </c>
      <c r="DF17" s="80">
        <v>34.395955992555535</v>
      </c>
      <c r="DG17" s="80">
        <v>39.283330023729924</v>
      </c>
      <c r="DH17" s="80">
        <v>37.584178485639661</v>
      </c>
      <c r="DI17" s="80">
        <v>36.351702639130494</v>
      </c>
      <c r="DJ17" s="80">
        <v>29.981011179005137</v>
      </c>
      <c r="DK17" s="80">
        <v>35.096322159258115</v>
      </c>
      <c r="DL17" s="80">
        <v>35.364837472594772</v>
      </c>
      <c r="DM17" s="80">
        <v>39.618734459638318</v>
      </c>
      <c r="DN17" s="80">
        <v>45.34619170667429</v>
      </c>
      <c r="DO17" s="80">
        <v>39.472232407659043</v>
      </c>
      <c r="DP17" s="80">
        <v>42.387192843477528</v>
      </c>
      <c r="DQ17" s="80">
        <v>37.099719929965936</v>
      </c>
      <c r="DR17" s="80">
        <v>42.176080880836189</v>
      </c>
      <c r="DS17" s="80">
        <v>46.319318991284192</v>
      </c>
      <c r="DT17" s="80">
        <v>37.991404848625642</v>
      </c>
      <c r="DU17" s="80">
        <v>35.895365630441454</v>
      </c>
      <c r="DV17" s="80">
        <v>39.662200244178266</v>
      </c>
      <c r="DW17" s="80">
        <v>31.123081312582229</v>
      </c>
      <c r="DX17" s="80">
        <v>33.772340660113336</v>
      </c>
      <c r="DY17" s="80">
        <v>39.475061064427699</v>
      </c>
      <c r="DZ17" s="80">
        <v>40.619425007803471</v>
      </c>
      <c r="EA17" s="80">
        <v>42.924486149706716</v>
      </c>
      <c r="EB17" s="80">
        <v>41.199824438401258</v>
      </c>
      <c r="EC17" s="80">
        <v>34.767184776493977</v>
      </c>
      <c r="ED17" s="80">
        <v>39.142046402316652</v>
      </c>
      <c r="EE17" s="80">
        <v>36.912480321627527</v>
      </c>
      <c r="EF17" s="80">
        <v>33.864611242645339</v>
      </c>
      <c r="EG17" s="80">
        <v>35.050128384168389</v>
      </c>
      <c r="EH17" s="80">
        <v>37.075775882961331</v>
      </c>
      <c r="EI17" s="80">
        <v>31.630381128926651</v>
      </c>
      <c r="EJ17" s="80">
        <v>34.648925125001462</v>
      </c>
      <c r="EK17" s="80">
        <v>41.364928084625063</v>
      </c>
      <c r="EL17" s="80">
        <v>48.365837852890472</v>
      </c>
      <c r="EM17" s="80">
        <v>37.986059008296699</v>
      </c>
      <c r="EN17" s="80">
        <v>40.845422999247745</v>
      </c>
      <c r="EO17" s="80">
        <v>36.939988157297826</v>
      </c>
      <c r="EP17" s="80">
        <v>28.013445551630745</v>
      </c>
      <c r="EQ17" s="80">
        <v>40.353047527932283</v>
      </c>
      <c r="ER17" s="80">
        <v>37.221212612486703</v>
      </c>
      <c r="ES17" s="80">
        <v>38.336409236646375</v>
      </c>
      <c r="ET17" s="80">
        <v>25.70100115817548</v>
      </c>
      <c r="EU17" s="80">
        <v>35.350922316943326</v>
      </c>
      <c r="EV17" s="80">
        <v>34.60827745515644</v>
      </c>
      <c r="EW17" s="80">
        <v>43.388126616828274</v>
      </c>
      <c r="EX17" s="80">
        <v>38.690055503592795</v>
      </c>
      <c r="EY17" s="80">
        <v>35.486380035883833</v>
      </c>
      <c r="EZ17" s="80">
        <v>36.471772226410174</v>
      </c>
      <c r="FA17" s="80">
        <v>31.955948161069685</v>
      </c>
      <c r="FB17" s="80">
        <v>29.338749449748281</v>
      </c>
      <c r="FC17" s="80">
        <v>38.110700779771953</v>
      </c>
      <c r="FD17" s="80">
        <v>33.965818909035349</v>
      </c>
      <c r="FE17" s="80">
        <v>26.509867947093333</v>
      </c>
      <c r="FF17" s="80">
        <v>36.694799512958056</v>
      </c>
      <c r="FG17" s="80">
        <v>30.044048316423012</v>
      </c>
      <c r="FH17" s="80">
        <v>42.417278534693118</v>
      </c>
      <c r="FI17" s="80">
        <v>39.592208969181812</v>
      </c>
      <c r="FJ17" s="80">
        <v>36.513332473562002</v>
      </c>
      <c r="FK17" s="80">
        <v>42.010170843622973</v>
      </c>
      <c r="FL17" s="80">
        <v>39.30101126520325</v>
      </c>
      <c r="FM17" s="80">
        <v>40.638988517564769</v>
      </c>
      <c r="FN17" s="80">
        <v>37.048421936212719</v>
      </c>
      <c r="FO17" s="80">
        <v>42.121061152043389</v>
      </c>
      <c r="FP17" s="80">
        <v>41.359238895229126</v>
      </c>
      <c r="FQ17" s="80">
        <v>40.352276988592827</v>
      </c>
      <c r="FR17" s="80">
        <v>34.73485879108452</v>
      </c>
      <c r="FS17" s="80">
        <v>36.932990284164511</v>
      </c>
      <c r="FT17" s="80">
        <v>37.377447773130434</v>
      </c>
      <c r="FU17" s="80">
        <v>38.213923878881374</v>
      </c>
      <c r="FV17" s="80">
        <v>45.381952556543993</v>
      </c>
      <c r="FW17" s="80">
        <v>43.246642506140219</v>
      </c>
      <c r="FX17" s="80">
        <v>40.005367777841464</v>
      </c>
      <c r="FY17" s="80">
        <v>39.609051292624052</v>
      </c>
      <c r="FZ17" s="80">
        <v>37.692974648672326</v>
      </c>
      <c r="GA17" s="80">
        <v>37.206122143342867</v>
      </c>
      <c r="GB17" s="80">
        <v>32.7235852126623</v>
      </c>
      <c r="GC17" s="80">
        <v>35.292366861570464</v>
      </c>
      <c r="GD17" s="80">
        <v>35.580987357439128</v>
      </c>
      <c r="GE17" s="80">
        <v>37.077983979617372</v>
      </c>
      <c r="GF17" s="80">
        <v>37.307817021243267</v>
      </c>
      <c r="GG17" s="80">
        <v>36.153465876120585</v>
      </c>
      <c r="GH17" s="80">
        <v>40.759706909164073</v>
      </c>
      <c r="GI17" s="80">
        <v>38.076330897412959</v>
      </c>
      <c r="GJ17" s="80">
        <v>36.927111968273366</v>
      </c>
      <c r="GK17" s="80">
        <v>34.073137926233201</v>
      </c>
      <c r="GL17" s="80">
        <v>34.627875513037537</v>
      </c>
      <c r="GM17" s="80">
        <v>30.541894341929591</v>
      </c>
      <c r="GN17" s="80">
        <v>33.927623818294769</v>
      </c>
      <c r="GO17" s="80">
        <v>34.334364225225734</v>
      </c>
      <c r="GP17" s="80">
        <v>30.783469190865464</v>
      </c>
      <c r="GQ17" s="80">
        <v>31.584887976775267</v>
      </c>
      <c r="GR17" s="80">
        <v>27.129052282470695</v>
      </c>
      <c r="GS17" s="80">
        <v>36.473754935417546</v>
      </c>
      <c r="GT17" s="80">
        <v>38.885796416888994</v>
      </c>
      <c r="GU17" s="80">
        <v>36.866453915060767</v>
      </c>
      <c r="GV17" s="80">
        <v>37.817812770186691</v>
      </c>
      <c r="GW17" s="80">
        <v>39.633680953726461</v>
      </c>
      <c r="GX17" s="80">
        <v>36.811157312941965</v>
      </c>
      <c r="GY17" s="80">
        <v>38.988481686450257</v>
      </c>
      <c r="GZ17" s="80">
        <v>39.180612037710162</v>
      </c>
      <c r="HA17" s="80">
        <v>30.383224750584326</v>
      </c>
      <c r="HB17" s="80">
        <v>33.865399598090931</v>
      </c>
      <c r="HC17" s="80">
        <v>36.452221357687698</v>
      </c>
      <c r="HD17" s="80">
        <v>32.719917164913767</v>
      </c>
      <c r="HE17" s="80">
        <v>30.179648343191502</v>
      </c>
      <c r="HF17" s="80">
        <v>38.495165049126193</v>
      </c>
      <c r="HG17" s="80">
        <v>35.38425644082249</v>
      </c>
      <c r="HH17" s="80">
        <v>35.229002922317285</v>
      </c>
      <c r="HI17" s="80">
        <v>33.58563882203083</v>
      </c>
      <c r="HJ17" s="80">
        <v>31.388199282262295</v>
      </c>
      <c r="HK17" s="80">
        <v>34.019627981699095</v>
      </c>
      <c r="HL17" s="80">
        <v>32.480345123068197</v>
      </c>
      <c r="HM17" s="80">
        <v>34.709739688952901</v>
      </c>
      <c r="HN17" s="80">
        <v>29.299856211170695</v>
      </c>
      <c r="HO17" s="80">
        <v>30.473313476273301</v>
      </c>
      <c r="HP17" s="80">
        <v>31.751491661088103</v>
      </c>
      <c r="HQ17" s="80">
        <v>36.584146886823795</v>
      </c>
      <c r="HR17" s="80">
        <v>42.034500000000001</v>
      </c>
      <c r="HS17" s="80">
        <v>33.082999999999998</v>
      </c>
      <c r="HT17" s="80">
        <v>34.134453840988598</v>
      </c>
      <c r="HU17" s="80">
        <v>34.580504203159599</v>
      </c>
      <c r="HV17" s="80">
        <v>34.5435233184079</v>
      </c>
      <c r="HW17" s="80">
        <v>36.205721006572098</v>
      </c>
      <c r="HX17" s="80">
        <v>36.670224080321503</v>
      </c>
      <c r="HY17" s="80">
        <v>30.167574295154299</v>
      </c>
      <c r="HZ17" s="80">
        <v>27.2025409666931</v>
      </c>
      <c r="IA17" s="80">
        <v>40.989940091820998</v>
      </c>
      <c r="IB17" s="80">
        <v>36.130075585304702</v>
      </c>
      <c r="IC17" s="80">
        <v>45.156232740276401</v>
      </c>
      <c r="ID17" s="80">
        <v>38.754495008050597</v>
      </c>
      <c r="IE17" s="80">
        <v>36.462716303064198</v>
      </c>
      <c r="IF17" s="80">
        <v>45.474302008645203</v>
      </c>
      <c r="IG17" s="80">
        <v>37.409248098513999</v>
      </c>
      <c r="IH17" s="80">
        <v>37.384673439427303</v>
      </c>
      <c r="II17" s="80">
        <v>44.468676635168599</v>
      </c>
      <c r="IJ17" s="80">
        <v>38.702587121888598</v>
      </c>
      <c r="IK17" s="80">
        <v>40.469327476239997</v>
      </c>
      <c r="IL17" s="80">
        <v>40.222601160711001</v>
      </c>
      <c r="IM17" s="80">
        <v>41.0335976591684</v>
      </c>
      <c r="IN17" s="80">
        <v>40.3298111700677</v>
      </c>
      <c r="IO17" s="80">
        <v>42.186141096344898</v>
      </c>
      <c r="IP17" s="80">
        <v>43.057535319251997</v>
      </c>
      <c r="IQ17" s="80">
        <v>42.474390400516697</v>
      </c>
      <c r="IR17" s="80">
        <v>47.154422915896397</v>
      </c>
      <c r="IS17" s="80">
        <v>44.335167460196701</v>
      </c>
      <c r="IT17" s="80">
        <v>44.923202562506098</v>
      </c>
      <c r="IU17" s="80">
        <v>45.405417010266902</v>
      </c>
      <c r="IV17" s="80">
        <v>45.094586035391899</v>
      </c>
      <c r="IW17" s="80">
        <v>41.966209665826398</v>
      </c>
      <c r="IX17" s="80">
        <v>43.042927676721</v>
      </c>
      <c r="IY17" s="80">
        <v>41.614795418216197</v>
      </c>
      <c r="IZ17" s="80">
        <v>41.824378435823498</v>
      </c>
      <c r="JA17" s="80">
        <v>41.902898400293701</v>
      </c>
      <c r="JB17" s="80">
        <v>44.259506563494099</v>
      </c>
      <c r="JC17" s="80">
        <v>45.413629065045498</v>
      </c>
      <c r="JD17" s="80">
        <v>44.8343468086222</v>
      </c>
      <c r="JE17" s="80">
        <v>40.273879682663797</v>
      </c>
      <c r="JF17" s="80">
        <v>36.579343849391201</v>
      </c>
      <c r="JG17" s="80">
        <v>43.885468664934599</v>
      </c>
      <c r="JH17" s="80">
        <v>43.861320012525702</v>
      </c>
      <c r="JI17" s="80">
        <v>39.967818370372697</v>
      </c>
      <c r="JJ17" s="80">
        <v>41.568850865341901</v>
      </c>
      <c r="JK17" s="80">
        <v>43.623012036170898</v>
      </c>
      <c r="JL17" s="80">
        <v>41.568990264422098</v>
      </c>
      <c r="JM17" s="80">
        <v>44.452487513531104</v>
      </c>
      <c r="JN17" s="80">
        <v>51.091423102421501</v>
      </c>
      <c r="JO17" s="80">
        <v>45.712247319559097</v>
      </c>
      <c r="JP17" s="80">
        <v>43.155527798025403</v>
      </c>
      <c r="JQ17" s="80">
        <v>46.431594926591998</v>
      </c>
      <c r="JR17" s="80">
        <v>39.960870201695798</v>
      </c>
      <c r="JS17" s="80">
        <v>41.748448831367298</v>
      </c>
      <c r="JT17" s="80">
        <v>38.999845409834997</v>
      </c>
      <c r="JU17" s="80">
        <v>37.066967221962997</v>
      </c>
      <c r="JV17" s="80">
        <v>36.906267631173002</v>
      </c>
      <c r="JW17" s="80">
        <v>43.091888895722398</v>
      </c>
      <c r="JX17" s="80">
        <v>37.315516448493</v>
      </c>
      <c r="JY17" s="80">
        <v>48.993680155897799</v>
      </c>
      <c r="JZ17" s="80">
        <v>49.902357591297402</v>
      </c>
      <c r="KA17" s="80">
        <v>43.577521785167498</v>
      </c>
      <c r="KB17" s="80">
        <v>45.023507384459101</v>
      </c>
      <c r="KC17" s="80">
        <v>45.322650010637503</v>
      </c>
      <c r="KD17" s="80">
        <v>41.942782764908102</v>
      </c>
      <c r="KE17" s="80">
        <v>44.384740340466102</v>
      </c>
      <c r="KF17" s="81">
        <v>46.567134897716898</v>
      </c>
      <c r="KG17" s="81">
        <v>44.572549956598003</v>
      </c>
      <c r="KH17" s="81">
        <v>42.8445752217267</v>
      </c>
      <c r="KI17" s="81">
        <v>40.151291893600501</v>
      </c>
      <c r="KJ17" s="81">
        <v>41.826077495791203</v>
      </c>
      <c r="KK17" s="81">
        <v>40.625632303676099</v>
      </c>
      <c r="KL17" s="81">
        <v>43.645246899008001</v>
      </c>
      <c r="KM17" s="81">
        <v>44.528179448983501</v>
      </c>
      <c r="KN17" s="81">
        <v>42.394723935732202</v>
      </c>
      <c r="KO17" s="81">
        <v>47.703599114147202</v>
      </c>
    </row>
    <row r="18" spans="1:301" s="72" customFormat="1" ht="18" customHeight="1">
      <c r="A18" s="73"/>
      <c r="B18" s="79" t="s">
        <v>159</v>
      </c>
      <c r="C18" s="91" t="s">
        <v>8</v>
      </c>
      <c r="D18" s="91" t="s">
        <v>8</v>
      </c>
      <c r="E18" s="91" t="s">
        <v>8</v>
      </c>
      <c r="F18" s="91" t="s">
        <v>8</v>
      </c>
      <c r="G18" s="91" t="s">
        <v>8</v>
      </c>
      <c r="H18" s="91" t="s">
        <v>8</v>
      </c>
      <c r="I18" s="91" t="s">
        <v>8</v>
      </c>
      <c r="J18" s="91" t="s">
        <v>8</v>
      </c>
      <c r="K18" s="91" t="s">
        <v>8</v>
      </c>
      <c r="L18" s="91" t="s">
        <v>8</v>
      </c>
      <c r="M18" s="91" t="s">
        <v>8</v>
      </c>
      <c r="N18" s="91" t="s">
        <v>8</v>
      </c>
      <c r="O18" s="91" t="s">
        <v>8</v>
      </c>
      <c r="P18" s="91" t="s">
        <v>8</v>
      </c>
      <c r="Q18" s="91" t="s">
        <v>8</v>
      </c>
      <c r="R18" s="91" t="s">
        <v>8</v>
      </c>
      <c r="S18" s="91" t="s">
        <v>8</v>
      </c>
      <c r="T18" s="91" t="s">
        <v>8</v>
      </c>
      <c r="U18" s="91" t="s">
        <v>8</v>
      </c>
      <c r="V18" s="91" t="s">
        <v>8</v>
      </c>
      <c r="W18" s="91" t="s">
        <v>8</v>
      </c>
      <c r="X18" s="91" t="s">
        <v>8</v>
      </c>
      <c r="Y18" s="91" t="s">
        <v>8</v>
      </c>
      <c r="Z18" s="91" t="s">
        <v>8</v>
      </c>
      <c r="AA18" s="91" t="s">
        <v>8</v>
      </c>
      <c r="AB18" s="91" t="s">
        <v>8</v>
      </c>
      <c r="AC18" s="91" t="s">
        <v>8</v>
      </c>
      <c r="AD18" s="91" t="s">
        <v>8</v>
      </c>
      <c r="AE18" s="91" t="s">
        <v>8</v>
      </c>
      <c r="AF18" s="91" t="s">
        <v>8</v>
      </c>
      <c r="AG18" s="91" t="s">
        <v>8</v>
      </c>
      <c r="AH18" s="91" t="s">
        <v>8</v>
      </c>
      <c r="AI18" s="91" t="s">
        <v>8</v>
      </c>
      <c r="AJ18" s="91" t="s">
        <v>8</v>
      </c>
      <c r="AK18" s="91" t="s">
        <v>8</v>
      </c>
      <c r="AL18" s="91" t="s">
        <v>8</v>
      </c>
      <c r="AM18" s="91" t="s">
        <v>8</v>
      </c>
      <c r="AN18" s="91" t="s">
        <v>8</v>
      </c>
      <c r="AO18" s="91" t="s">
        <v>8</v>
      </c>
      <c r="AP18" s="91" t="s">
        <v>8</v>
      </c>
      <c r="AQ18" s="91" t="s">
        <v>8</v>
      </c>
      <c r="AR18" s="91" t="s">
        <v>8</v>
      </c>
      <c r="AS18" s="89">
        <v>2.7705449999999998</v>
      </c>
      <c r="AT18" s="89">
        <v>2.0717050000000001</v>
      </c>
      <c r="AU18" s="89">
        <v>2.3117399999999999</v>
      </c>
      <c r="AV18" s="89">
        <v>2.5143360000000001</v>
      </c>
      <c r="AW18" s="89">
        <v>1.782049</v>
      </c>
      <c r="AX18" s="89">
        <v>1.045974</v>
      </c>
      <c r="AY18" s="89">
        <v>0.6896272</v>
      </c>
      <c r="AZ18" s="89">
        <v>0.92027599999999998</v>
      </c>
      <c r="BA18" s="89">
        <v>0.53124499999999997</v>
      </c>
      <c r="BB18" s="89">
        <v>2.559339</v>
      </c>
      <c r="BC18" s="89">
        <v>0.92132440000000004</v>
      </c>
      <c r="BD18" s="89">
        <v>1.131982</v>
      </c>
      <c r="BE18" s="89">
        <v>1.616279</v>
      </c>
      <c r="BF18" s="89">
        <v>2.364236</v>
      </c>
      <c r="BG18" s="89">
        <v>2.3742019999999999</v>
      </c>
      <c r="BH18" s="89">
        <v>1.010211</v>
      </c>
      <c r="BI18" s="89">
        <v>1.2728969999999999</v>
      </c>
      <c r="BJ18" s="89">
        <v>1.6014170000000001</v>
      </c>
      <c r="BK18" s="89">
        <v>12.680964504837494</v>
      </c>
      <c r="BL18" s="89">
        <v>0.85441522681014603</v>
      </c>
      <c r="BM18" s="89">
        <v>1.558279896022271</v>
      </c>
      <c r="BN18" s="89">
        <v>1.1354267530655788</v>
      </c>
      <c r="BO18" s="89">
        <v>0.34193822553464498</v>
      </c>
      <c r="BP18" s="89">
        <v>1.1016609591824433</v>
      </c>
      <c r="BQ18" s="89">
        <v>0.86720315474582232</v>
      </c>
      <c r="BR18" s="89">
        <v>1.1479579189150835</v>
      </c>
      <c r="BS18" s="89">
        <v>0.51918608603298144</v>
      </c>
      <c r="BT18" s="89">
        <v>0.50319202197321466</v>
      </c>
      <c r="BU18" s="89">
        <v>3.4402481471146884</v>
      </c>
      <c r="BV18" s="89">
        <v>1.2101439091472317</v>
      </c>
      <c r="BW18" s="89">
        <v>0.51849898884521839</v>
      </c>
      <c r="BX18" s="89">
        <v>4.7780945764752243</v>
      </c>
      <c r="BY18" s="89">
        <v>7.2279127402991472</v>
      </c>
      <c r="BZ18" s="89">
        <v>20.087186988306165</v>
      </c>
      <c r="CA18" s="89">
        <v>0.30952105431948607</v>
      </c>
      <c r="CB18" s="89">
        <v>0.33243295292363095</v>
      </c>
      <c r="CC18" s="89">
        <v>0.57668554202667965</v>
      </c>
      <c r="CD18" s="89">
        <v>0.75427328119210346</v>
      </c>
      <c r="CE18" s="89">
        <v>0.58643239112475454</v>
      </c>
      <c r="CF18" s="89">
        <v>0.42798678232331261</v>
      </c>
      <c r="CG18" s="89">
        <v>0.15354851160960731</v>
      </c>
      <c r="CH18" s="89">
        <v>0.38326688055798347</v>
      </c>
      <c r="CI18" s="89">
        <v>0.3327023014508898</v>
      </c>
      <c r="CJ18" s="89">
        <v>0.36339754326498486</v>
      </c>
      <c r="CK18" s="89">
        <v>0.46312505014364025</v>
      </c>
      <c r="CL18" s="89">
        <v>2.6860820177899121</v>
      </c>
      <c r="CM18" s="89">
        <v>0.83484515285071081</v>
      </c>
      <c r="CN18" s="89">
        <v>1.1116792925070393</v>
      </c>
      <c r="CO18" s="89">
        <v>0.7250888533735993</v>
      </c>
      <c r="CP18" s="89">
        <v>2.8709047702205228</v>
      </c>
      <c r="CQ18" s="89">
        <v>1.1819938071047185</v>
      </c>
      <c r="CR18" s="89">
        <v>0.47738287331198193</v>
      </c>
      <c r="CS18" s="89">
        <v>0.75193147102778779</v>
      </c>
      <c r="CT18" s="89">
        <v>1.4594815971422108</v>
      </c>
      <c r="CU18" s="89">
        <v>0.44559429809457307</v>
      </c>
      <c r="CV18" s="89">
        <v>0.48737147674055509</v>
      </c>
      <c r="CW18" s="89">
        <v>1.172335355744945</v>
      </c>
      <c r="CX18" s="89">
        <v>0.3532360121189429</v>
      </c>
      <c r="CY18" s="89">
        <v>0.22872798998020144</v>
      </c>
      <c r="CZ18" s="89">
        <v>0.1675624457425014</v>
      </c>
      <c r="DA18" s="89">
        <v>0.13400720069854988</v>
      </c>
      <c r="DB18" s="89">
        <v>0.22762707937020277</v>
      </c>
      <c r="DC18" s="89">
        <v>0.15893174331605622</v>
      </c>
      <c r="DD18" s="89">
        <v>0.152484002351399</v>
      </c>
      <c r="DE18" s="89">
        <v>0.22164397789072435</v>
      </c>
      <c r="DF18" s="89">
        <v>0.22758559543610751</v>
      </c>
      <c r="DG18" s="89">
        <v>0.80347848380829745</v>
      </c>
      <c r="DH18" s="89">
        <v>1.9877297428701912</v>
      </c>
      <c r="DI18" s="89">
        <v>0.62888892099336446</v>
      </c>
      <c r="DJ18" s="89">
        <v>0.17770710570997889</v>
      </c>
      <c r="DK18" s="89">
        <v>0.75173707642256604</v>
      </c>
      <c r="DL18" s="89">
        <v>0.14639201025468479</v>
      </c>
      <c r="DM18" s="89">
        <v>0.29367820733016253</v>
      </c>
      <c r="DN18" s="89">
        <v>1.0662441832369001</v>
      </c>
      <c r="DO18" s="89">
        <v>0.31871148257139004</v>
      </c>
      <c r="DP18" s="89">
        <v>0.84680893937969326</v>
      </c>
      <c r="DQ18" s="89">
        <v>0.99816617194022283</v>
      </c>
      <c r="DR18" s="89">
        <v>0.7049794384988507</v>
      </c>
      <c r="DS18" s="89">
        <v>0.16904694980612861</v>
      </c>
      <c r="DT18" s="89">
        <v>0.23341755776485809</v>
      </c>
      <c r="DU18" s="89">
        <v>0.68107395499301937</v>
      </c>
      <c r="DV18" s="89">
        <v>0.41495334569271763</v>
      </c>
      <c r="DW18" s="89">
        <v>0.35091358547862739</v>
      </c>
      <c r="DX18" s="89">
        <v>0.10708246756625166</v>
      </c>
      <c r="DY18" s="89">
        <v>0.14980539114713043</v>
      </c>
      <c r="DZ18" s="89">
        <v>0.57891065261743602</v>
      </c>
      <c r="EA18" s="89">
        <v>1.7447975635823576</v>
      </c>
      <c r="EB18" s="89">
        <v>0.20620735503226262</v>
      </c>
      <c r="EC18" s="89">
        <v>0.87746483001092246</v>
      </c>
      <c r="ED18" s="89">
        <v>2.6546446825454919</v>
      </c>
      <c r="EE18" s="89">
        <v>0.33139456825467312</v>
      </c>
      <c r="EF18" s="89">
        <v>1.1348200061895701</v>
      </c>
      <c r="EG18" s="89">
        <v>0.21293437130352633</v>
      </c>
      <c r="EH18" s="89">
        <v>0.12891899103574514</v>
      </c>
      <c r="EI18" s="89">
        <v>1.4274060384700644</v>
      </c>
      <c r="EJ18" s="89">
        <v>0.35380541587268749</v>
      </c>
      <c r="EK18" s="89">
        <v>0.3775522935341275</v>
      </c>
      <c r="EL18" s="89">
        <v>1.2821889548430783</v>
      </c>
      <c r="EM18" s="89">
        <v>0.62273988140550351</v>
      </c>
      <c r="EN18" s="89">
        <v>0.11954686989613982</v>
      </c>
      <c r="EO18" s="89">
        <v>1.2420173681712328</v>
      </c>
      <c r="EP18" s="89">
        <v>2.3226447535763883</v>
      </c>
      <c r="EQ18" s="89">
        <v>0.58004160630001889</v>
      </c>
      <c r="ER18" s="89">
        <v>0.80953855186331092</v>
      </c>
      <c r="ES18" s="89">
        <v>0.94745734960363892</v>
      </c>
      <c r="ET18" s="89">
        <v>1.7354891605774598</v>
      </c>
      <c r="EU18" s="89">
        <v>0.89804133831739263</v>
      </c>
      <c r="EV18" s="89">
        <v>1.2973064891068495</v>
      </c>
      <c r="EW18" s="89">
        <v>0.9732166967105369</v>
      </c>
      <c r="EX18" s="89">
        <v>3.7797646125096405</v>
      </c>
      <c r="EY18" s="89">
        <v>2.1692990082783501</v>
      </c>
      <c r="EZ18" s="89">
        <v>5.2105797420649749</v>
      </c>
      <c r="FA18" s="89">
        <v>0.69648210274303102</v>
      </c>
      <c r="FB18" s="89">
        <v>6.5773663859856919</v>
      </c>
      <c r="FC18" s="89">
        <v>1.1803634407785168</v>
      </c>
      <c r="FD18" s="89">
        <v>0.26922072297645155</v>
      </c>
      <c r="FE18" s="89">
        <v>0.54247953418467265</v>
      </c>
      <c r="FF18" s="89">
        <v>0.4166076035394744</v>
      </c>
      <c r="FG18" s="89">
        <v>5.9053645988579352E-2</v>
      </c>
      <c r="FH18" s="89">
        <v>0.16891972509421804</v>
      </c>
      <c r="FI18" s="89">
        <v>0.40778628050737109</v>
      </c>
      <c r="FJ18" s="89">
        <v>0.45256806967877794</v>
      </c>
      <c r="FK18" s="89">
        <v>0.44072000548830964</v>
      </c>
      <c r="FL18" s="89">
        <v>0.38081834224006839</v>
      </c>
      <c r="FM18" s="89">
        <v>0.5500650020421487</v>
      </c>
      <c r="FN18" s="89">
        <v>0.77552085048598951</v>
      </c>
      <c r="FO18" s="89">
        <v>0.25709036128770291</v>
      </c>
      <c r="FP18" s="89">
        <v>0.30299698181819534</v>
      </c>
      <c r="FQ18" s="89">
        <v>0.82358593072764941</v>
      </c>
      <c r="FR18" s="89">
        <v>2.615585515535261</v>
      </c>
      <c r="FS18" s="89">
        <v>0.44543003133333881</v>
      </c>
      <c r="FT18" s="89">
        <v>0.27214187211417273</v>
      </c>
      <c r="FU18" s="89">
        <v>0.40025885604943301</v>
      </c>
      <c r="FV18" s="89">
        <v>0.45631001460427506</v>
      </c>
      <c r="FW18" s="89">
        <v>0.13897019942282043</v>
      </c>
      <c r="FX18" s="89">
        <v>0.14219857609211067</v>
      </c>
      <c r="FY18" s="89">
        <v>0.25156014997460313</v>
      </c>
      <c r="FZ18" s="89">
        <v>0.36817716841070958</v>
      </c>
      <c r="GA18" s="89">
        <v>1.0761352395547539</v>
      </c>
      <c r="GB18" s="89">
        <v>1.2518553787140745</v>
      </c>
      <c r="GC18" s="89">
        <v>0.48341057352456379</v>
      </c>
      <c r="GD18" s="89">
        <v>0.96736441630476933</v>
      </c>
      <c r="GE18" s="89">
        <v>0.47021747181364043</v>
      </c>
      <c r="GF18" s="89">
        <v>0.15513415840788636</v>
      </c>
      <c r="GG18" s="89">
        <v>0.27460298189217863</v>
      </c>
      <c r="GH18" s="89">
        <v>0.26496974976162418</v>
      </c>
      <c r="GI18" s="89">
        <v>0.92509566316348746</v>
      </c>
      <c r="GJ18" s="89">
        <v>1.1297243959721792</v>
      </c>
      <c r="GK18" s="89">
        <v>0.68482115483566175</v>
      </c>
      <c r="GL18" s="89">
        <v>2.6063059985397099</v>
      </c>
      <c r="GM18" s="89">
        <v>0.54034660577558302</v>
      </c>
      <c r="GN18" s="89">
        <v>0.33107174130820349</v>
      </c>
      <c r="GO18" s="89">
        <v>0.30048121706101383</v>
      </c>
      <c r="GP18" s="89">
        <v>0.52266460698429162</v>
      </c>
      <c r="GQ18" s="89">
        <v>0.65934370006401322</v>
      </c>
      <c r="GR18" s="89">
        <v>0.33917691365496372</v>
      </c>
      <c r="GS18" s="89">
        <v>0.39816916777603661</v>
      </c>
      <c r="GT18" s="89">
        <v>0.40500874504767626</v>
      </c>
      <c r="GU18" s="89">
        <v>0.58085934585807086</v>
      </c>
      <c r="GV18" s="89">
        <v>0.37692528746476478</v>
      </c>
      <c r="GW18" s="89">
        <v>0.21923634863397914</v>
      </c>
      <c r="GX18" s="89">
        <v>1.0442860927841577</v>
      </c>
      <c r="GY18" s="89">
        <v>0.69984513904476497</v>
      </c>
      <c r="GZ18" s="89">
        <v>0.41795522431447002</v>
      </c>
      <c r="HA18" s="89">
        <v>2.5567399823238404</v>
      </c>
      <c r="HB18" s="89">
        <v>0.61198299224307706</v>
      </c>
      <c r="HC18" s="89">
        <v>0.81062247191697934</v>
      </c>
      <c r="HD18" s="89">
        <v>0.72183107553865544</v>
      </c>
      <c r="HE18" s="89">
        <v>0.86480944745074029</v>
      </c>
      <c r="HF18" s="89">
        <v>1.1380989079103709</v>
      </c>
      <c r="HG18" s="89">
        <v>1.9232780159073488E-2</v>
      </c>
      <c r="HH18" s="89">
        <v>0.84074486820378913</v>
      </c>
      <c r="HI18" s="89">
        <v>0.46729146077364181</v>
      </c>
      <c r="HJ18" s="89">
        <v>0.74601300611454302</v>
      </c>
      <c r="HK18" s="89">
        <v>4.1468390192438455E-2</v>
      </c>
      <c r="HL18" s="89">
        <v>2.4063942993754854</v>
      </c>
      <c r="HM18" s="89">
        <v>0.73821409070980482</v>
      </c>
      <c r="HN18" s="89">
        <v>8.666872260591164E-3</v>
      </c>
      <c r="HO18" s="89">
        <v>0.25174287095211495</v>
      </c>
      <c r="HP18" s="89">
        <v>0.11730489727016201</v>
      </c>
      <c r="HQ18" s="89">
        <v>0.24055943023147908</v>
      </c>
      <c r="HR18" s="89">
        <v>0.202625</v>
      </c>
      <c r="HS18" s="89">
        <v>0.25444499999999998</v>
      </c>
      <c r="HT18" s="89">
        <v>1.4556413772497501</v>
      </c>
      <c r="HU18" s="89">
        <v>0.68304406502062298</v>
      </c>
      <c r="HV18" s="89">
        <v>6.5181965728337399E-2</v>
      </c>
      <c r="HW18" s="89">
        <v>1.13752521648754</v>
      </c>
      <c r="HX18" s="89">
        <v>0.92475079128860205</v>
      </c>
      <c r="HY18" s="89">
        <v>0.27716231898534699</v>
      </c>
      <c r="HZ18" s="89">
        <v>0.69742198111647102</v>
      </c>
      <c r="IA18" s="89">
        <v>0.179762983704504</v>
      </c>
      <c r="IB18" s="89">
        <v>0.356214280392053</v>
      </c>
      <c r="IC18" s="89">
        <v>0</v>
      </c>
      <c r="ID18" s="89">
        <v>2.7298087225058401E-2</v>
      </c>
      <c r="IE18" s="89">
        <v>0</v>
      </c>
      <c r="IF18" s="89">
        <v>7.3096857305005397E-2</v>
      </c>
      <c r="IG18" s="89">
        <v>0</v>
      </c>
      <c r="IH18" s="89">
        <v>7.1210416336642901E-3</v>
      </c>
      <c r="II18" s="89">
        <v>9.7574235242148699E-2</v>
      </c>
      <c r="IJ18" s="89">
        <v>6.3364275253250503E-3</v>
      </c>
      <c r="IK18" s="89">
        <v>1.1194441293442201E-2</v>
      </c>
      <c r="IL18" s="89">
        <v>2.73302656020134E-2</v>
      </c>
      <c r="IM18" s="89">
        <v>0</v>
      </c>
      <c r="IN18" s="89">
        <v>0</v>
      </c>
      <c r="IO18" s="89">
        <v>0</v>
      </c>
      <c r="IP18" s="89">
        <v>3.03158228036263E-2</v>
      </c>
      <c r="IQ18" s="89">
        <v>0.18732487126025801</v>
      </c>
      <c r="IR18" s="89">
        <v>5.1178091326068299E-2</v>
      </c>
      <c r="IS18" s="89">
        <v>0</v>
      </c>
      <c r="IT18" s="89">
        <v>0</v>
      </c>
      <c r="IU18" s="89">
        <v>1.07691983674512E-2</v>
      </c>
      <c r="IV18" s="89">
        <v>0</v>
      </c>
      <c r="IW18" s="89">
        <v>0.114160994113751</v>
      </c>
      <c r="IX18" s="89">
        <v>0.36816093711965397</v>
      </c>
      <c r="IY18" s="89">
        <v>0</v>
      </c>
      <c r="IZ18" s="89">
        <v>0</v>
      </c>
      <c r="JA18" s="89">
        <v>5.69814459159474E-2</v>
      </c>
      <c r="JB18" s="89">
        <v>3.4223164774228203E-2</v>
      </c>
      <c r="JC18" s="89">
        <v>0</v>
      </c>
      <c r="JD18" s="89">
        <v>0.11034380676809601</v>
      </c>
      <c r="JE18" s="89">
        <v>4.1639413182440903E-2</v>
      </c>
      <c r="JF18" s="89">
        <v>1.8674162178848999E-2</v>
      </c>
      <c r="JG18" s="89">
        <v>0</v>
      </c>
      <c r="JH18" s="89">
        <v>4.4057188150719101E-2</v>
      </c>
      <c r="JI18" s="89">
        <v>2.60829433792952E-2</v>
      </c>
      <c r="JJ18" s="89">
        <v>0</v>
      </c>
      <c r="JK18" s="89">
        <v>6.2602614674737003E-2</v>
      </c>
      <c r="JL18" s="89">
        <v>2.8974114728265901E-2</v>
      </c>
      <c r="JM18" s="89">
        <v>0</v>
      </c>
      <c r="JN18" s="89">
        <v>1.4589485970129001E-2</v>
      </c>
      <c r="JO18" s="89">
        <v>3.4867422240213997E-2</v>
      </c>
      <c r="JP18" s="89">
        <v>0</v>
      </c>
      <c r="JQ18" s="89">
        <v>0</v>
      </c>
      <c r="JR18" s="89">
        <v>2.0297004932474999E-3</v>
      </c>
      <c r="JS18" s="89">
        <v>7.2219598025121706E-2</v>
      </c>
      <c r="JT18" s="89">
        <v>9.4530977655453596E-2</v>
      </c>
      <c r="JU18" s="89">
        <v>0</v>
      </c>
      <c r="JV18" s="89">
        <v>9.0168016237515594E-2</v>
      </c>
      <c r="JW18" s="89">
        <v>1.7221636926000702E-2</v>
      </c>
      <c r="JX18" s="89">
        <v>0.27299230706496602</v>
      </c>
      <c r="JY18" s="89">
        <v>0</v>
      </c>
      <c r="JZ18" s="89">
        <v>0.17324793168394001</v>
      </c>
      <c r="KA18" s="89">
        <v>0</v>
      </c>
      <c r="KB18" s="89">
        <v>0.52003671729158696</v>
      </c>
      <c r="KC18" s="89">
        <v>0.210215830812639</v>
      </c>
      <c r="KD18" s="89">
        <v>0</v>
      </c>
      <c r="KE18" s="89">
        <v>0</v>
      </c>
      <c r="KF18" s="215">
        <v>0.12753506641033999</v>
      </c>
      <c r="KG18" s="215">
        <v>2.4286102531422101E-2</v>
      </c>
      <c r="KH18" s="215">
        <v>0</v>
      </c>
      <c r="KI18" s="215">
        <v>0</v>
      </c>
      <c r="KJ18" s="215">
        <v>8.9323089548317594E-2</v>
      </c>
      <c r="KK18" s="215">
        <v>0</v>
      </c>
      <c r="KL18" s="215">
        <v>0.28841075804881999</v>
      </c>
      <c r="KM18" s="215">
        <v>0</v>
      </c>
      <c r="KN18" s="215">
        <v>0.46072469185432902</v>
      </c>
      <c r="KO18" s="215">
        <v>0</v>
      </c>
    </row>
    <row r="19" spans="1:301" s="77" customFormat="1" ht="18" customHeight="1">
      <c r="A19" s="93" t="s">
        <v>160</v>
      </c>
      <c r="B19" s="94"/>
      <c r="C19" s="95">
        <v>100</v>
      </c>
      <c r="D19" s="95">
        <v>99.999999999999986</v>
      </c>
      <c r="E19" s="95">
        <v>100</v>
      </c>
      <c r="F19" s="95">
        <v>100</v>
      </c>
      <c r="G19" s="95">
        <v>100</v>
      </c>
      <c r="H19" s="95">
        <v>99.999999999999986</v>
      </c>
      <c r="I19" s="95">
        <v>100</v>
      </c>
      <c r="J19" s="95">
        <v>100.00000000000001</v>
      </c>
      <c r="K19" s="95">
        <v>100</v>
      </c>
      <c r="L19" s="95">
        <v>100</v>
      </c>
      <c r="M19" s="95">
        <v>100</v>
      </c>
      <c r="N19" s="95">
        <v>100</v>
      </c>
      <c r="O19" s="95">
        <v>100</v>
      </c>
      <c r="P19" s="95">
        <v>100</v>
      </c>
      <c r="Q19" s="95">
        <v>100</v>
      </c>
      <c r="R19" s="95">
        <v>100</v>
      </c>
      <c r="S19" s="95">
        <v>100</v>
      </c>
      <c r="T19" s="95">
        <v>100</v>
      </c>
      <c r="U19" s="95">
        <v>100</v>
      </c>
      <c r="V19" s="95">
        <v>100.00000000000001</v>
      </c>
      <c r="W19" s="95">
        <v>100</v>
      </c>
      <c r="X19" s="95">
        <v>100</v>
      </c>
      <c r="Y19" s="95">
        <v>99.999999999999986</v>
      </c>
      <c r="Z19" s="95">
        <v>100</v>
      </c>
      <c r="AA19" s="95">
        <v>100</v>
      </c>
      <c r="AB19" s="95">
        <v>100</v>
      </c>
      <c r="AC19" s="95">
        <v>100</v>
      </c>
      <c r="AD19" s="95">
        <v>100</v>
      </c>
      <c r="AE19" s="95">
        <v>100</v>
      </c>
      <c r="AF19" s="95">
        <v>100</v>
      </c>
      <c r="AG19" s="95">
        <v>100</v>
      </c>
      <c r="AH19" s="95">
        <v>100</v>
      </c>
      <c r="AI19" s="95">
        <v>100</v>
      </c>
      <c r="AJ19" s="95">
        <v>100</v>
      </c>
      <c r="AK19" s="95">
        <v>100</v>
      </c>
      <c r="AL19" s="95">
        <v>99.999999999999986</v>
      </c>
      <c r="AM19" s="95">
        <v>100</v>
      </c>
      <c r="AN19" s="95">
        <v>100</v>
      </c>
      <c r="AO19" s="95">
        <v>100</v>
      </c>
      <c r="AP19" s="95">
        <v>101.83686192642668</v>
      </c>
      <c r="AQ19" s="95">
        <v>99.999999999999943</v>
      </c>
      <c r="AR19" s="95">
        <v>99.999999999999716</v>
      </c>
      <c r="AS19" s="95">
        <v>100.00000030000001</v>
      </c>
      <c r="AT19" s="95">
        <v>100.00001170000002</v>
      </c>
      <c r="AU19" s="95">
        <v>99.999988200000004</v>
      </c>
      <c r="AV19" s="95">
        <v>100.00000138</v>
      </c>
      <c r="AW19" s="95">
        <v>99.999994900000004</v>
      </c>
      <c r="AX19" s="95">
        <v>100.0000016</v>
      </c>
      <c r="AY19" s="95">
        <v>100.0000029</v>
      </c>
      <c r="AZ19" s="95">
        <v>100</v>
      </c>
      <c r="BA19" s="95">
        <v>100.0000072</v>
      </c>
      <c r="BB19" s="95">
        <v>100.00001040000001</v>
      </c>
      <c r="BC19" s="95">
        <v>99.99999600000001</v>
      </c>
      <c r="BD19" s="95">
        <v>99.999990400000002</v>
      </c>
      <c r="BE19" s="95">
        <v>99.999992513999999</v>
      </c>
      <c r="BF19" s="95">
        <v>100.0000131</v>
      </c>
      <c r="BG19" s="95">
        <v>99.999998229999989</v>
      </c>
      <c r="BH19" s="95">
        <v>99.999994399999991</v>
      </c>
      <c r="BI19" s="95">
        <v>100.00000299999999</v>
      </c>
      <c r="BJ19" s="95">
        <v>99.999999409999987</v>
      </c>
      <c r="BK19" s="95">
        <v>100.00103286004324</v>
      </c>
      <c r="BL19" s="95">
        <v>100.00000000000001</v>
      </c>
      <c r="BM19" s="95">
        <v>99.999999999999986</v>
      </c>
      <c r="BN19" s="95">
        <v>100.00000000000004</v>
      </c>
      <c r="BO19" s="95">
        <v>99.999999999999858</v>
      </c>
      <c r="BP19" s="95">
        <v>100.00000000000001</v>
      </c>
      <c r="BQ19" s="95">
        <v>100</v>
      </c>
      <c r="BR19" s="95">
        <v>100</v>
      </c>
      <c r="BS19" s="95">
        <v>100</v>
      </c>
      <c r="BT19" s="95">
        <v>100</v>
      </c>
      <c r="BU19" s="95">
        <v>100.00000000000001</v>
      </c>
      <c r="BV19" s="95">
        <v>99.999999999999986</v>
      </c>
      <c r="BW19" s="95">
        <v>100</v>
      </c>
      <c r="BX19" s="95">
        <v>100</v>
      </c>
      <c r="BY19" s="95">
        <v>100.00000000000003</v>
      </c>
      <c r="BZ19" s="95">
        <v>100</v>
      </c>
      <c r="CA19" s="95">
        <v>100.00000000000001</v>
      </c>
      <c r="CB19" s="95">
        <v>100</v>
      </c>
      <c r="CC19" s="95">
        <v>100</v>
      </c>
      <c r="CD19" s="95">
        <v>100.00000000000001</v>
      </c>
      <c r="CE19" s="95">
        <v>100</v>
      </c>
      <c r="CF19" s="95">
        <v>100</v>
      </c>
      <c r="CG19" s="95">
        <v>99.999999999999986</v>
      </c>
      <c r="CH19" s="95">
        <v>100</v>
      </c>
      <c r="CI19" s="95">
        <v>100</v>
      </c>
      <c r="CJ19" s="95">
        <v>100.00000000000001</v>
      </c>
      <c r="CK19" s="95">
        <v>100</v>
      </c>
      <c r="CL19" s="95">
        <v>100.00000000000001</v>
      </c>
      <c r="CM19" s="95">
        <v>100.00000000000001</v>
      </c>
      <c r="CN19" s="95">
        <v>100.00000000000001</v>
      </c>
      <c r="CO19" s="95">
        <v>100.00000000000001</v>
      </c>
      <c r="CP19" s="95">
        <v>100</v>
      </c>
      <c r="CQ19" s="95">
        <v>100</v>
      </c>
      <c r="CR19" s="95">
        <v>100</v>
      </c>
      <c r="CS19" s="95">
        <v>100.00000000000001</v>
      </c>
      <c r="CT19" s="95">
        <v>99.999999999999986</v>
      </c>
      <c r="CU19" s="95">
        <v>99.999999999999986</v>
      </c>
      <c r="CV19" s="95">
        <v>100.00000000000001</v>
      </c>
      <c r="CW19" s="95">
        <v>100</v>
      </c>
      <c r="CX19" s="95">
        <v>100</v>
      </c>
      <c r="CY19" s="95">
        <v>100</v>
      </c>
      <c r="CZ19" s="95">
        <v>100.00000000000001</v>
      </c>
      <c r="DA19" s="95">
        <v>100.00000000000001</v>
      </c>
      <c r="DB19" s="95">
        <v>100</v>
      </c>
      <c r="DC19" s="95">
        <v>100</v>
      </c>
      <c r="DD19" s="95">
        <v>100</v>
      </c>
      <c r="DE19" s="95">
        <v>100</v>
      </c>
      <c r="DF19" s="95">
        <v>100</v>
      </c>
      <c r="DG19" s="95">
        <v>100.00000000000001</v>
      </c>
      <c r="DH19" s="95">
        <v>100</v>
      </c>
      <c r="DI19" s="95">
        <v>100</v>
      </c>
      <c r="DJ19" s="95">
        <v>100</v>
      </c>
      <c r="DK19" s="95">
        <v>99.999999999999986</v>
      </c>
      <c r="DL19" s="95">
        <v>100.00000000000001</v>
      </c>
      <c r="DM19" s="95">
        <v>100</v>
      </c>
      <c r="DN19" s="95">
        <v>99.999999999999986</v>
      </c>
      <c r="DO19" s="95">
        <v>100</v>
      </c>
      <c r="DP19" s="95">
        <v>99.999999999999972</v>
      </c>
      <c r="DQ19" s="95">
        <v>100</v>
      </c>
      <c r="DR19" s="95">
        <v>100</v>
      </c>
      <c r="DS19" s="95">
        <v>100</v>
      </c>
      <c r="DT19" s="95">
        <v>100</v>
      </c>
      <c r="DU19" s="95">
        <v>100.00004711676053</v>
      </c>
      <c r="DV19" s="95">
        <v>100.00000000000001</v>
      </c>
      <c r="DW19" s="95">
        <v>99.999999999999957</v>
      </c>
      <c r="DX19" s="95">
        <v>100.00000000000009</v>
      </c>
      <c r="DY19" s="95">
        <v>100.00000000000001</v>
      </c>
      <c r="DZ19" s="95">
        <v>99.999999999999972</v>
      </c>
      <c r="EA19" s="95">
        <v>100.00000000000004</v>
      </c>
      <c r="EB19" s="95">
        <v>99.999999999999972</v>
      </c>
      <c r="EC19" s="95">
        <v>100.00000000000003</v>
      </c>
      <c r="ED19" s="95">
        <v>99.999999999999858</v>
      </c>
      <c r="EE19" s="95">
        <v>100</v>
      </c>
      <c r="EF19" s="95">
        <v>100.00000000000001</v>
      </c>
      <c r="EG19" s="95">
        <v>100.00000000000007</v>
      </c>
      <c r="EH19" s="95">
        <v>99.999999999999844</v>
      </c>
      <c r="EI19" s="95">
        <v>100.00000000000004</v>
      </c>
      <c r="EJ19" s="95">
        <v>100.00000000000006</v>
      </c>
      <c r="EK19" s="95">
        <v>100.00000000000007</v>
      </c>
      <c r="EL19" s="95">
        <v>99.999999999999972</v>
      </c>
      <c r="EM19" s="95">
        <v>100</v>
      </c>
      <c r="EN19" s="95">
        <v>100.00000000000004</v>
      </c>
      <c r="EO19" s="95">
        <v>99.999999999999986</v>
      </c>
      <c r="EP19" s="95">
        <v>99.999999999999957</v>
      </c>
      <c r="EQ19" s="95">
        <v>100.00000000000013</v>
      </c>
      <c r="ER19" s="95">
        <v>99.999999999999929</v>
      </c>
      <c r="ES19" s="95">
        <v>99.999999999999886</v>
      </c>
      <c r="ET19" s="95">
        <v>100.00000000000004</v>
      </c>
      <c r="EU19" s="95">
        <v>99.999999999999986</v>
      </c>
      <c r="EV19" s="95">
        <v>100.00000000000006</v>
      </c>
      <c r="EW19" s="95">
        <v>99.999999999999915</v>
      </c>
      <c r="EX19" s="95">
        <v>100.00000000000007</v>
      </c>
      <c r="EY19" s="95">
        <v>99.999999999999972</v>
      </c>
      <c r="EZ19" s="95">
        <v>99.999999999999986</v>
      </c>
      <c r="FA19" s="95">
        <v>100.00000000000001</v>
      </c>
      <c r="FB19" s="95">
        <v>99.999999999999986</v>
      </c>
      <c r="FC19" s="95">
        <v>100.00000000000001</v>
      </c>
      <c r="FD19" s="95">
        <v>100.00000000000014</v>
      </c>
      <c r="FE19" s="95">
        <v>100</v>
      </c>
      <c r="FF19" s="95">
        <v>100.00000000000001</v>
      </c>
      <c r="FG19" s="95">
        <v>100.00000000000006</v>
      </c>
      <c r="FH19" s="95">
        <v>100.00000000000006</v>
      </c>
      <c r="FI19" s="95">
        <v>99.999999999999901</v>
      </c>
      <c r="FJ19" s="95">
        <v>99.999999999999957</v>
      </c>
      <c r="FK19" s="95">
        <v>99.999999999999872</v>
      </c>
      <c r="FL19" s="95">
        <v>99.999999999999957</v>
      </c>
      <c r="FM19" s="95">
        <v>100.00000000000007</v>
      </c>
      <c r="FN19" s="95">
        <v>100.00000000000006</v>
      </c>
      <c r="FO19" s="95">
        <v>99.999999999999915</v>
      </c>
      <c r="FP19" s="95">
        <v>100.00000000000003</v>
      </c>
      <c r="FQ19" s="95">
        <v>99.999999999999943</v>
      </c>
      <c r="FR19" s="95">
        <v>99.999999999999986</v>
      </c>
      <c r="FS19" s="95">
        <v>100.00000000000003</v>
      </c>
      <c r="FT19" s="95">
        <v>99.999999999999986</v>
      </c>
      <c r="FU19" s="95">
        <v>100.00000000000001</v>
      </c>
      <c r="FV19" s="95">
        <v>100.00000000000006</v>
      </c>
      <c r="FW19" s="95">
        <v>100.00000000000004</v>
      </c>
      <c r="FX19" s="95">
        <v>100.00000000000003</v>
      </c>
      <c r="FY19" s="95">
        <v>100.00000000000004</v>
      </c>
      <c r="FZ19" s="95">
        <v>99.999999999999972</v>
      </c>
      <c r="GA19" s="95">
        <v>99.999999999999829</v>
      </c>
      <c r="GB19" s="95">
        <v>99.999999999999972</v>
      </c>
      <c r="GC19" s="95">
        <v>99.999999999999986</v>
      </c>
      <c r="GD19" s="95">
        <v>99.999999999999986</v>
      </c>
      <c r="GE19" s="95">
        <v>100</v>
      </c>
      <c r="GF19" s="95">
        <v>100.00000000000013</v>
      </c>
      <c r="GG19" s="95">
        <v>99.999999999999829</v>
      </c>
      <c r="GH19" s="95">
        <v>99.999999999999915</v>
      </c>
      <c r="GI19" s="95">
        <v>100.00000000000004</v>
      </c>
      <c r="GJ19" s="95">
        <v>100.00000000000001</v>
      </c>
      <c r="GK19" s="95">
        <v>100.00000000000004</v>
      </c>
      <c r="GL19" s="95">
        <v>99.999999999999972</v>
      </c>
      <c r="GM19" s="95">
        <v>99.999999999999972</v>
      </c>
      <c r="GN19" s="95">
        <v>99.999999999999872</v>
      </c>
      <c r="GO19" s="95">
        <v>99.999999999999943</v>
      </c>
      <c r="GP19" s="95">
        <v>100.00000000000001</v>
      </c>
      <c r="GQ19" s="95">
        <v>99.999999999999957</v>
      </c>
      <c r="GR19" s="95">
        <v>100</v>
      </c>
      <c r="GS19" s="95">
        <v>99.999999999999986</v>
      </c>
      <c r="GT19" s="95">
        <v>100.00000000000006</v>
      </c>
      <c r="GU19" s="95">
        <v>99.999999999999901</v>
      </c>
      <c r="GV19" s="95">
        <v>100.00000000000001</v>
      </c>
      <c r="GW19" s="95">
        <v>100.00000000000006</v>
      </c>
      <c r="GX19" s="95">
        <v>100.00000000000003</v>
      </c>
      <c r="GY19" s="95">
        <v>100.00000000000004</v>
      </c>
      <c r="GZ19" s="95">
        <v>99.999999999999943</v>
      </c>
      <c r="HA19" s="95">
        <v>100.00000000000003</v>
      </c>
      <c r="HB19" s="95">
        <v>99.999999999999986</v>
      </c>
      <c r="HC19" s="95">
        <v>100.00000000000006</v>
      </c>
      <c r="HD19" s="95">
        <v>100</v>
      </c>
      <c r="HE19" s="95">
        <v>99.999999999999901</v>
      </c>
      <c r="HF19" s="95">
        <v>99.999999999999929</v>
      </c>
      <c r="HG19" s="95">
        <v>100.00000000000009</v>
      </c>
      <c r="HH19" s="95">
        <v>100</v>
      </c>
      <c r="HI19" s="95">
        <v>100.00000000000003</v>
      </c>
      <c r="HJ19" s="95">
        <v>100.00000000000001</v>
      </c>
      <c r="HK19" s="95">
        <v>99.999999999999986</v>
      </c>
      <c r="HL19" s="95">
        <v>99.999999999999986</v>
      </c>
      <c r="HM19" s="95">
        <v>100.00000000000004</v>
      </c>
      <c r="HN19" s="95">
        <v>100.00000000000006</v>
      </c>
      <c r="HO19" s="95">
        <v>100.00000000000003</v>
      </c>
      <c r="HP19" s="95">
        <v>100.00000000000007</v>
      </c>
      <c r="HQ19" s="95">
        <v>100.00000000000009</v>
      </c>
      <c r="HR19" s="95">
        <v>99.999990000000011</v>
      </c>
      <c r="HS19" s="95">
        <v>100.00005</v>
      </c>
      <c r="HT19" s="95">
        <v>100.00000000000011</v>
      </c>
      <c r="HU19" s="95">
        <v>99.999999999999986</v>
      </c>
      <c r="HV19" s="95">
        <v>99.999999999999943</v>
      </c>
      <c r="HW19" s="95">
        <v>100.00000000000007</v>
      </c>
      <c r="HX19" s="95">
        <v>100.00000000000003</v>
      </c>
      <c r="HY19" s="95">
        <v>99.999999999999986</v>
      </c>
      <c r="HZ19" s="95">
        <v>100.00000000000007</v>
      </c>
      <c r="IA19" s="95">
        <v>100.00000000000001</v>
      </c>
      <c r="IB19" s="95">
        <v>100.00000000000001</v>
      </c>
      <c r="IC19" s="95">
        <v>100.00000000000003</v>
      </c>
      <c r="ID19" s="95">
        <v>100.00000000000004</v>
      </c>
      <c r="IE19" s="95">
        <v>100.0000000000001</v>
      </c>
      <c r="IF19" s="95">
        <v>99.999999999999957</v>
      </c>
      <c r="IG19" s="95">
        <v>99.999999999999972</v>
      </c>
      <c r="IH19" s="95">
        <v>99.999999999999986</v>
      </c>
      <c r="II19" s="95">
        <v>100</v>
      </c>
      <c r="IJ19" s="95">
        <v>99.999999999999972</v>
      </c>
      <c r="IK19" s="95">
        <v>99.999999999999943</v>
      </c>
      <c r="IL19" s="95">
        <v>99.999999999999986</v>
      </c>
      <c r="IM19" s="95">
        <v>100.00000000000009</v>
      </c>
      <c r="IN19" s="95">
        <v>100.00000000000007</v>
      </c>
      <c r="IO19" s="95">
        <v>99.999999999999986</v>
      </c>
      <c r="IP19" s="95">
        <v>100.00000000000006</v>
      </c>
      <c r="IQ19" s="95">
        <v>99.999999999999957</v>
      </c>
      <c r="IR19" s="95">
        <v>99.999999999999929</v>
      </c>
      <c r="IS19" s="95">
        <v>100.00000000000004</v>
      </c>
      <c r="IT19" s="95">
        <v>100.00000000000009</v>
      </c>
      <c r="IU19" s="95">
        <v>99.999999999999972</v>
      </c>
      <c r="IV19" s="95">
        <f t="shared" ref="IV19" si="3">+IV20+IV26+IV27</f>
        <v>99.999999999999943</v>
      </c>
      <c r="IW19" s="95">
        <v>100.00000000000003</v>
      </c>
      <c r="IX19" s="95">
        <v>100.00000000000001</v>
      </c>
      <c r="IY19" s="95">
        <v>100.00000000000006</v>
      </c>
      <c r="IZ19" s="95">
        <v>99.999999999999957</v>
      </c>
      <c r="JA19" s="95">
        <v>99.999999999999972</v>
      </c>
      <c r="JB19" s="95">
        <v>99.999999999999957</v>
      </c>
      <c r="JC19" s="95">
        <v>99.999999999999915</v>
      </c>
      <c r="JD19" s="95">
        <v>99.999999999999972</v>
      </c>
      <c r="JE19" s="95">
        <v>99.999999999999943</v>
      </c>
      <c r="JF19" s="95">
        <v>99.999999999999957</v>
      </c>
      <c r="JG19" s="95">
        <v>100</v>
      </c>
      <c r="JH19" s="95">
        <v>100</v>
      </c>
      <c r="JI19" s="95">
        <v>100</v>
      </c>
      <c r="JJ19" s="95">
        <v>100.00000000000006</v>
      </c>
      <c r="JK19" s="95">
        <v>99.999999999999915</v>
      </c>
      <c r="JL19" s="95">
        <v>100.00000000000006</v>
      </c>
      <c r="JM19" s="95">
        <v>100.00000000000007</v>
      </c>
      <c r="JN19" s="95">
        <v>100.00000000000004</v>
      </c>
      <c r="JO19" s="95">
        <v>99.999999999999929</v>
      </c>
      <c r="JP19" s="95">
        <v>99.999999999999901</v>
      </c>
      <c r="JQ19" s="95">
        <v>100.00000000000006</v>
      </c>
      <c r="JR19" s="95">
        <v>100.00000000000003</v>
      </c>
      <c r="JS19" s="95">
        <v>99.999999999999957</v>
      </c>
      <c r="JT19" s="95">
        <v>100.00000000000001</v>
      </c>
      <c r="JU19" s="95">
        <v>100.00000000000007</v>
      </c>
      <c r="JV19" s="95">
        <v>99.999999999999943</v>
      </c>
      <c r="JW19" s="95">
        <v>99.999999999999986</v>
      </c>
      <c r="JX19" s="95">
        <v>100.00000000000001</v>
      </c>
      <c r="JY19" s="95">
        <v>100</v>
      </c>
      <c r="JZ19" s="95">
        <v>99.999999999999929</v>
      </c>
      <c r="KA19" s="95">
        <v>100</v>
      </c>
      <c r="KB19" s="95">
        <v>100.00000000000006</v>
      </c>
      <c r="KC19" s="95">
        <v>99.999999999999929</v>
      </c>
      <c r="KD19" s="95">
        <v>99.999999999999929</v>
      </c>
      <c r="KE19" s="95">
        <v>99.999999999999943</v>
      </c>
      <c r="KF19" s="216">
        <v>100.00000000000006</v>
      </c>
      <c r="KG19" s="216">
        <v>100.00000000000001</v>
      </c>
      <c r="KH19" s="216">
        <v>99.999999999999943</v>
      </c>
      <c r="KI19" s="216">
        <v>100.00000000000009</v>
      </c>
      <c r="KJ19" s="216">
        <v>100.00000000000013</v>
      </c>
      <c r="KK19" s="216">
        <v>100.00000000000001</v>
      </c>
      <c r="KL19" s="216">
        <v>100</v>
      </c>
      <c r="KM19" s="216">
        <v>100.00000000000004</v>
      </c>
      <c r="KN19" s="216">
        <v>100.00000000000003</v>
      </c>
      <c r="KO19" s="216">
        <v>99.999999999999972</v>
      </c>
    </row>
    <row r="20" spans="1:301" s="77" customFormat="1" ht="18" customHeight="1">
      <c r="A20" s="73"/>
      <c r="B20" s="73" t="s">
        <v>161</v>
      </c>
      <c r="C20" s="89">
        <v>67.398714215870953</v>
      </c>
      <c r="D20" s="89">
        <v>71.03355598250711</v>
      </c>
      <c r="E20" s="89">
        <v>68.425003583823823</v>
      </c>
      <c r="F20" s="89">
        <v>72.691782268697409</v>
      </c>
      <c r="G20" s="89">
        <v>72.986626381220674</v>
      </c>
      <c r="H20" s="89">
        <v>77.369318737610087</v>
      </c>
      <c r="I20" s="89">
        <v>73.566570784011077</v>
      </c>
      <c r="J20" s="89">
        <v>70.321441073864179</v>
      </c>
      <c r="K20" s="89">
        <v>64.911192204273561</v>
      </c>
      <c r="L20" s="89">
        <v>58.825165346406266</v>
      </c>
      <c r="M20" s="89">
        <v>58.36951657527689</v>
      </c>
      <c r="N20" s="89">
        <v>63.247168095652903</v>
      </c>
      <c r="O20" s="89">
        <v>61.076117403745165</v>
      </c>
      <c r="P20" s="89">
        <v>55.994155556940079</v>
      </c>
      <c r="Q20" s="89">
        <v>56.177473206450898</v>
      </c>
      <c r="R20" s="89">
        <v>58.568870830387453</v>
      </c>
      <c r="S20" s="89">
        <v>60.224434070973082</v>
      </c>
      <c r="T20" s="89">
        <v>58.146409394695553</v>
      </c>
      <c r="U20" s="89">
        <v>54.221516031991605</v>
      </c>
      <c r="V20" s="89">
        <v>55.216943296419977</v>
      </c>
      <c r="W20" s="89">
        <v>60.49764553807853</v>
      </c>
      <c r="X20" s="89">
        <v>60.955074280092369</v>
      </c>
      <c r="Y20" s="89">
        <v>69.905701088382742</v>
      </c>
      <c r="Z20" s="89">
        <v>61.725237524975562</v>
      </c>
      <c r="AA20" s="89">
        <v>55.336045901730635</v>
      </c>
      <c r="AB20" s="89">
        <v>51.428021641101992</v>
      </c>
      <c r="AC20" s="89">
        <v>52.518067324309548</v>
      </c>
      <c r="AD20" s="89">
        <v>53.938208769971602</v>
      </c>
      <c r="AE20" s="89">
        <v>63.83714286150672</v>
      </c>
      <c r="AF20" s="89">
        <v>60.270817545318216</v>
      </c>
      <c r="AG20" s="89">
        <v>56.168995119474147</v>
      </c>
      <c r="AH20" s="89">
        <v>60.795545410238461</v>
      </c>
      <c r="AI20" s="89">
        <v>58.688449115392878</v>
      </c>
      <c r="AJ20" s="89">
        <v>47.205612418234217</v>
      </c>
      <c r="AK20" s="89">
        <v>54.806086189734444</v>
      </c>
      <c r="AL20" s="89">
        <v>56.204225940951105</v>
      </c>
      <c r="AM20" s="89">
        <v>58.97746984307841</v>
      </c>
      <c r="AN20" s="89">
        <v>46.112988247909684</v>
      </c>
      <c r="AO20" s="89">
        <v>48.251049076359095</v>
      </c>
      <c r="AP20" s="89">
        <v>48.143348183109595</v>
      </c>
      <c r="AQ20" s="89">
        <v>53.541691899461618</v>
      </c>
      <c r="AR20" s="89">
        <v>60.454357230709313</v>
      </c>
      <c r="AS20" s="89">
        <v>36.6921903</v>
      </c>
      <c r="AT20" s="89">
        <v>54.094119700000007</v>
      </c>
      <c r="AU20" s="89">
        <v>51.170948200000005</v>
      </c>
      <c r="AV20" s="89">
        <v>50.711274379999999</v>
      </c>
      <c r="AW20" s="89">
        <v>53.576354900000005</v>
      </c>
      <c r="AX20" s="89">
        <v>54.1479456</v>
      </c>
      <c r="AY20" s="89">
        <v>55.818177899999995</v>
      </c>
      <c r="AZ20" s="89">
        <v>54.794528999999997</v>
      </c>
      <c r="BA20" s="89">
        <v>58.182994199999996</v>
      </c>
      <c r="BB20" s="89">
        <v>50.916015399999999</v>
      </c>
      <c r="BC20" s="89">
        <v>62.442267999999999</v>
      </c>
      <c r="BD20" s="89">
        <v>63.017710399999999</v>
      </c>
      <c r="BE20" s="89">
        <v>52.455444514000007</v>
      </c>
      <c r="BF20" s="89">
        <v>51.736996099999999</v>
      </c>
      <c r="BG20" s="89">
        <v>61.898633230000002</v>
      </c>
      <c r="BH20" s="89">
        <v>53.651030399999996</v>
      </c>
      <c r="BI20" s="89">
        <v>48.389455999999996</v>
      </c>
      <c r="BJ20" s="89">
        <v>51.884648409999997</v>
      </c>
      <c r="BK20" s="89">
        <v>59.322970649685104</v>
      </c>
      <c r="BL20" s="89">
        <v>58.256089426412274</v>
      </c>
      <c r="BM20" s="89">
        <v>40.736899697102714</v>
      </c>
      <c r="BN20" s="89">
        <v>42.457579608925656</v>
      </c>
      <c r="BO20" s="89">
        <v>50.465137365275702</v>
      </c>
      <c r="BP20" s="89">
        <v>48.99826852329879</v>
      </c>
      <c r="BQ20" s="89">
        <v>41.547059427694975</v>
      </c>
      <c r="BR20" s="89">
        <v>47.523671086099121</v>
      </c>
      <c r="BS20" s="89">
        <v>51.649361707637595</v>
      </c>
      <c r="BT20" s="89">
        <v>43.057866042553044</v>
      </c>
      <c r="BU20" s="89">
        <v>41.378813731519614</v>
      </c>
      <c r="BV20" s="89">
        <v>46.553564503903914</v>
      </c>
      <c r="BW20" s="89">
        <v>42.11408115224198</v>
      </c>
      <c r="BX20" s="89">
        <v>39.465019830433619</v>
      </c>
      <c r="BY20" s="89">
        <v>36.602872934192462</v>
      </c>
      <c r="BZ20" s="89">
        <v>33.273761080655156</v>
      </c>
      <c r="CA20" s="89">
        <v>46.559366326599942</v>
      </c>
      <c r="CB20" s="89">
        <v>43.610783786571787</v>
      </c>
      <c r="CC20" s="89">
        <v>40.639224627871421</v>
      </c>
      <c r="CD20" s="89">
        <v>43.789815581388403</v>
      </c>
      <c r="CE20" s="89">
        <v>36.103242178774828</v>
      </c>
      <c r="CF20" s="89">
        <v>43.465789928100037</v>
      </c>
      <c r="CG20" s="89">
        <v>49.184381673984888</v>
      </c>
      <c r="CH20" s="89">
        <v>44.991553565226198</v>
      </c>
      <c r="CI20" s="89">
        <v>47.562948469812952</v>
      </c>
      <c r="CJ20" s="89">
        <v>44.401180032301212</v>
      </c>
      <c r="CK20" s="89">
        <v>47.757278221084881</v>
      </c>
      <c r="CL20" s="89">
        <v>50.138829166204644</v>
      </c>
      <c r="CM20" s="89">
        <v>56.177778244192162</v>
      </c>
      <c r="CN20" s="89">
        <v>52.108725850754269</v>
      </c>
      <c r="CO20" s="89">
        <v>42.170287972606992</v>
      </c>
      <c r="CP20" s="89">
        <v>51.157093954993726</v>
      </c>
      <c r="CQ20" s="89">
        <v>51.869535063145122</v>
      </c>
      <c r="CR20" s="89">
        <v>52.202911797680414</v>
      </c>
      <c r="CS20" s="89">
        <v>46.63066631510334</v>
      </c>
      <c r="CT20" s="89">
        <v>47.43019672384321</v>
      </c>
      <c r="CU20" s="89">
        <v>49.606555636083669</v>
      </c>
      <c r="CV20" s="89">
        <v>47.090466148042928</v>
      </c>
      <c r="CW20" s="89">
        <v>46.123385289534696</v>
      </c>
      <c r="CX20" s="89">
        <v>48.621768663563174</v>
      </c>
      <c r="CY20" s="89">
        <v>50.187774220104039</v>
      </c>
      <c r="CZ20" s="89">
        <v>41.750020739447365</v>
      </c>
      <c r="DA20" s="89">
        <v>44.613323053167754</v>
      </c>
      <c r="DB20" s="89">
        <v>47.025894813594803</v>
      </c>
      <c r="DC20" s="89">
        <v>49.138764354261099</v>
      </c>
      <c r="DD20" s="89">
        <v>52.471261039415594</v>
      </c>
      <c r="DE20" s="89">
        <v>50.289518704475249</v>
      </c>
      <c r="DF20" s="89">
        <v>49.678209376509116</v>
      </c>
      <c r="DG20" s="89">
        <v>49.5888991924528</v>
      </c>
      <c r="DH20" s="89">
        <v>45.140838919925613</v>
      </c>
      <c r="DI20" s="89">
        <v>50.738154572004305</v>
      </c>
      <c r="DJ20" s="89">
        <v>52.112600698035664</v>
      </c>
      <c r="DK20" s="89">
        <v>50.781499459967208</v>
      </c>
      <c r="DL20" s="89">
        <v>48.145400837581249</v>
      </c>
      <c r="DM20" s="89">
        <v>44.326482708051493</v>
      </c>
      <c r="DN20" s="89">
        <v>45.660532331773496</v>
      </c>
      <c r="DO20" s="89">
        <v>54.020287167811318</v>
      </c>
      <c r="DP20" s="89">
        <v>48.793124285615477</v>
      </c>
      <c r="DQ20" s="89">
        <v>56.659037495389391</v>
      </c>
      <c r="DR20" s="89">
        <v>50.573951103528316</v>
      </c>
      <c r="DS20" s="89">
        <v>54.656783038979121</v>
      </c>
      <c r="DT20" s="89">
        <v>49.158328925301674</v>
      </c>
      <c r="DU20" s="89">
        <v>47.465047609130664</v>
      </c>
      <c r="DV20" s="89">
        <v>55.620660437900845</v>
      </c>
      <c r="DW20" s="89">
        <v>60.37183540571877</v>
      </c>
      <c r="DX20" s="89">
        <v>56.51215762212707</v>
      </c>
      <c r="DY20" s="89">
        <v>51.746562979827885</v>
      </c>
      <c r="DZ20" s="89">
        <v>49.703552476387927</v>
      </c>
      <c r="EA20" s="89">
        <v>41.504892267232769</v>
      </c>
      <c r="EB20" s="89">
        <v>46.417821036828279</v>
      </c>
      <c r="EC20" s="89">
        <v>56.920086080071457</v>
      </c>
      <c r="ED20" s="89">
        <v>55.107161775857818</v>
      </c>
      <c r="EE20" s="89">
        <v>48.034112195395394</v>
      </c>
      <c r="EF20" s="89">
        <v>58.298362198461234</v>
      </c>
      <c r="EG20" s="89">
        <v>45.891246379693655</v>
      </c>
      <c r="EH20" s="89">
        <v>55.803983050178928</v>
      </c>
      <c r="EI20" s="89">
        <v>54.401796486579826</v>
      </c>
      <c r="EJ20" s="89">
        <v>45.619642679211154</v>
      </c>
      <c r="EK20" s="89">
        <v>48.043549806903698</v>
      </c>
      <c r="EL20" s="89">
        <v>45.626119831019807</v>
      </c>
      <c r="EM20" s="89">
        <v>52.972262684517638</v>
      </c>
      <c r="EN20" s="89">
        <v>49.912115595910791</v>
      </c>
      <c r="EO20" s="89">
        <v>52.037807185850696</v>
      </c>
      <c r="EP20" s="89">
        <v>53.660017590224406</v>
      </c>
      <c r="EQ20" s="89">
        <v>60.618608511942689</v>
      </c>
      <c r="ER20" s="89">
        <v>51.709555541949541</v>
      </c>
      <c r="ES20" s="89">
        <v>53.909522889714019</v>
      </c>
      <c r="ET20" s="89">
        <v>62.440237376020519</v>
      </c>
      <c r="EU20" s="89">
        <v>55.095507138733382</v>
      </c>
      <c r="EV20" s="89">
        <v>50.386990117077147</v>
      </c>
      <c r="EW20" s="89">
        <v>50.932619625730467</v>
      </c>
      <c r="EX20" s="89">
        <v>51.612458630733364</v>
      </c>
      <c r="EY20" s="89">
        <v>60.466892745865906</v>
      </c>
      <c r="EZ20" s="89">
        <v>51.382160362909644</v>
      </c>
      <c r="FA20" s="89">
        <v>50.576593966169014</v>
      </c>
      <c r="FB20" s="89">
        <v>62.149253104485837</v>
      </c>
      <c r="FC20" s="89">
        <v>48.022479611186753</v>
      </c>
      <c r="FD20" s="89">
        <v>47.350631575995592</v>
      </c>
      <c r="FE20" s="89">
        <v>57.967224445911093</v>
      </c>
      <c r="FF20" s="89">
        <v>54.430683820205829</v>
      </c>
      <c r="FG20" s="89">
        <v>58.346255156573037</v>
      </c>
      <c r="FH20" s="89">
        <v>42.680382857093548</v>
      </c>
      <c r="FI20" s="89">
        <v>46.906563055180911</v>
      </c>
      <c r="FJ20" s="89">
        <v>52.954264920608793</v>
      </c>
      <c r="FK20" s="89">
        <v>49.680137747473907</v>
      </c>
      <c r="FL20" s="89">
        <v>51.036351063459051</v>
      </c>
      <c r="FM20" s="89">
        <v>50.167835277848987</v>
      </c>
      <c r="FN20" s="89">
        <v>46.689391672823888</v>
      </c>
      <c r="FO20" s="89">
        <v>45.919415369303508</v>
      </c>
      <c r="FP20" s="89">
        <v>48.042179933634678</v>
      </c>
      <c r="FQ20" s="89">
        <v>53.657553564975942</v>
      </c>
      <c r="FR20" s="89">
        <v>49.022971769853953</v>
      </c>
      <c r="FS20" s="89">
        <v>51.607057867569154</v>
      </c>
      <c r="FT20" s="89">
        <v>41.232179068564008</v>
      </c>
      <c r="FU20" s="89">
        <v>44.408331146297428</v>
      </c>
      <c r="FV20" s="89">
        <v>50.01292104936725</v>
      </c>
      <c r="FW20" s="89">
        <v>50.186033963200941</v>
      </c>
      <c r="FX20" s="89">
        <v>53.768095649269959</v>
      </c>
      <c r="FY20" s="89">
        <v>49.960771541510411</v>
      </c>
      <c r="FZ20" s="89">
        <v>55.400084542463986</v>
      </c>
      <c r="GA20" s="89">
        <v>51.786384855302586</v>
      </c>
      <c r="GB20" s="89">
        <v>49.538691724921193</v>
      </c>
      <c r="GC20" s="89">
        <v>51.921550844280922</v>
      </c>
      <c r="GD20" s="89">
        <v>52.062567892638008</v>
      </c>
      <c r="GE20" s="89">
        <v>51.165559225225124</v>
      </c>
      <c r="GF20" s="89">
        <v>49.382502313571173</v>
      </c>
      <c r="GG20" s="89">
        <v>43.919246343018585</v>
      </c>
      <c r="GH20" s="89">
        <v>52.231448742865524</v>
      </c>
      <c r="GI20" s="89">
        <v>50.842982092362703</v>
      </c>
      <c r="GJ20" s="89">
        <v>50.684421012974497</v>
      </c>
      <c r="GK20" s="89">
        <v>53.997969065128679</v>
      </c>
      <c r="GL20" s="89">
        <v>49.261533487433084</v>
      </c>
      <c r="GM20" s="89">
        <v>57.498421946475744</v>
      </c>
      <c r="GN20" s="89">
        <v>55.407614958313239</v>
      </c>
      <c r="GO20" s="89">
        <v>53.516172159374847</v>
      </c>
      <c r="GP20" s="89">
        <v>56.512439429631797</v>
      </c>
      <c r="GQ20" s="89">
        <v>59.960378574101085</v>
      </c>
      <c r="GR20" s="89">
        <v>55.237789704783438</v>
      </c>
      <c r="GS20" s="89">
        <v>53.830667097428083</v>
      </c>
      <c r="GT20" s="89">
        <v>56.33895561320621</v>
      </c>
      <c r="GU20" s="89">
        <v>53.193615103352833</v>
      </c>
      <c r="GV20" s="89">
        <v>49.445449601822645</v>
      </c>
      <c r="GW20" s="89">
        <v>53.777700391319371</v>
      </c>
      <c r="GX20" s="89">
        <v>51.99290893496056</v>
      </c>
      <c r="GY20" s="89">
        <v>55.820577322441324</v>
      </c>
      <c r="GZ20" s="89">
        <v>59.906693654231006</v>
      </c>
      <c r="HA20" s="89">
        <v>57.884163550052833</v>
      </c>
      <c r="HB20" s="89">
        <v>55.36082945315195</v>
      </c>
      <c r="HC20" s="89">
        <v>60.299535928095224</v>
      </c>
      <c r="HD20" s="89">
        <v>51.200804040938785</v>
      </c>
      <c r="HE20" s="89">
        <v>57.514194700508654</v>
      </c>
      <c r="HF20" s="89">
        <v>48.616945249391165</v>
      </c>
      <c r="HG20" s="89">
        <v>56.136821824529378</v>
      </c>
      <c r="HH20" s="89">
        <v>58.279167593161624</v>
      </c>
      <c r="HI20" s="89">
        <v>52.188806072033735</v>
      </c>
      <c r="HJ20" s="89">
        <v>53.234444201600709</v>
      </c>
      <c r="HK20" s="89">
        <v>58.622704060605372</v>
      </c>
      <c r="HL20" s="89">
        <v>58.048873376341817</v>
      </c>
      <c r="HM20" s="89">
        <v>60.690528751071788</v>
      </c>
      <c r="HN20" s="89">
        <v>57.938030416867818</v>
      </c>
      <c r="HO20" s="89">
        <v>60.238985713095246</v>
      </c>
      <c r="HP20" s="89">
        <v>51.836260492106703</v>
      </c>
      <c r="HQ20" s="89">
        <v>44.987745810222037</v>
      </c>
      <c r="HR20" s="89">
        <v>58.96407</v>
      </c>
      <c r="HS20" s="89">
        <v>61.003599999999999</v>
      </c>
      <c r="HT20" s="89">
        <v>46.781567454529707</v>
      </c>
      <c r="HU20" s="89">
        <v>51.409509667083917</v>
      </c>
      <c r="HV20" s="89">
        <v>43.086418805719006</v>
      </c>
      <c r="HW20" s="89">
        <v>37.36116637294257</v>
      </c>
      <c r="HX20" s="89">
        <v>35.483017790418458</v>
      </c>
      <c r="HY20" s="89">
        <v>34.659477787173572</v>
      </c>
      <c r="HZ20" s="89">
        <v>33.927768398970308</v>
      </c>
      <c r="IA20" s="89">
        <v>40.578419941215571</v>
      </c>
      <c r="IB20" s="89">
        <v>32.220928423205699</v>
      </c>
      <c r="IC20" s="89">
        <v>30.806296142769973</v>
      </c>
      <c r="ID20" s="89">
        <v>37.416780531808314</v>
      </c>
      <c r="IE20" s="89">
        <v>47.724573367098415</v>
      </c>
      <c r="IF20" s="89">
        <v>40.626682793203955</v>
      </c>
      <c r="IG20" s="89">
        <v>41.145825638791237</v>
      </c>
      <c r="IH20" s="89">
        <v>38.597761426173051</v>
      </c>
      <c r="II20" s="89">
        <v>41.291928389574579</v>
      </c>
      <c r="IJ20" s="89">
        <v>44.006349869347062</v>
      </c>
      <c r="IK20" s="89">
        <v>48.649819084631815</v>
      </c>
      <c r="IL20" s="89">
        <v>45.291489798657679</v>
      </c>
      <c r="IM20" s="89">
        <v>43.951409476662327</v>
      </c>
      <c r="IN20" s="89">
        <v>39.523931196239715</v>
      </c>
      <c r="IO20" s="89">
        <v>34.139796245804476</v>
      </c>
      <c r="IP20" s="89">
        <v>39.455624709671469</v>
      </c>
      <c r="IQ20" s="89">
        <v>38.07499902742066</v>
      </c>
      <c r="IR20" s="89">
        <v>39.121326195802652</v>
      </c>
      <c r="IS20" s="89">
        <v>34.614543425815995</v>
      </c>
      <c r="IT20" s="89">
        <v>44.369400359367916</v>
      </c>
      <c r="IU20" s="89">
        <v>41.474641709450168</v>
      </c>
      <c r="IV20" s="89">
        <f t="shared" ref="IV20" si="4">+IV21+IV22</f>
        <v>40.076049473703506</v>
      </c>
      <c r="IW20" s="89">
        <v>43.641667413539722</v>
      </c>
      <c r="IX20" s="89">
        <v>44.524304468369472</v>
      </c>
      <c r="IY20" s="89">
        <v>44.502501124120101</v>
      </c>
      <c r="IZ20" s="89">
        <v>39.192334918212026</v>
      </c>
      <c r="JA20" s="89">
        <v>36.326011369040373</v>
      </c>
      <c r="JB20" s="89">
        <v>40.121487987106242</v>
      </c>
      <c r="JC20" s="89">
        <v>41.998342931716664</v>
      </c>
      <c r="JD20" s="89">
        <v>41.587274978357073</v>
      </c>
      <c r="JE20" s="89">
        <v>44.473773965196145</v>
      </c>
      <c r="JF20" s="89">
        <v>41.325629832581612</v>
      </c>
      <c r="JG20" s="89">
        <v>45.461468873966702</v>
      </c>
      <c r="JH20" s="89">
        <v>46.72694601044229</v>
      </c>
      <c r="JI20" s="89">
        <v>47.116849766150487</v>
      </c>
      <c r="JJ20" s="89">
        <v>51.68545626270506</v>
      </c>
      <c r="JK20" s="89">
        <v>52.463606416724907</v>
      </c>
      <c r="JL20" s="89">
        <v>46.598077017927551</v>
      </c>
      <c r="JM20" s="89">
        <v>43.509695559193659</v>
      </c>
      <c r="JN20" s="89">
        <v>44.932613075702143</v>
      </c>
      <c r="JO20" s="89">
        <v>53.333030143687736</v>
      </c>
      <c r="JP20" s="89">
        <v>46.40196967637182</v>
      </c>
      <c r="JQ20" s="89">
        <v>48.134875940338773</v>
      </c>
      <c r="JR20" s="89">
        <v>42.397526971278211</v>
      </c>
      <c r="JS20" s="89">
        <v>44.370224021419105</v>
      </c>
      <c r="JT20" s="89">
        <v>41.309335598059832</v>
      </c>
      <c r="JU20" s="89">
        <v>45.919199639609189</v>
      </c>
      <c r="JV20" s="89">
        <v>41.299127766332106</v>
      </c>
      <c r="JW20" s="89">
        <v>44.894060760481906</v>
      </c>
      <c r="JX20" s="89">
        <v>43.982000982088067</v>
      </c>
      <c r="JY20" s="89">
        <v>40.493621183623276</v>
      </c>
      <c r="JZ20" s="89">
        <v>41.69049286180725</v>
      </c>
      <c r="KA20" s="89">
        <v>43.282820174350199</v>
      </c>
      <c r="KB20" s="89">
        <v>42.151538991636443</v>
      </c>
      <c r="KC20" s="89">
        <v>43.572297580435034</v>
      </c>
      <c r="KD20" s="89">
        <v>45.195097375285911</v>
      </c>
      <c r="KE20" s="89">
        <v>44.56319404455806</v>
      </c>
      <c r="KF20" s="215">
        <v>47.113106366600945</v>
      </c>
      <c r="KG20" s="215">
        <v>47.709326895781437</v>
      </c>
      <c r="KH20" s="215">
        <v>47.195932979775222</v>
      </c>
      <c r="KI20" s="215">
        <v>51.783924213068161</v>
      </c>
      <c r="KJ20" s="215">
        <v>46.828192280299575</v>
      </c>
      <c r="KK20" s="215">
        <v>44.573221199600866</v>
      </c>
      <c r="KL20" s="215">
        <v>49.092956911002517</v>
      </c>
      <c r="KM20" s="215">
        <v>50.959317906946858</v>
      </c>
      <c r="KN20" s="215">
        <v>51.674633321428502</v>
      </c>
      <c r="KO20" s="215">
        <v>52.090650005290129</v>
      </c>
    </row>
    <row r="21" spans="1:301" s="77" customFormat="1" ht="18" customHeight="1">
      <c r="A21" s="73"/>
      <c r="B21" s="96" t="s">
        <v>162</v>
      </c>
      <c r="C21" s="89">
        <v>19.525518766268068</v>
      </c>
      <c r="D21" s="89">
        <v>21.585637859499403</v>
      </c>
      <c r="E21" s="89">
        <v>21.451974901149189</v>
      </c>
      <c r="F21" s="89">
        <v>30.517869187040024</v>
      </c>
      <c r="G21" s="89">
        <v>32.04848521763099</v>
      </c>
      <c r="H21" s="89">
        <v>26.134303281512828</v>
      </c>
      <c r="I21" s="89">
        <v>34.369955815835809</v>
      </c>
      <c r="J21" s="89">
        <v>21.533015265760493</v>
      </c>
      <c r="K21" s="89">
        <v>16.170376339658372</v>
      </c>
      <c r="L21" s="89">
        <v>15.768915313367085</v>
      </c>
      <c r="M21" s="89">
        <v>18.885031867968525</v>
      </c>
      <c r="N21" s="89">
        <v>16.996733526591917</v>
      </c>
      <c r="O21" s="89">
        <v>17.179539163117994</v>
      </c>
      <c r="P21" s="89">
        <v>13.519192474685576</v>
      </c>
      <c r="Q21" s="89">
        <v>9.9469883598989792</v>
      </c>
      <c r="R21" s="89">
        <v>20.44803926660154</v>
      </c>
      <c r="S21" s="89">
        <v>8.4856115068480484</v>
      </c>
      <c r="T21" s="89">
        <v>14.093547328197729</v>
      </c>
      <c r="U21" s="89">
        <v>15.79740573900045</v>
      </c>
      <c r="V21" s="89">
        <v>18.224556470179753</v>
      </c>
      <c r="W21" s="89">
        <v>19.001939919332418</v>
      </c>
      <c r="X21" s="89">
        <v>25.48911176306644</v>
      </c>
      <c r="Y21" s="89">
        <v>28.944841441175555</v>
      </c>
      <c r="Z21" s="89">
        <v>18.153399519895501</v>
      </c>
      <c r="AA21" s="89">
        <v>10.032537891532886</v>
      </c>
      <c r="AB21" s="89">
        <v>12.132991184301702</v>
      </c>
      <c r="AC21" s="89">
        <v>5.3702335946189228</v>
      </c>
      <c r="AD21" s="89">
        <v>5.3579949127429582</v>
      </c>
      <c r="AE21" s="89">
        <v>12.559405721410348</v>
      </c>
      <c r="AF21" s="89">
        <v>9.4350842357095406</v>
      </c>
      <c r="AG21" s="89">
        <v>7.1251476021291671</v>
      </c>
      <c r="AH21" s="89">
        <v>8.8383044571051368</v>
      </c>
      <c r="AI21" s="89">
        <v>10.205846972472868</v>
      </c>
      <c r="AJ21" s="89">
        <v>10.83064549681621</v>
      </c>
      <c r="AK21" s="89">
        <v>6.3336670283437062</v>
      </c>
      <c r="AL21" s="89">
        <v>11.897140918742519</v>
      </c>
      <c r="AM21" s="89">
        <v>8.0405181997534036</v>
      </c>
      <c r="AN21" s="89">
        <v>5.2605996430112203</v>
      </c>
      <c r="AO21" s="89">
        <v>8.3940199289723889</v>
      </c>
      <c r="AP21" s="89">
        <v>5.9214482497432641</v>
      </c>
      <c r="AQ21" s="89">
        <v>10.944740999447776</v>
      </c>
      <c r="AR21" s="89">
        <v>14.825742207866705</v>
      </c>
      <c r="AS21" s="89">
        <v>14.8818</v>
      </c>
      <c r="AT21" s="89">
        <v>21.433378000000001</v>
      </c>
      <c r="AU21" s="89">
        <v>25.265604000000003</v>
      </c>
      <c r="AV21" s="89">
        <v>25.397083000000002</v>
      </c>
      <c r="AW21" s="89">
        <v>26.047429800000003</v>
      </c>
      <c r="AX21" s="89">
        <v>28.544842799999998</v>
      </c>
      <c r="AY21" s="89">
        <v>31.666447099999999</v>
      </c>
      <c r="AZ21" s="89">
        <v>26.580659000000001</v>
      </c>
      <c r="BA21" s="89">
        <v>32.902331199999999</v>
      </c>
      <c r="BB21" s="89">
        <v>34.091065</v>
      </c>
      <c r="BC21" s="89">
        <v>46.987920000000003</v>
      </c>
      <c r="BD21" s="89">
        <v>46.69267</v>
      </c>
      <c r="BE21" s="89">
        <v>28.734676200000003</v>
      </c>
      <c r="BF21" s="89">
        <v>22.354362999999999</v>
      </c>
      <c r="BG21" s="89">
        <v>41.261606</v>
      </c>
      <c r="BH21" s="89">
        <v>26.894601999999999</v>
      </c>
      <c r="BI21" s="89">
        <v>21.72476</v>
      </c>
      <c r="BJ21" s="89">
        <v>24.842176099999996</v>
      </c>
      <c r="BK21" s="89">
        <v>38.803739879616636</v>
      </c>
      <c r="BL21" s="89">
        <v>31.227587361428093</v>
      </c>
      <c r="BM21" s="89">
        <v>19.78045736682612</v>
      </c>
      <c r="BN21" s="89">
        <v>18.458470001779613</v>
      </c>
      <c r="BO21" s="89">
        <v>30.896362311537583</v>
      </c>
      <c r="BP21" s="89">
        <v>25.733172301354401</v>
      </c>
      <c r="BQ21" s="89">
        <v>21.614572136334683</v>
      </c>
      <c r="BR21" s="89">
        <v>23.513110856457899</v>
      </c>
      <c r="BS21" s="89">
        <v>30.661521814335391</v>
      </c>
      <c r="BT21" s="89">
        <v>20.464189480465738</v>
      </c>
      <c r="BU21" s="89">
        <v>16.178903045678062</v>
      </c>
      <c r="BV21" s="89">
        <v>22.739328659970688</v>
      </c>
      <c r="BW21" s="89">
        <v>19.168647369266182</v>
      </c>
      <c r="BX21" s="89">
        <v>16.716344679325246</v>
      </c>
      <c r="BY21" s="89">
        <v>17.081937090943281</v>
      </c>
      <c r="BZ21" s="89">
        <v>14.676049445758196</v>
      </c>
      <c r="CA21" s="89">
        <v>26.371559709775731</v>
      </c>
      <c r="CB21" s="89">
        <v>21.920533642906229</v>
      </c>
      <c r="CC21" s="89">
        <v>20.790048505622579</v>
      </c>
      <c r="CD21" s="89">
        <v>25.110423624223749</v>
      </c>
      <c r="CE21" s="89">
        <v>17.030878400989131</v>
      </c>
      <c r="CF21" s="89">
        <v>20.921039669931389</v>
      </c>
      <c r="CG21" s="89">
        <v>23.408441786667776</v>
      </c>
      <c r="CH21" s="89">
        <v>23.559017917936096</v>
      </c>
      <c r="CI21" s="89">
        <v>26.814599973886683</v>
      </c>
      <c r="CJ21" s="89">
        <v>20.938156045494079</v>
      </c>
      <c r="CK21" s="89">
        <v>22.099677974002308</v>
      </c>
      <c r="CL21" s="89">
        <v>27.133287050495063</v>
      </c>
      <c r="CM21" s="89">
        <v>36.987608327028248</v>
      </c>
      <c r="CN21" s="89">
        <v>31.44029374019749</v>
      </c>
      <c r="CO21" s="89">
        <v>19.763493298610609</v>
      </c>
      <c r="CP21" s="89">
        <v>29.766907233647121</v>
      </c>
      <c r="CQ21" s="89">
        <v>27.104978235893217</v>
      </c>
      <c r="CR21" s="89">
        <v>27.962037872064226</v>
      </c>
      <c r="CS21" s="89">
        <v>24.390128521536099</v>
      </c>
      <c r="CT21" s="89">
        <v>24.689423767044723</v>
      </c>
      <c r="CU21" s="89">
        <v>29.461606750043494</v>
      </c>
      <c r="CV21" s="89">
        <v>23.640622542693002</v>
      </c>
      <c r="CW21" s="89">
        <v>21.240426911583281</v>
      </c>
      <c r="CX21" s="89">
        <v>24.949637888709507</v>
      </c>
      <c r="CY21" s="89">
        <v>31.789339923268944</v>
      </c>
      <c r="CZ21" s="89">
        <v>22.873769653096119</v>
      </c>
      <c r="DA21" s="89">
        <v>16.775563229999747</v>
      </c>
      <c r="DB21" s="89">
        <v>19.936546686776392</v>
      </c>
      <c r="DC21" s="89">
        <v>20.880321247111926</v>
      </c>
      <c r="DD21" s="89">
        <v>29.27339724621612</v>
      </c>
      <c r="DE21" s="89">
        <v>24.147559432117792</v>
      </c>
      <c r="DF21" s="89">
        <v>25.154521430197875</v>
      </c>
      <c r="DG21" s="89">
        <v>26.5223242396948</v>
      </c>
      <c r="DH21" s="89">
        <v>17.227814475001956</v>
      </c>
      <c r="DI21" s="89">
        <v>30.261774059415401</v>
      </c>
      <c r="DJ21" s="89">
        <v>29.799806016528024</v>
      </c>
      <c r="DK21" s="89">
        <v>32.656149621197308</v>
      </c>
      <c r="DL21" s="89">
        <v>25.415928369333997</v>
      </c>
      <c r="DM21" s="89">
        <v>21.215008769011483</v>
      </c>
      <c r="DN21" s="89">
        <v>24.09698631952471</v>
      </c>
      <c r="DO21" s="89">
        <v>30.465545766659602</v>
      </c>
      <c r="DP21" s="89">
        <v>25.481357037549962</v>
      </c>
      <c r="DQ21" s="89">
        <v>31.808791539170766</v>
      </c>
      <c r="DR21" s="89">
        <v>26.84367173227546</v>
      </c>
      <c r="DS21" s="89">
        <v>29.523221189140301</v>
      </c>
      <c r="DT21" s="89">
        <v>23.017282115568221</v>
      </c>
      <c r="DU21" s="89">
        <v>26.560817293610135</v>
      </c>
      <c r="DV21" s="89">
        <v>22.154645911609563</v>
      </c>
      <c r="DW21" s="89">
        <v>42.962088405916319</v>
      </c>
      <c r="DX21" s="89">
        <v>31.753391673452676</v>
      </c>
      <c r="DY21" s="89">
        <v>25.277554314435463</v>
      </c>
      <c r="DZ21" s="89">
        <v>29.081520125790856</v>
      </c>
      <c r="EA21" s="89">
        <v>20.248150483216019</v>
      </c>
      <c r="EB21" s="89">
        <v>19.465137686557441</v>
      </c>
      <c r="EC21" s="89">
        <v>36.263958027413452</v>
      </c>
      <c r="ED21" s="89">
        <v>32.712951992971227</v>
      </c>
      <c r="EE21" s="89">
        <v>23.067503334276179</v>
      </c>
      <c r="EF21" s="89">
        <v>35.273004759515644</v>
      </c>
      <c r="EG21" s="89">
        <v>23.981899432917899</v>
      </c>
      <c r="EH21" s="89">
        <v>31.896167152545146</v>
      </c>
      <c r="EI21" s="89">
        <v>32.204926425646178</v>
      </c>
      <c r="EJ21" s="89">
        <v>19.349343523358606</v>
      </c>
      <c r="EK21" s="89">
        <v>29.284210475415868</v>
      </c>
      <c r="EL21" s="89">
        <v>23.243322714503257</v>
      </c>
      <c r="EM21" s="89">
        <v>32.109291081929022</v>
      </c>
      <c r="EN21" s="89">
        <v>25.510661604716596</v>
      </c>
      <c r="EO21" s="89">
        <v>30.168924999513848</v>
      </c>
      <c r="EP21" s="89">
        <v>25.605156123114813</v>
      </c>
      <c r="EQ21" s="89">
        <v>31.205969553887396</v>
      </c>
      <c r="ER21" s="89">
        <v>23.711193596614301</v>
      </c>
      <c r="ES21" s="89">
        <v>24.825565290159858</v>
      </c>
      <c r="ET21" s="89">
        <v>36.383565885629295</v>
      </c>
      <c r="EU21" s="89">
        <v>34.431853490287331</v>
      </c>
      <c r="EV21" s="89">
        <v>26.650934792421545</v>
      </c>
      <c r="EW21" s="89">
        <v>25.743784977918764</v>
      </c>
      <c r="EX21" s="89">
        <v>24.770823479192831</v>
      </c>
      <c r="EY21" s="89">
        <v>29.581966368216996</v>
      </c>
      <c r="EZ21" s="89">
        <v>24.572979850966103</v>
      </c>
      <c r="FA21" s="89">
        <v>27.108010530347421</v>
      </c>
      <c r="FB21" s="89">
        <v>38.483831882624351</v>
      </c>
      <c r="FC21" s="89">
        <v>24.749476214478285</v>
      </c>
      <c r="FD21" s="89">
        <v>27.818299141164825</v>
      </c>
      <c r="FE21" s="89">
        <v>41.256474437048041</v>
      </c>
      <c r="FF21" s="89">
        <v>29.401814118717478</v>
      </c>
      <c r="FG21" s="89">
        <v>42.912919250894703</v>
      </c>
      <c r="FH21" s="89">
        <v>23.495945842148032</v>
      </c>
      <c r="FI21" s="89">
        <v>22.260172409006323</v>
      </c>
      <c r="FJ21" s="89">
        <v>31.143602681757333</v>
      </c>
      <c r="FK21" s="89">
        <v>27.010679289262384</v>
      </c>
      <c r="FL21" s="89">
        <v>25.624246663058052</v>
      </c>
      <c r="FM21" s="89">
        <v>25.537590948016664</v>
      </c>
      <c r="FN21" s="89">
        <v>18.081074097959956</v>
      </c>
      <c r="FO21" s="89">
        <v>22.183838529357999</v>
      </c>
      <c r="FP21" s="89">
        <v>23.010495389270343</v>
      </c>
      <c r="FQ21" s="89">
        <v>31.12735019187366</v>
      </c>
      <c r="FR21" s="89">
        <v>26.229468925813286</v>
      </c>
      <c r="FS21" s="89">
        <v>34.156441640226717</v>
      </c>
      <c r="FT21" s="89">
        <v>21.683002914377038</v>
      </c>
      <c r="FU21" s="89">
        <v>25.073259691977995</v>
      </c>
      <c r="FV21" s="89">
        <v>28.626133372435998</v>
      </c>
      <c r="FW21" s="89">
        <v>26.090369793140617</v>
      </c>
      <c r="FX21" s="89">
        <v>26.937505362093006</v>
      </c>
      <c r="FY21" s="89">
        <v>27.253016220414416</v>
      </c>
      <c r="FZ21" s="89">
        <v>25.844491228447602</v>
      </c>
      <c r="GA21" s="89">
        <v>27.68023594548086</v>
      </c>
      <c r="GB21" s="89">
        <v>25.155354143600384</v>
      </c>
      <c r="GC21" s="89">
        <v>26.731351197508879</v>
      </c>
      <c r="GD21" s="89">
        <v>29.926678982309628</v>
      </c>
      <c r="GE21" s="89">
        <v>30.595475939808175</v>
      </c>
      <c r="GF21" s="89">
        <v>27.874491711392629</v>
      </c>
      <c r="GG21" s="89">
        <v>25.250468569752162</v>
      </c>
      <c r="GH21" s="89">
        <v>29.149905344333366</v>
      </c>
      <c r="GI21" s="89">
        <v>27.591753307574152</v>
      </c>
      <c r="GJ21" s="89">
        <v>28.090921389450024</v>
      </c>
      <c r="GK21" s="89">
        <v>30.409777330473958</v>
      </c>
      <c r="GL21" s="89">
        <v>25.832895798502715</v>
      </c>
      <c r="GM21" s="89">
        <v>39.06209020481414</v>
      </c>
      <c r="GN21" s="89">
        <v>34.40793478091723</v>
      </c>
      <c r="GO21" s="89">
        <v>32.846225313205032</v>
      </c>
      <c r="GP21" s="89">
        <v>34.949782240664618</v>
      </c>
      <c r="GQ21" s="89">
        <v>39.328864358439958</v>
      </c>
      <c r="GR21" s="89">
        <v>34.345508355846825</v>
      </c>
      <c r="GS21" s="89">
        <v>35.839136817239734</v>
      </c>
      <c r="GT21" s="89">
        <v>37.029874093419515</v>
      </c>
      <c r="GU21" s="89">
        <v>30.036643806587556</v>
      </c>
      <c r="GV21" s="89">
        <v>27.676229078420572</v>
      </c>
      <c r="GW21" s="89">
        <v>28.091971316278052</v>
      </c>
      <c r="GX21" s="89">
        <v>27.723016882217294</v>
      </c>
      <c r="GY21" s="89">
        <v>30.9693609705974</v>
      </c>
      <c r="GZ21" s="89">
        <v>32.076676393891852</v>
      </c>
      <c r="HA21" s="89">
        <v>31.821038208469695</v>
      </c>
      <c r="HB21" s="89">
        <v>31.704652430975745</v>
      </c>
      <c r="HC21" s="89">
        <v>39.031211856332213</v>
      </c>
      <c r="HD21" s="89">
        <v>28.414405446522238</v>
      </c>
      <c r="HE21" s="89">
        <v>34.078613552009692</v>
      </c>
      <c r="HF21" s="89">
        <v>29.913888218459622</v>
      </c>
      <c r="HG21" s="89">
        <v>33.182066735831093</v>
      </c>
      <c r="HH21" s="89">
        <v>36.112675551296718</v>
      </c>
      <c r="HI21" s="89">
        <v>29.054951913757183</v>
      </c>
      <c r="HJ21" s="89">
        <v>33.188347621571033</v>
      </c>
      <c r="HK21" s="89">
        <v>40.508620379645656</v>
      </c>
      <c r="HL21" s="89">
        <v>35.651722648401531</v>
      </c>
      <c r="HM21" s="89">
        <v>39.921365440911941</v>
      </c>
      <c r="HN21" s="89">
        <v>35.429476418592415</v>
      </c>
      <c r="HO21" s="89">
        <v>40.968639064140774</v>
      </c>
      <c r="HP21" s="89">
        <v>31.90731881319439</v>
      </c>
      <c r="HQ21" s="89">
        <v>28.965627163934077</v>
      </c>
      <c r="HR21" s="89">
        <v>46.386699999999998</v>
      </c>
      <c r="HS21" s="89">
        <v>42.753799999999998</v>
      </c>
      <c r="HT21" s="89">
        <v>31.414789382050799</v>
      </c>
      <c r="HU21" s="89">
        <v>30.249251495301099</v>
      </c>
      <c r="HV21" s="89">
        <v>24.562044496794002</v>
      </c>
      <c r="HW21" s="89">
        <v>20.897427189785901</v>
      </c>
      <c r="HX21" s="89">
        <v>21.204763161439399</v>
      </c>
      <c r="HY21" s="89">
        <v>20.227075844723601</v>
      </c>
      <c r="HZ21" s="89">
        <v>17.994875749696199</v>
      </c>
      <c r="IA21" s="89">
        <v>22.693849689001802</v>
      </c>
      <c r="IB21" s="89">
        <v>17.7030217251368</v>
      </c>
      <c r="IC21" s="89">
        <v>12.876432163695901</v>
      </c>
      <c r="ID21" s="89">
        <v>20.614226343630001</v>
      </c>
      <c r="IE21" s="89">
        <v>28.802762056927801</v>
      </c>
      <c r="IF21" s="89">
        <v>19.723372233577901</v>
      </c>
      <c r="IG21" s="89">
        <v>17.8993070833573</v>
      </c>
      <c r="IH21" s="89">
        <v>19.225263242141502</v>
      </c>
      <c r="II21" s="89">
        <v>21.905901046862599</v>
      </c>
      <c r="IJ21" s="89">
        <v>24.635043236738699</v>
      </c>
      <c r="IK21" s="89">
        <v>33.084725363072899</v>
      </c>
      <c r="IL21" s="89">
        <v>28.675110408361999</v>
      </c>
      <c r="IM21" s="89">
        <v>25.746307226809499</v>
      </c>
      <c r="IN21" s="89">
        <v>20.109736627470799</v>
      </c>
      <c r="IO21" s="89">
        <v>19.185515772644699</v>
      </c>
      <c r="IP21" s="89">
        <v>20.655294527229401</v>
      </c>
      <c r="IQ21" s="89">
        <v>20.285844673160501</v>
      </c>
      <c r="IR21" s="89">
        <v>21.534269078953599</v>
      </c>
      <c r="IS21" s="89">
        <v>16.689821508770699</v>
      </c>
      <c r="IT21" s="89">
        <v>22.4692259708081</v>
      </c>
      <c r="IU21" s="89">
        <v>18.973725265404799</v>
      </c>
      <c r="IV21" s="89">
        <v>19.841468556079199</v>
      </c>
      <c r="IW21" s="89">
        <v>22.056770314310999</v>
      </c>
      <c r="IX21" s="89">
        <v>23.904947434573302</v>
      </c>
      <c r="IY21" s="89">
        <v>26.8536036090299</v>
      </c>
      <c r="IZ21" s="89">
        <v>19.571590889592901</v>
      </c>
      <c r="JA21" s="89">
        <v>17.173302524311602</v>
      </c>
      <c r="JB21" s="89">
        <v>17.529291388981399</v>
      </c>
      <c r="JC21" s="89">
        <v>18.4628532656658</v>
      </c>
      <c r="JD21" s="89">
        <v>20.550601154873799</v>
      </c>
      <c r="JE21" s="89">
        <v>23.3586191413489</v>
      </c>
      <c r="JF21" s="89">
        <v>23.3181556967149</v>
      </c>
      <c r="JG21" s="89">
        <v>23.2425500201144</v>
      </c>
      <c r="JH21" s="89">
        <v>24.6651366883256</v>
      </c>
      <c r="JI21" s="89">
        <v>24.540220940925298</v>
      </c>
      <c r="JJ21" s="89">
        <v>29.747119734816099</v>
      </c>
      <c r="JK21" s="89">
        <v>33.752088816673599</v>
      </c>
      <c r="JL21" s="89">
        <v>27.099395656068801</v>
      </c>
      <c r="JM21" s="89">
        <v>24.540555009879199</v>
      </c>
      <c r="JN21" s="89">
        <v>26.258079101710301</v>
      </c>
      <c r="JO21" s="89">
        <v>31.028699121025198</v>
      </c>
      <c r="JP21" s="89">
        <v>27.456264519193599</v>
      </c>
      <c r="JQ21" s="89">
        <v>25.850626322251902</v>
      </c>
      <c r="JR21" s="89">
        <v>21.220510650823702</v>
      </c>
      <c r="JS21" s="89">
        <v>23.024590018830999</v>
      </c>
      <c r="JT21" s="89">
        <v>19.455785489741501</v>
      </c>
      <c r="JU21" s="89">
        <v>22.4784140467581</v>
      </c>
      <c r="JV21" s="89">
        <v>18.8462209801523</v>
      </c>
      <c r="JW21" s="89">
        <v>23.975669555033701</v>
      </c>
      <c r="JX21" s="89">
        <v>22.985189077328599</v>
      </c>
      <c r="JY21" s="89">
        <v>19.099299283446602</v>
      </c>
      <c r="JZ21" s="89">
        <v>22.7086432033141</v>
      </c>
      <c r="KA21" s="89">
        <v>20.885941509028001</v>
      </c>
      <c r="KB21" s="89">
        <v>21.715234455884602</v>
      </c>
      <c r="KC21" s="89">
        <v>20.211857728011999</v>
      </c>
      <c r="KD21" s="89">
        <v>23.877159906443001</v>
      </c>
      <c r="KE21" s="89">
        <v>22.403402782582798</v>
      </c>
      <c r="KF21" s="215">
        <v>25.063005120361598</v>
      </c>
      <c r="KG21" s="215">
        <v>26.248116599387298</v>
      </c>
      <c r="KH21" s="215">
        <v>27.2111048790095</v>
      </c>
      <c r="KI21" s="215">
        <v>31.604418917600199</v>
      </c>
      <c r="KJ21" s="215">
        <v>26.015450100239502</v>
      </c>
      <c r="KK21" s="215">
        <v>26.544118600909002</v>
      </c>
      <c r="KL21" s="215">
        <v>30.892549477779902</v>
      </c>
      <c r="KM21" s="215">
        <v>26.268667576197199</v>
      </c>
      <c r="KN21" s="215">
        <v>25.341282027055701</v>
      </c>
      <c r="KO21" s="215">
        <v>25.351069911729098</v>
      </c>
    </row>
    <row r="22" spans="1:301" s="77" customFormat="1" ht="18" customHeight="1">
      <c r="A22" s="73"/>
      <c r="B22" s="96" t="s">
        <v>163</v>
      </c>
      <c r="C22" s="89">
        <v>47.873195449602846</v>
      </c>
      <c r="D22" s="89">
        <v>49.447918123007689</v>
      </c>
      <c r="E22" s="89">
        <v>46.992232947902608</v>
      </c>
      <c r="F22" s="89">
        <v>42.173913081657368</v>
      </c>
      <c r="G22" s="89">
        <v>40.938141163589655</v>
      </c>
      <c r="H22" s="89">
        <v>51.267632173533421</v>
      </c>
      <c r="I22" s="89">
        <v>39.196614968175304</v>
      </c>
      <c r="J22" s="89">
        <v>48.788425808103746</v>
      </c>
      <c r="K22" s="89">
        <v>48.740815864615229</v>
      </c>
      <c r="L22" s="89">
        <v>43.056250033039213</v>
      </c>
      <c r="M22" s="89">
        <v>39.484484707308368</v>
      </c>
      <c r="N22" s="89">
        <v>46.250434569060978</v>
      </c>
      <c r="O22" s="89">
        <v>43.896578240627186</v>
      </c>
      <c r="P22" s="89">
        <v>42.474963082254476</v>
      </c>
      <c r="Q22" s="89">
        <v>46.230484846551931</v>
      </c>
      <c r="R22" s="89">
        <v>38.120831563785913</v>
      </c>
      <c r="S22" s="89">
        <v>51.738822564125051</v>
      </c>
      <c r="T22" s="89">
        <v>44.052862066497838</v>
      </c>
      <c r="U22" s="89">
        <v>38.424110292991159</v>
      </c>
      <c r="V22" s="89">
        <v>36.9923868262402</v>
      </c>
      <c r="W22" s="89">
        <v>41.495705618746094</v>
      </c>
      <c r="X22" s="89">
        <v>35.465962517025879</v>
      </c>
      <c r="Y22" s="89">
        <v>40.960859647207229</v>
      </c>
      <c r="Z22" s="89">
        <v>43.57183800508006</v>
      </c>
      <c r="AA22" s="89">
        <v>45.303508010197746</v>
      </c>
      <c r="AB22" s="89">
        <v>39.295030456800319</v>
      </c>
      <c r="AC22" s="89">
        <v>47.147833729690639</v>
      </c>
      <c r="AD22" s="89">
        <v>48.580213857228635</v>
      </c>
      <c r="AE22" s="89">
        <v>51.27773714009637</v>
      </c>
      <c r="AF22" s="89">
        <v>50.835733309608699</v>
      </c>
      <c r="AG22" s="89">
        <v>49.04384751734495</v>
      </c>
      <c r="AH22" s="89">
        <v>51.957240953133329</v>
      </c>
      <c r="AI22" s="89">
        <v>48.482602142919994</v>
      </c>
      <c r="AJ22" s="89">
        <v>36.374966921417993</v>
      </c>
      <c r="AK22" s="89">
        <v>48.472419161390754</v>
      </c>
      <c r="AL22" s="89">
        <v>44.307085022208604</v>
      </c>
      <c r="AM22" s="89">
        <v>50.936951643325045</v>
      </c>
      <c r="AN22" s="89">
        <v>40.852388604898444</v>
      </c>
      <c r="AO22" s="89">
        <v>39.857029147386712</v>
      </c>
      <c r="AP22" s="89">
        <v>46.372460708877625</v>
      </c>
      <c r="AQ22" s="89">
        <v>42.596950900013908</v>
      </c>
      <c r="AR22" s="89">
        <v>45.628615022842567</v>
      </c>
      <c r="AS22" s="89">
        <v>21.810390299999998</v>
      </c>
      <c r="AT22" s="89">
        <v>32.660741700000003</v>
      </c>
      <c r="AU22" s="89">
        <v>25.905344200000002</v>
      </c>
      <c r="AV22" s="89">
        <v>25.314191379999997</v>
      </c>
      <c r="AW22" s="89">
        <v>27.528925100000002</v>
      </c>
      <c r="AX22" s="89">
        <v>25.603102799999998</v>
      </c>
      <c r="AY22" s="89">
        <v>24.151730799999999</v>
      </c>
      <c r="AZ22" s="89">
        <v>28.21387</v>
      </c>
      <c r="BA22" s="89">
        <v>25.280662999999997</v>
      </c>
      <c r="BB22" s="89">
        <v>16.824950399999999</v>
      </c>
      <c r="BC22" s="89">
        <v>15.454348</v>
      </c>
      <c r="BD22" s="89">
        <v>16.325040399999999</v>
      </c>
      <c r="BE22" s="89">
        <v>23.720768314000001</v>
      </c>
      <c r="BF22" s="89">
        <v>29.3826331</v>
      </c>
      <c r="BG22" s="89">
        <v>20.637027230000001</v>
      </c>
      <c r="BH22" s="89">
        <v>26.756428400000001</v>
      </c>
      <c r="BI22" s="89">
        <v>26.664695999999999</v>
      </c>
      <c r="BJ22" s="89">
        <v>27.042472310000001</v>
      </c>
      <c r="BK22" s="89">
        <v>20.519230770068468</v>
      </c>
      <c r="BL22" s="89">
        <v>27.028502064984174</v>
      </c>
      <c r="BM22" s="89">
        <v>20.956442330276587</v>
      </c>
      <c r="BN22" s="89">
        <v>23.999109607146043</v>
      </c>
      <c r="BO22" s="89">
        <v>19.568775053738122</v>
      </c>
      <c r="BP22" s="89">
        <v>23.265096221944386</v>
      </c>
      <c r="BQ22" s="89">
        <v>19.932487291360292</v>
      </c>
      <c r="BR22" s="89">
        <v>24.010560229641221</v>
      </c>
      <c r="BS22" s="89">
        <v>20.987839893302208</v>
      </c>
      <c r="BT22" s="89">
        <v>22.593676562087307</v>
      </c>
      <c r="BU22" s="89">
        <v>25.199910685841548</v>
      </c>
      <c r="BV22" s="89">
        <v>23.814235843933229</v>
      </c>
      <c r="BW22" s="89">
        <v>22.945433782975801</v>
      </c>
      <c r="BX22" s="89">
        <v>22.748675151108369</v>
      </c>
      <c r="BY22" s="89">
        <v>19.520935843249177</v>
      </c>
      <c r="BZ22" s="89">
        <v>18.59771163489696</v>
      </c>
      <c r="CA22" s="89">
        <v>20.187806616824211</v>
      </c>
      <c r="CB22" s="89">
        <v>21.690250143665555</v>
      </c>
      <c r="CC22" s="89">
        <v>19.849176122248842</v>
      </c>
      <c r="CD22" s="89">
        <v>18.679391957164654</v>
      </c>
      <c r="CE22" s="89">
        <v>19.072363777785696</v>
      </c>
      <c r="CF22" s="89">
        <v>22.544750258168644</v>
      </c>
      <c r="CG22" s="89">
        <v>25.775939887317115</v>
      </c>
      <c r="CH22" s="89">
        <v>21.432535647290099</v>
      </c>
      <c r="CI22" s="89">
        <v>20.748348495926265</v>
      </c>
      <c r="CJ22" s="89">
        <v>23.463023986807137</v>
      </c>
      <c r="CK22" s="89">
        <v>25.657600247082573</v>
      </c>
      <c r="CL22" s="89">
        <v>23.005542115709584</v>
      </c>
      <c r="CM22" s="89">
        <v>19.190169917163914</v>
      </c>
      <c r="CN22" s="89">
        <v>20.668432110556783</v>
      </c>
      <c r="CO22" s="89">
        <v>22.406794673996384</v>
      </c>
      <c r="CP22" s="89">
        <v>21.390186721346602</v>
      </c>
      <c r="CQ22" s="89">
        <v>24.764556827251901</v>
      </c>
      <c r="CR22" s="89">
        <v>24.240873925616192</v>
      </c>
      <c r="CS22" s="89">
        <v>22.240537793567238</v>
      </c>
      <c r="CT22" s="89">
        <v>22.740772956798491</v>
      </c>
      <c r="CU22" s="89">
        <v>20.144948886040176</v>
      </c>
      <c r="CV22" s="89">
        <v>23.449843605349926</v>
      </c>
      <c r="CW22" s="89">
        <v>24.882958377951411</v>
      </c>
      <c r="CX22" s="89">
        <v>23.672130774853663</v>
      </c>
      <c r="CY22" s="89">
        <v>18.398434296835095</v>
      </c>
      <c r="CZ22" s="89">
        <v>18.876251086351242</v>
      </c>
      <c r="DA22" s="89">
        <v>27.837759823168007</v>
      </c>
      <c r="DB22" s="89">
        <v>27.089348126818415</v>
      </c>
      <c r="DC22" s="89">
        <v>28.258443107149169</v>
      </c>
      <c r="DD22" s="89">
        <v>23.197863793199474</v>
      </c>
      <c r="DE22" s="89">
        <v>26.141959272357457</v>
      </c>
      <c r="DF22" s="89">
        <v>24.523687946311238</v>
      </c>
      <c r="DG22" s="89">
        <v>23.066574952758003</v>
      </c>
      <c r="DH22" s="89">
        <v>27.913024444923657</v>
      </c>
      <c r="DI22" s="89">
        <v>20.476380512588904</v>
      </c>
      <c r="DJ22" s="89">
        <v>22.31279468150764</v>
      </c>
      <c r="DK22" s="89">
        <v>18.1253498387699</v>
      </c>
      <c r="DL22" s="89">
        <v>22.729472468247252</v>
      </c>
      <c r="DM22" s="89">
        <v>23.11147393904001</v>
      </c>
      <c r="DN22" s="89">
        <v>21.563546012248789</v>
      </c>
      <c r="DO22" s="89">
        <v>23.554741401151716</v>
      </c>
      <c r="DP22" s="89">
        <v>23.311767248065518</v>
      </c>
      <c r="DQ22" s="89">
        <v>24.850245956218625</v>
      </c>
      <c r="DR22" s="89">
        <v>23.730279371252852</v>
      </c>
      <c r="DS22" s="89">
        <v>25.13356184983882</v>
      </c>
      <c r="DT22" s="89">
        <v>26.141046809733449</v>
      </c>
      <c r="DU22" s="89">
        <v>20.904230315520529</v>
      </c>
      <c r="DV22" s="89">
        <v>33.466014526291282</v>
      </c>
      <c r="DW22" s="89">
        <v>17.409746999802451</v>
      </c>
      <c r="DX22" s="89">
        <v>24.758765948674395</v>
      </c>
      <c r="DY22" s="89">
        <v>26.469008665392423</v>
      </c>
      <c r="DZ22" s="89">
        <v>20.622032350597067</v>
      </c>
      <c r="EA22" s="89">
        <v>21.25674178401675</v>
      </c>
      <c r="EB22" s="89">
        <v>26.952683350270839</v>
      </c>
      <c r="EC22" s="89">
        <v>20.656128052658008</v>
      </c>
      <c r="ED22" s="89">
        <v>22.394209782886591</v>
      </c>
      <c r="EE22" s="89">
        <v>24.966608861119219</v>
      </c>
      <c r="EF22" s="89">
        <v>23.025357438945594</v>
      </c>
      <c r="EG22" s="89">
        <v>21.909346946775759</v>
      </c>
      <c r="EH22" s="89">
        <v>23.907815897633782</v>
      </c>
      <c r="EI22" s="89">
        <v>22.196870060933652</v>
      </c>
      <c r="EJ22" s="89">
        <v>26.270299155852548</v>
      </c>
      <c r="EK22" s="89">
        <v>18.759339331487826</v>
      </c>
      <c r="EL22" s="89">
        <v>22.382797116516546</v>
      </c>
      <c r="EM22" s="89">
        <v>20.862971602588615</v>
      </c>
      <c r="EN22" s="89">
        <v>24.401453991194195</v>
      </c>
      <c r="EO22" s="89">
        <v>21.868882186336847</v>
      </c>
      <c r="EP22" s="89">
        <v>28.054861467109593</v>
      </c>
      <c r="EQ22" s="89">
        <v>29.412638958055293</v>
      </c>
      <c r="ER22" s="89">
        <v>27.998361945335237</v>
      </c>
      <c r="ES22" s="89">
        <v>29.083957599554161</v>
      </c>
      <c r="ET22" s="89">
        <v>26.056671490391224</v>
      </c>
      <c r="EU22" s="89">
        <v>20.663653648446051</v>
      </c>
      <c r="EV22" s="89">
        <v>23.736055324655599</v>
      </c>
      <c r="EW22" s="89">
        <v>25.188834647811703</v>
      </c>
      <c r="EX22" s="89">
        <v>26.841635151540533</v>
      </c>
      <c r="EY22" s="89">
        <v>30.884926377648913</v>
      </c>
      <c r="EZ22" s="89">
        <v>26.809180511943541</v>
      </c>
      <c r="FA22" s="89">
        <v>23.468583435821593</v>
      </c>
      <c r="FB22" s="89">
        <v>23.665421221861489</v>
      </c>
      <c r="FC22" s="89">
        <v>23.273003396708468</v>
      </c>
      <c r="FD22" s="89">
        <v>19.532332434830764</v>
      </c>
      <c r="FE22" s="89">
        <v>16.710750008863052</v>
      </c>
      <c r="FF22" s="89">
        <v>25.028869701488354</v>
      </c>
      <c r="FG22" s="89">
        <v>15.43333590567833</v>
      </c>
      <c r="FH22" s="89">
        <v>19.184437014945516</v>
      </c>
      <c r="FI22" s="89">
        <v>24.646390646174588</v>
      </c>
      <c r="FJ22" s="89">
        <v>21.810662238851457</v>
      </c>
      <c r="FK22" s="89">
        <v>22.669458458211519</v>
      </c>
      <c r="FL22" s="89">
        <v>25.412104400401002</v>
      </c>
      <c r="FM22" s="89">
        <v>24.630244329832323</v>
      </c>
      <c r="FN22" s="89">
        <v>28.608317574863936</v>
      </c>
      <c r="FO22" s="89">
        <v>23.735576839945509</v>
      </c>
      <c r="FP22" s="89">
        <v>25.031684544364335</v>
      </c>
      <c r="FQ22" s="89">
        <v>22.530203373102278</v>
      </c>
      <c r="FR22" s="89">
        <v>22.79350284404067</v>
      </c>
      <c r="FS22" s="89">
        <v>17.450616227342437</v>
      </c>
      <c r="FT22" s="89">
        <v>19.54917615418697</v>
      </c>
      <c r="FU22" s="89">
        <v>19.335071454319433</v>
      </c>
      <c r="FV22" s="89">
        <v>21.386787676931249</v>
      </c>
      <c r="FW22" s="89">
        <v>24.095664170060321</v>
      </c>
      <c r="FX22" s="89">
        <v>26.830590287176953</v>
      </c>
      <c r="FY22" s="89">
        <v>22.707755321095998</v>
      </c>
      <c r="FZ22" s="89">
        <v>29.555593314016388</v>
      </c>
      <c r="GA22" s="89">
        <v>24.10614890982173</v>
      </c>
      <c r="GB22" s="89">
        <v>24.383337581320813</v>
      </c>
      <c r="GC22" s="89">
        <v>25.190199646772044</v>
      </c>
      <c r="GD22" s="89">
        <v>22.135888910328379</v>
      </c>
      <c r="GE22" s="89">
        <v>20.570083285416953</v>
      </c>
      <c r="GF22" s="89">
        <v>21.508010602178544</v>
      </c>
      <c r="GG22" s="89">
        <v>18.668777773266427</v>
      </c>
      <c r="GH22" s="89">
        <v>23.081543398532155</v>
      </c>
      <c r="GI22" s="89">
        <v>23.251228784788555</v>
      </c>
      <c r="GJ22" s="89">
        <v>22.593499623524472</v>
      </c>
      <c r="GK22" s="89">
        <v>23.588191734654721</v>
      </c>
      <c r="GL22" s="89">
        <v>23.428637688930365</v>
      </c>
      <c r="GM22" s="89">
        <v>18.436331741661601</v>
      </c>
      <c r="GN22" s="89">
        <v>20.999680177396009</v>
      </c>
      <c r="GO22" s="89">
        <v>20.669946846169811</v>
      </c>
      <c r="GP22" s="89">
        <v>21.562657188967176</v>
      </c>
      <c r="GQ22" s="89">
        <v>20.631514215661131</v>
      </c>
      <c r="GR22" s="89">
        <v>20.892281348936613</v>
      </c>
      <c r="GS22" s="89">
        <v>17.99153028018835</v>
      </c>
      <c r="GT22" s="89">
        <v>19.309081519786698</v>
      </c>
      <c r="GU22" s="89">
        <v>23.156971296765278</v>
      </c>
      <c r="GV22" s="89">
        <v>21.769220523402073</v>
      </c>
      <c r="GW22" s="89">
        <v>25.685729075041319</v>
      </c>
      <c r="GX22" s="89">
        <v>24.269892052743266</v>
      </c>
      <c r="GY22" s="89">
        <v>24.85121635184392</v>
      </c>
      <c r="GZ22" s="89">
        <v>27.830017260339158</v>
      </c>
      <c r="HA22" s="89">
        <v>26.063125341583138</v>
      </c>
      <c r="HB22" s="89">
        <v>23.656177022176202</v>
      </c>
      <c r="HC22" s="89">
        <v>21.268324071763008</v>
      </c>
      <c r="HD22" s="89">
        <v>22.786398594416546</v>
      </c>
      <c r="HE22" s="89">
        <v>23.435581148498965</v>
      </c>
      <c r="HF22" s="89">
        <v>18.703057030931546</v>
      </c>
      <c r="HG22" s="89">
        <v>22.954755088698285</v>
      </c>
      <c r="HH22" s="89">
        <v>22.166492041864906</v>
      </c>
      <c r="HI22" s="89">
        <v>23.133854158276552</v>
      </c>
      <c r="HJ22" s="89">
        <v>20.04609658002968</v>
      </c>
      <c r="HK22" s="89">
        <v>18.11408368095972</v>
      </c>
      <c r="HL22" s="89">
        <v>22.397150727940282</v>
      </c>
      <c r="HM22" s="89">
        <v>20.769163310159847</v>
      </c>
      <c r="HN22" s="89">
        <v>22.508553998275399</v>
      </c>
      <c r="HO22" s="89">
        <v>19.270346648954469</v>
      </c>
      <c r="HP22" s="89">
        <v>19.928941678912317</v>
      </c>
      <c r="HQ22" s="89">
        <v>16.022118646287957</v>
      </c>
      <c r="HR22" s="89">
        <v>12.57737</v>
      </c>
      <c r="HS22" s="89">
        <v>18.2498</v>
      </c>
      <c r="HT22" s="89">
        <v>15.36677807247891</v>
      </c>
      <c r="HU22" s="89">
        <v>21.160258171782818</v>
      </c>
      <c r="HV22" s="89">
        <v>18.524374308925001</v>
      </c>
      <c r="HW22" s="89">
        <v>16.463739183156669</v>
      </c>
      <c r="HX22" s="89">
        <v>14.27825462897906</v>
      </c>
      <c r="HY22" s="89">
        <v>14.432401942449971</v>
      </c>
      <c r="HZ22" s="89">
        <v>15.932892649274109</v>
      </c>
      <c r="IA22" s="89">
        <v>17.88457025221377</v>
      </c>
      <c r="IB22" s="89">
        <v>14.517906698068899</v>
      </c>
      <c r="IC22" s="89">
        <v>17.929863979074071</v>
      </c>
      <c r="ID22" s="89">
        <v>16.802554188178309</v>
      </c>
      <c r="IE22" s="89">
        <v>18.921811310170618</v>
      </c>
      <c r="IF22" s="89">
        <v>20.90331055962605</v>
      </c>
      <c r="IG22" s="89">
        <v>23.246518555433937</v>
      </c>
      <c r="IH22" s="89">
        <v>19.372498184031549</v>
      </c>
      <c r="II22" s="89">
        <v>19.38602734271198</v>
      </c>
      <c r="IJ22" s="89">
        <v>19.371306632608359</v>
      </c>
      <c r="IK22" s="89">
        <v>15.56509372155892</v>
      </c>
      <c r="IL22" s="89">
        <v>16.61637939029568</v>
      </c>
      <c r="IM22" s="89">
        <v>18.205102249852828</v>
      </c>
      <c r="IN22" s="89">
        <v>19.41419456876892</v>
      </c>
      <c r="IO22" s="89">
        <v>14.95428047315978</v>
      </c>
      <c r="IP22" s="89">
        <v>18.800330182442067</v>
      </c>
      <c r="IQ22" s="89">
        <v>17.789154354260162</v>
      </c>
      <c r="IR22" s="89">
        <v>17.587057116849053</v>
      </c>
      <c r="IS22" s="89">
        <v>17.9247219170453</v>
      </c>
      <c r="IT22" s="89">
        <v>21.900174388559819</v>
      </c>
      <c r="IU22" s="89">
        <v>22.50091644404537</v>
      </c>
      <c r="IV22" s="89">
        <f t="shared" ref="IV22" si="5">+IV23+IV24+IV25</f>
        <v>20.234580917624303</v>
      </c>
      <c r="IW22" s="89">
        <v>21.584897099228719</v>
      </c>
      <c r="IX22" s="89">
        <v>20.61935703379617</v>
      </c>
      <c r="IY22" s="89">
        <v>17.648897515090201</v>
      </c>
      <c r="IZ22" s="89">
        <v>19.620744028619129</v>
      </c>
      <c r="JA22" s="89">
        <v>19.152708844728771</v>
      </c>
      <c r="JB22" s="89">
        <v>22.592196598124843</v>
      </c>
      <c r="JC22" s="89">
        <v>23.535489666050861</v>
      </c>
      <c r="JD22" s="89">
        <v>21.03667382348327</v>
      </c>
      <c r="JE22" s="89">
        <v>21.115154823847242</v>
      </c>
      <c r="JF22" s="89">
        <v>18.007474135866708</v>
      </c>
      <c r="JG22" s="89">
        <v>22.218918853852301</v>
      </c>
      <c r="JH22" s="89">
        <v>22.061809322116691</v>
      </c>
      <c r="JI22" s="89">
        <v>22.576628825225189</v>
      </c>
      <c r="JJ22" s="89">
        <v>21.938336527888961</v>
      </c>
      <c r="JK22" s="89">
        <v>18.711517600051309</v>
      </c>
      <c r="JL22" s="89">
        <v>19.49868136185875</v>
      </c>
      <c r="JM22" s="89">
        <v>18.96914054931446</v>
      </c>
      <c r="JN22" s="89">
        <v>18.674533973991842</v>
      </c>
      <c r="JO22" s="89">
        <v>22.304331022662538</v>
      </c>
      <c r="JP22" s="89">
        <v>18.945705157178217</v>
      </c>
      <c r="JQ22" s="89">
        <v>22.284249618086871</v>
      </c>
      <c r="JR22" s="89">
        <v>21.177016320454509</v>
      </c>
      <c r="JS22" s="89">
        <v>21.34563400258811</v>
      </c>
      <c r="JT22" s="89">
        <v>21.853550108318331</v>
      </c>
      <c r="JU22" s="89">
        <v>23.440785592851093</v>
      </c>
      <c r="JV22" s="89">
        <v>22.45290678617981</v>
      </c>
      <c r="JW22" s="89">
        <v>20.918391205448202</v>
      </c>
      <c r="JX22" s="89">
        <v>20.996811904759472</v>
      </c>
      <c r="JY22" s="89">
        <v>21.394321900176671</v>
      </c>
      <c r="JZ22" s="89">
        <v>18.98184965849315</v>
      </c>
      <c r="KA22" s="89">
        <v>22.396878665322198</v>
      </c>
      <c r="KB22" s="89">
        <v>20.436304535751837</v>
      </c>
      <c r="KC22" s="89">
        <v>23.360439852423031</v>
      </c>
      <c r="KD22" s="89">
        <v>21.31793746884291</v>
      </c>
      <c r="KE22" s="89">
        <v>22.159791261975258</v>
      </c>
      <c r="KF22" s="215">
        <v>22.050101246239343</v>
      </c>
      <c r="KG22" s="215">
        <v>21.461210296394139</v>
      </c>
      <c r="KH22" s="215">
        <v>19.984828100765721</v>
      </c>
      <c r="KI22" s="215">
        <v>20.179505295467958</v>
      </c>
      <c r="KJ22" s="215">
        <v>20.81274218006007</v>
      </c>
      <c r="KK22" s="215">
        <v>18.02910259869186</v>
      </c>
      <c r="KL22" s="215">
        <v>18.200407433222619</v>
      </c>
      <c r="KM22" s="215">
        <v>24.690650330749659</v>
      </c>
      <c r="KN22" s="215">
        <v>26.3333512943728</v>
      </c>
      <c r="KO22" s="215">
        <v>26.739580093561031</v>
      </c>
    </row>
    <row r="23" spans="1:301" s="77" customFormat="1" ht="18" customHeight="1">
      <c r="A23" s="78"/>
      <c r="B23" s="92" t="s">
        <v>164</v>
      </c>
      <c r="C23" s="91" t="s">
        <v>8</v>
      </c>
      <c r="D23" s="91" t="s">
        <v>8</v>
      </c>
      <c r="E23" s="91" t="s">
        <v>8</v>
      </c>
      <c r="F23" s="91" t="s">
        <v>8</v>
      </c>
      <c r="G23" s="91" t="s">
        <v>8</v>
      </c>
      <c r="H23" s="91" t="s">
        <v>8</v>
      </c>
      <c r="I23" s="91" t="s">
        <v>8</v>
      </c>
      <c r="J23" s="91" t="s">
        <v>8</v>
      </c>
      <c r="K23" s="91" t="s">
        <v>8</v>
      </c>
      <c r="L23" s="91" t="s">
        <v>8</v>
      </c>
      <c r="M23" s="91" t="s">
        <v>8</v>
      </c>
      <c r="N23" s="91" t="s">
        <v>8</v>
      </c>
      <c r="O23" s="91" t="s">
        <v>8</v>
      </c>
      <c r="P23" s="91" t="s">
        <v>8</v>
      </c>
      <c r="Q23" s="91" t="s">
        <v>8</v>
      </c>
      <c r="R23" s="91" t="s">
        <v>8</v>
      </c>
      <c r="S23" s="91" t="s">
        <v>8</v>
      </c>
      <c r="T23" s="91" t="s">
        <v>8</v>
      </c>
      <c r="U23" s="91" t="s">
        <v>8</v>
      </c>
      <c r="V23" s="91" t="s">
        <v>8</v>
      </c>
      <c r="W23" s="91" t="s">
        <v>8</v>
      </c>
      <c r="X23" s="91" t="s">
        <v>8</v>
      </c>
      <c r="Y23" s="91" t="s">
        <v>8</v>
      </c>
      <c r="Z23" s="91" t="s">
        <v>8</v>
      </c>
      <c r="AA23" s="91" t="s">
        <v>8</v>
      </c>
      <c r="AB23" s="91" t="s">
        <v>8</v>
      </c>
      <c r="AC23" s="91" t="s">
        <v>8</v>
      </c>
      <c r="AD23" s="91" t="s">
        <v>8</v>
      </c>
      <c r="AE23" s="91" t="s">
        <v>8</v>
      </c>
      <c r="AF23" s="91" t="s">
        <v>8</v>
      </c>
      <c r="AG23" s="91" t="s">
        <v>8</v>
      </c>
      <c r="AH23" s="91" t="s">
        <v>8</v>
      </c>
      <c r="AI23" s="91" t="s">
        <v>8</v>
      </c>
      <c r="AJ23" s="91" t="s">
        <v>8</v>
      </c>
      <c r="AK23" s="91" t="s">
        <v>8</v>
      </c>
      <c r="AL23" s="91" t="s">
        <v>8</v>
      </c>
      <c r="AM23" s="91" t="s">
        <v>8</v>
      </c>
      <c r="AN23" s="91" t="s">
        <v>8</v>
      </c>
      <c r="AO23" s="91" t="s">
        <v>8</v>
      </c>
      <c r="AP23" s="91"/>
      <c r="AQ23" s="91"/>
      <c r="AR23" s="91" t="s">
        <v>8</v>
      </c>
      <c r="AS23" s="80">
        <v>19.827584299999998</v>
      </c>
      <c r="AT23" s="80">
        <v>18.091756699999998</v>
      </c>
      <c r="AU23" s="80">
        <v>15.5566602</v>
      </c>
      <c r="AV23" s="80">
        <v>11.236440379999999</v>
      </c>
      <c r="AW23" s="80">
        <v>14.693472100000001</v>
      </c>
      <c r="AX23" s="80">
        <v>11.624347799999999</v>
      </c>
      <c r="AY23" s="80">
        <v>10.1589118</v>
      </c>
      <c r="AZ23" s="80">
        <v>15.427968</v>
      </c>
      <c r="BA23" s="80">
        <v>12.442959</v>
      </c>
      <c r="BB23" s="80">
        <v>4.7979533999999999</v>
      </c>
      <c r="BC23" s="80">
        <v>6.2321179999999998</v>
      </c>
      <c r="BD23" s="80">
        <v>4.5687253999999999</v>
      </c>
      <c r="BE23" s="80">
        <v>7.7845883140000005</v>
      </c>
      <c r="BF23" s="80">
        <v>10.068135099999999</v>
      </c>
      <c r="BG23" s="80">
        <v>7.2207242300000001</v>
      </c>
      <c r="BH23" s="80">
        <v>6.8503984000000004</v>
      </c>
      <c r="BI23" s="80">
        <v>8.9377099999999992</v>
      </c>
      <c r="BJ23" s="80">
        <v>9.2522183099999999</v>
      </c>
      <c r="BK23" s="80">
        <v>7.5101357405875548</v>
      </c>
      <c r="BL23" s="80">
        <v>5.4427626852369064</v>
      </c>
      <c r="BM23" s="80">
        <v>7.7032795424574747</v>
      </c>
      <c r="BN23" s="80">
        <v>7.1666048632135535</v>
      </c>
      <c r="BO23" s="80">
        <v>5.8526884051883608</v>
      </c>
      <c r="BP23" s="80">
        <v>5.1422752909572971</v>
      </c>
      <c r="BQ23" s="80">
        <v>4.8170822186351065</v>
      </c>
      <c r="BR23" s="80">
        <v>5.8636525058801192</v>
      </c>
      <c r="BS23" s="80">
        <v>4.6073568477275044</v>
      </c>
      <c r="BT23" s="80">
        <v>5.4996122235158724</v>
      </c>
      <c r="BU23" s="80">
        <v>7.2257728766605567</v>
      </c>
      <c r="BV23" s="80">
        <v>6.7345607710285877</v>
      </c>
      <c r="BW23" s="80">
        <v>5.8229426703209661</v>
      </c>
      <c r="BX23" s="80">
        <v>8.2965257077012282</v>
      </c>
      <c r="BY23" s="80">
        <v>3.2681965750590312</v>
      </c>
      <c r="BZ23" s="80">
        <v>4.9620990541182026</v>
      </c>
      <c r="CA23" s="80">
        <v>5.5532803851098782</v>
      </c>
      <c r="CB23" s="80">
        <v>4.8157268061039566</v>
      </c>
      <c r="CC23" s="80">
        <v>6.430445243350305</v>
      </c>
      <c r="CD23" s="80">
        <v>5.789091895989098</v>
      </c>
      <c r="CE23" s="80">
        <v>4.3729194546879722</v>
      </c>
      <c r="CF23" s="80">
        <v>4.7421115656918378</v>
      </c>
      <c r="CG23" s="80">
        <v>7.6196440473051368</v>
      </c>
      <c r="CH23" s="80">
        <v>5.134297028441452</v>
      </c>
      <c r="CI23" s="80">
        <v>5.6306485373738129</v>
      </c>
      <c r="CJ23" s="80">
        <v>5.9936823281387683</v>
      </c>
      <c r="CK23" s="80">
        <v>8.7673018130801132</v>
      </c>
      <c r="CL23" s="80">
        <v>6.6207353376947911</v>
      </c>
      <c r="CM23" s="80">
        <v>5.1076535009012947</v>
      </c>
      <c r="CN23" s="80">
        <v>5.9763119367431266</v>
      </c>
      <c r="CO23" s="80">
        <v>5.797735770189794</v>
      </c>
      <c r="CP23" s="80">
        <v>8.1070493785007951</v>
      </c>
      <c r="CQ23" s="80">
        <v>8.2995987001729326</v>
      </c>
      <c r="CR23" s="80">
        <v>7.3596340758499075</v>
      </c>
      <c r="CS23" s="80">
        <v>6.1467633561428361</v>
      </c>
      <c r="CT23" s="80">
        <v>4.9324946151302065</v>
      </c>
      <c r="CU23" s="80">
        <v>4.2642753319448055</v>
      </c>
      <c r="CV23" s="80">
        <v>7.7430277203986559</v>
      </c>
      <c r="CW23" s="80">
        <v>6.9531759361757626</v>
      </c>
      <c r="CX23" s="80">
        <v>5.666840186451692</v>
      </c>
      <c r="CY23" s="80">
        <v>6.3366292195792537</v>
      </c>
      <c r="CZ23" s="80">
        <v>4.2555724701367623</v>
      </c>
      <c r="DA23" s="80">
        <v>5.9711973438422428</v>
      </c>
      <c r="DB23" s="80">
        <v>7.4705813127878313</v>
      </c>
      <c r="DC23" s="80">
        <v>7.6767423371845531</v>
      </c>
      <c r="DD23" s="80">
        <v>6.3283091681138357</v>
      </c>
      <c r="DE23" s="80">
        <v>7.6700981664623038</v>
      </c>
      <c r="DF23" s="80">
        <v>5.7566688644916937</v>
      </c>
      <c r="DG23" s="80">
        <v>5.1602978467142195</v>
      </c>
      <c r="DH23" s="80">
        <v>4.7126542513650342</v>
      </c>
      <c r="DI23" s="80">
        <v>5.8213809272387271</v>
      </c>
      <c r="DJ23" s="80">
        <v>5.2002055968523964</v>
      </c>
      <c r="DK23" s="80">
        <v>7.1505980578021209</v>
      </c>
      <c r="DL23" s="80">
        <v>3.2394024324994302</v>
      </c>
      <c r="DM23" s="80">
        <v>5.6416419214955651</v>
      </c>
      <c r="DN23" s="80">
        <v>5.2608596404492047</v>
      </c>
      <c r="DO23" s="80">
        <v>7.3622377258616121</v>
      </c>
      <c r="DP23" s="80">
        <v>6.7067653991637055</v>
      </c>
      <c r="DQ23" s="80">
        <v>6.5342010154344443</v>
      </c>
      <c r="DR23" s="80">
        <v>5.3496693600748353</v>
      </c>
      <c r="DS23" s="80">
        <v>4.2607240112520355</v>
      </c>
      <c r="DT23" s="80">
        <v>5.8756494845600287</v>
      </c>
      <c r="DU23" s="80">
        <v>5.7500980421258401</v>
      </c>
      <c r="DV23" s="80">
        <v>15.030651514108136</v>
      </c>
      <c r="DW23" s="80">
        <v>3.846609021892164</v>
      </c>
      <c r="DX23" s="80">
        <v>10.443429599409681</v>
      </c>
      <c r="DY23" s="80">
        <v>7.2808936811486769</v>
      </c>
      <c r="DZ23" s="80">
        <v>6.1440738961991581</v>
      </c>
      <c r="EA23" s="80">
        <v>6.3836126949297203</v>
      </c>
      <c r="EB23" s="80">
        <v>7.3737864990927608</v>
      </c>
      <c r="EC23" s="80">
        <v>6.2105517759938964</v>
      </c>
      <c r="ED23" s="80">
        <v>6.6547230234011394</v>
      </c>
      <c r="EE23" s="80">
        <v>6.5011562052396723</v>
      </c>
      <c r="EF23" s="80">
        <v>6.3112701163822118</v>
      </c>
      <c r="EG23" s="80">
        <v>6.202902498379248</v>
      </c>
      <c r="EH23" s="80">
        <v>8.1990780850252811</v>
      </c>
      <c r="EI23" s="80">
        <v>7.2810344831834222</v>
      </c>
      <c r="EJ23" s="80">
        <v>6.8825222440509091</v>
      </c>
      <c r="EK23" s="80">
        <v>5.6095906458453735</v>
      </c>
      <c r="EL23" s="80">
        <v>7.5018460044233954</v>
      </c>
      <c r="EM23" s="80">
        <v>5.7671323609986569</v>
      </c>
      <c r="EN23" s="80">
        <v>6.9925160326605802</v>
      </c>
      <c r="EO23" s="80">
        <v>6.5659948568525088</v>
      </c>
      <c r="EP23" s="80">
        <v>10.35799529420083</v>
      </c>
      <c r="EQ23" s="80">
        <v>9.776127680881789</v>
      </c>
      <c r="ER23" s="80">
        <v>7.6746056671541361</v>
      </c>
      <c r="ES23" s="80">
        <v>9.5318271484915513</v>
      </c>
      <c r="ET23" s="80">
        <v>8.9509164745316596</v>
      </c>
      <c r="EU23" s="80">
        <v>5.0906547476425263</v>
      </c>
      <c r="EV23" s="80">
        <v>6.4418210845651567</v>
      </c>
      <c r="EW23" s="80">
        <v>7.1390667957136404</v>
      </c>
      <c r="EX23" s="80">
        <v>7.0878906446868495</v>
      </c>
      <c r="EY23" s="80">
        <v>6.1159660516688072</v>
      </c>
      <c r="EZ23" s="80">
        <v>6.5347237307927299</v>
      </c>
      <c r="FA23" s="80">
        <v>6.6412549844093585</v>
      </c>
      <c r="FB23" s="80">
        <v>9.9914853041682772</v>
      </c>
      <c r="FC23" s="80">
        <v>8.7317748216763018</v>
      </c>
      <c r="FD23" s="80">
        <v>7.6769826601939624</v>
      </c>
      <c r="FE23" s="80">
        <v>3.8462914275490117</v>
      </c>
      <c r="FF23" s="80">
        <v>6.328482956017691</v>
      </c>
      <c r="FG23" s="80">
        <v>2.6257217018360901</v>
      </c>
      <c r="FH23" s="80">
        <v>4.4229496617397697</v>
      </c>
      <c r="FI23" s="80">
        <v>5.0428104069838096</v>
      </c>
      <c r="FJ23" s="80">
        <v>6.6741210451167747</v>
      </c>
      <c r="FK23" s="80">
        <v>7.0340067460223139</v>
      </c>
      <c r="FL23" s="80">
        <v>7.5155113212536584</v>
      </c>
      <c r="FM23" s="80">
        <v>7.8811750511660357</v>
      </c>
      <c r="FN23" s="80">
        <v>8.5398900807435574</v>
      </c>
      <c r="FO23" s="80">
        <v>8.0126562838973516</v>
      </c>
      <c r="FP23" s="80">
        <v>8.3987190453924061</v>
      </c>
      <c r="FQ23" s="80">
        <v>6.6374727884739944</v>
      </c>
      <c r="FR23" s="80">
        <v>6.7863015880407236</v>
      </c>
      <c r="FS23" s="80">
        <v>3.8439910460628792</v>
      </c>
      <c r="FT23" s="80">
        <v>5.2424850889181531</v>
      </c>
      <c r="FU23" s="80">
        <v>5.173383648771531</v>
      </c>
      <c r="FV23" s="80">
        <v>4.95487085847794</v>
      </c>
      <c r="FW23" s="80">
        <v>7.2454006798002206</v>
      </c>
      <c r="FX23" s="80">
        <v>8.4912461509873705</v>
      </c>
      <c r="FY23" s="80">
        <v>6.2013268515238158</v>
      </c>
      <c r="FZ23" s="80">
        <v>9.1045815612407957</v>
      </c>
      <c r="GA23" s="80">
        <v>8.6467607259216859</v>
      </c>
      <c r="GB23" s="80">
        <v>7.6616158980573665</v>
      </c>
      <c r="GC23" s="80">
        <v>6.7008404760588043</v>
      </c>
      <c r="GD23" s="80">
        <v>6.5350747769143878</v>
      </c>
      <c r="GE23" s="80">
        <v>6.0417751996872928</v>
      </c>
      <c r="GF23" s="80">
        <v>4.8540015199266682</v>
      </c>
      <c r="GG23" s="80">
        <v>5.012887174076619</v>
      </c>
      <c r="GH23" s="80">
        <v>5.8106756814864662</v>
      </c>
      <c r="GI23" s="80">
        <v>6.4367600499542057</v>
      </c>
      <c r="GJ23" s="80">
        <v>7.2233219335348666</v>
      </c>
      <c r="GK23" s="80">
        <v>7.2363042405816174</v>
      </c>
      <c r="GL23" s="80">
        <v>7.4959873447909979</v>
      </c>
      <c r="GM23" s="80">
        <v>3.7577681975144355</v>
      </c>
      <c r="GN23" s="80">
        <v>4.3061788541621038</v>
      </c>
      <c r="GO23" s="80">
        <v>4.1919906112300396</v>
      </c>
      <c r="GP23" s="80">
        <v>5.5139478509730697</v>
      </c>
      <c r="GQ23" s="80">
        <v>3.4082644469063021</v>
      </c>
      <c r="GR23" s="80">
        <v>6.4426705200369003</v>
      </c>
      <c r="GS23" s="80">
        <v>4.4015061148742376</v>
      </c>
      <c r="GT23" s="80">
        <v>4.4160270078969708</v>
      </c>
      <c r="GU23" s="80">
        <v>5.6887319466365227</v>
      </c>
      <c r="GV23" s="80">
        <v>6.7158025550027629</v>
      </c>
      <c r="GW23" s="80">
        <v>5.9121155295062344</v>
      </c>
      <c r="GX23" s="80">
        <v>6.6161982246261033</v>
      </c>
      <c r="GY23" s="80">
        <v>8.0497913719881424</v>
      </c>
      <c r="GZ23" s="80">
        <v>8.0424426746633859</v>
      </c>
      <c r="HA23" s="80">
        <v>6.1452963393197999</v>
      </c>
      <c r="HB23" s="80">
        <v>5.6492777793050255</v>
      </c>
      <c r="HC23" s="80">
        <v>5.2747362517125831</v>
      </c>
      <c r="HD23" s="80">
        <v>4.6625873459740026</v>
      </c>
      <c r="HE23" s="80">
        <v>5.8855904842143687</v>
      </c>
      <c r="HF23" s="80">
        <v>3.9678741014031758</v>
      </c>
      <c r="HG23" s="80">
        <v>6.178150042373348</v>
      </c>
      <c r="HH23" s="80">
        <v>7.3602731967966779</v>
      </c>
      <c r="HI23" s="80">
        <v>7.3391048706526503</v>
      </c>
      <c r="HJ23" s="80">
        <v>5.5855058421200168</v>
      </c>
      <c r="HK23" s="80">
        <v>4.0963763760229597</v>
      </c>
      <c r="HL23" s="80">
        <v>8.7946538791815243</v>
      </c>
      <c r="HM23" s="80">
        <v>6.8354605745032497</v>
      </c>
      <c r="HN23" s="80">
        <v>6.2050161460022348</v>
      </c>
      <c r="HO23" s="80">
        <v>4.6149311119826439</v>
      </c>
      <c r="HP23" s="80">
        <v>3.5646360564768482</v>
      </c>
      <c r="HQ23" s="80">
        <v>3.9888060964012908</v>
      </c>
      <c r="HR23" s="80">
        <v>1.65981</v>
      </c>
      <c r="HS23" s="80">
        <v>6.45242</v>
      </c>
      <c r="HT23" s="80">
        <v>2.5064870414736902</v>
      </c>
      <c r="HU23" s="80">
        <v>3.33865384475083</v>
      </c>
      <c r="HV23" s="80">
        <v>2.8277877603672699</v>
      </c>
      <c r="HW23" s="80">
        <v>4.3000874487369201</v>
      </c>
      <c r="HX23" s="80">
        <v>1.90891387876028</v>
      </c>
      <c r="HY23" s="80">
        <v>3.56483182160965</v>
      </c>
      <c r="HZ23" s="80">
        <v>2.4374527309289999</v>
      </c>
      <c r="IA23" s="80">
        <v>2.6495928921792502</v>
      </c>
      <c r="IB23" s="80">
        <v>2.5023528577877898</v>
      </c>
      <c r="IC23" s="80">
        <v>2.5024691513959798</v>
      </c>
      <c r="ID23" s="80">
        <v>2.6640161901920401</v>
      </c>
      <c r="IE23" s="80">
        <v>1.9590563536301699</v>
      </c>
      <c r="IF23" s="80">
        <v>1.8846616063883399</v>
      </c>
      <c r="IG23" s="80">
        <v>2.1863648698312699</v>
      </c>
      <c r="IH23" s="80">
        <v>1.21792692773251</v>
      </c>
      <c r="II23" s="80">
        <v>2.3818037968160701</v>
      </c>
      <c r="IJ23" s="80">
        <v>1.4426831434688001</v>
      </c>
      <c r="IK23" s="80">
        <v>0.90374581581193003</v>
      </c>
      <c r="IL23" s="80">
        <v>1.36105030324878</v>
      </c>
      <c r="IM23" s="80">
        <v>1.10708264338065</v>
      </c>
      <c r="IN23" s="80">
        <v>1.78035154297285</v>
      </c>
      <c r="IO23" s="80">
        <v>1.4632139701230999</v>
      </c>
      <c r="IP23" s="80">
        <v>2.93188708197117</v>
      </c>
      <c r="IQ23" s="80">
        <v>1.6303991912318001</v>
      </c>
      <c r="IR23" s="80">
        <v>2.8365954552150798</v>
      </c>
      <c r="IS23" s="80">
        <v>2.2152587355958899</v>
      </c>
      <c r="IT23" s="80">
        <v>3.2900024136016701</v>
      </c>
      <c r="IU23" s="80">
        <v>4.1550864977117596</v>
      </c>
      <c r="IV23" s="80">
        <v>3.5819185350341902</v>
      </c>
      <c r="IW23" s="80">
        <v>2.6014076416135801</v>
      </c>
      <c r="IX23" s="80">
        <v>3.4487622043297601</v>
      </c>
      <c r="IY23" s="80">
        <v>3.8573452935379899</v>
      </c>
      <c r="IZ23" s="80">
        <v>2.01667495987888</v>
      </c>
      <c r="JA23" s="80">
        <v>2.75879995401315</v>
      </c>
      <c r="JB23" s="80">
        <v>3.5337567737431299</v>
      </c>
      <c r="JC23" s="80">
        <v>2.86177047120225</v>
      </c>
      <c r="JD23" s="80">
        <v>4.4033582704915997</v>
      </c>
      <c r="JE23" s="80">
        <v>2.6766942406713299</v>
      </c>
      <c r="JF23" s="80">
        <v>2.87291807332576</v>
      </c>
      <c r="JG23" s="80">
        <v>2.9955412670636399</v>
      </c>
      <c r="JH23" s="80">
        <v>4.0536115498149403</v>
      </c>
      <c r="JI23" s="80">
        <v>3.9859782664116601</v>
      </c>
      <c r="JJ23" s="80">
        <v>5.3871107014694601</v>
      </c>
      <c r="JK23" s="80">
        <v>3.13224641223829</v>
      </c>
      <c r="JL23" s="80">
        <v>4.8046281028085698</v>
      </c>
      <c r="JM23" s="80">
        <v>4.2584118875610297</v>
      </c>
      <c r="JN23" s="80">
        <v>3.1074710064053601</v>
      </c>
      <c r="JO23" s="80">
        <v>5.1831128580753898</v>
      </c>
      <c r="JP23" s="80">
        <v>4.3033643865766198</v>
      </c>
      <c r="JQ23" s="80">
        <v>5.3919551554473601</v>
      </c>
      <c r="JR23" s="80">
        <v>6.0776996472694202</v>
      </c>
      <c r="JS23" s="80">
        <v>5.8208493627149096</v>
      </c>
      <c r="JT23" s="80">
        <v>5.1099850981148904</v>
      </c>
      <c r="JU23" s="80">
        <v>6.2913458124588999</v>
      </c>
      <c r="JV23" s="80">
        <v>5.34681737876969</v>
      </c>
      <c r="JW23" s="80">
        <v>3.9873073290394401</v>
      </c>
      <c r="JX23" s="80">
        <v>4.0429954965917103</v>
      </c>
      <c r="JY23" s="80">
        <v>4.5263627230750298</v>
      </c>
      <c r="JZ23" s="80">
        <v>3.2593108717603001</v>
      </c>
      <c r="KA23" s="80">
        <v>6.4791033728629204</v>
      </c>
      <c r="KB23" s="80">
        <v>5.8960951652060496</v>
      </c>
      <c r="KC23" s="80">
        <v>5.7079182415796597</v>
      </c>
      <c r="KD23" s="80">
        <v>6.2202436081380696</v>
      </c>
      <c r="KE23" s="80">
        <v>3.56052040547877</v>
      </c>
      <c r="KF23" s="81">
        <v>3.99855439147575</v>
      </c>
      <c r="KG23" s="81">
        <v>4.7535860718476197</v>
      </c>
      <c r="KH23" s="81">
        <v>4.8248554940660497</v>
      </c>
      <c r="KI23" s="81">
        <v>4.9887790089409201</v>
      </c>
      <c r="KJ23" s="81">
        <v>4.1451907303645301</v>
      </c>
      <c r="KK23" s="81">
        <v>3.6265618259396599</v>
      </c>
      <c r="KL23" s="81">
        <v>3.3926331586848399</v>
      </c>
      <c r="KM23" s="81">
        <v>5.8963507606489101</v>
      </c>
      <c r="KN23" s="81">
        <v>6.1105328511574797</v>
      </c>
      <c r="KO23" s="81">
        <v>4.5114556878605097</v>
      </c>
    </row>
    <row r="24" spans="1:301" s="72" customFormat="1" ht="18" customHeight="1">
      <c r="A24" s="78"/>
      <c r="B24" s="92" t="s">
        <v>165</v>
      </c>
      <c r="C24" s="91" t="s">
        <v>8</v>
      </c>
      <c r="D24" s="91" t="s">
        <v>8</v>
      </c>
      <c r="E24" s="91" t="s">
        <v>8</v>
      </c>
      <c r="F24" s="91" t="s">
        <v>8</v>
      </c>
      <c r="G24" s="91" t="s">
        <v>8</v>
      </c>
      <c r="H24" s="91" t="s">
        <v>8</v>
      </c>
      <c r="I24" s="91" t="s">
        <v>8</v>
      </c>
      <c r="J24" s="91" t="s">
        <v>8</v>
      </c>
      <c r="K24" s="91" t="s">
        <v>8</v>
      </c>
      <c r="L24" s="91" t="s">
        <v>8</v>
      </c>
      <c r="M24" s="91" t="s">
        <v>8</v>
      </c>
      <c r="N24" s="91" t="s">
        <v>8</v>
      </c>
      <c r="O24" s="91" t="s">
        <v>8</v>
      </c>
      <c r="P24" s="91" t="s">
        <v>8</v>
      </c>
      <c r="Q24" s="91" t="s">
        <v>8</v>
      </c>
      <c r="R24" s="91" t="s">
        <v>8</v>
      </c>
      <c r="S24" s="91" t="s">
        <v>8</v>
      </c>
      <c r="T24" s="91" t="s">
        <v>8</v>
      </c>
      <c r="U24" s="91" t="s">
        <v>8</v>
      </c>
      <c r="V24" s="91" t="s">
        <v>8</v>
      </c>
      <c r="W24" s="91" t="s">
        <v>8</v>
      </c>
      <c r="X24" s="91" t="s">
        <v>8</v>
      </c>
      <c r="Y24" s="91" t="s">
        <v>8</v>
      </c>
      <c r="Z24" s="91" t="s">
        <v>8</v>
      </c>
      <c r="AA24" s="91" t="s">
        <v>8</v>
      </c>
      <c r="AB24" s="91" t="s">
        <v>8</v>
      </c>
      <c r="AC24" s="91" t="s">
        <v>8</v>
      </c>
      <c r="AD24" s="91" t="s">
        <v>8</v>
      </c>
      <c r="AE24" s="91" t="s">
        <v>8</v>
      </c>
      <c r="AF24" s="91" t="s">
        <v>8</v>
      </c>
      <c r="AG24" s="91" t="s">
        <v>8</v>
      </c>
      <c r="AH24" s="91" t="s">
        <v>8</v>
      </c>
      <c r="AI24" s="91" t="s">
        <v>8</v>
      </c>
      <c r="AJ24" s="91" t="s">
        <v>8</v>
      </c>
      <c r="AK24" s="91" t="s">
        <v>8</v>
      </c>
      <c r="AL24" s="91" t="s">
        <v>8</v>
      </c>
      <c r="AM24" s="91" t="s">
        <v>8</v>
      </c>
      <c r="AN24" s="91" t="s">
        <v>8</v>
      </c>
      <c r="AO24" s="91" t="s">
        <v>8</v>
      </c>
      <c r="AP24" s="91"/>
      <c r="AQ24" s="91"/>
      <c r="AR24" s="91" t="s">
        <v>8</v>
      </c>
      <c r="AS24" s="80">
        <v>0</v>
      </c>
      <c r="AT24" s="80">
        <v>7.8204989999999999</v>
      </c>
      <c r="AU24" s="80">
        <v>6.6562029999999996</v>
      </c>
      <c r="AV24" s="80">
        <v>9.2472539999999999</v>
      </c>
      <c r="AW24" s="80">
        <v>9.2888909999999996</v>
      </c>
      <c r="AX24" s="80">
        <v>7.9064289999999993</v>
      </c>
      <c r="AY24" s="80">
        <v>10.251442000000001</v>
      </c>
      <c r="AZ24" s="80">
        <v>8.1194649999999999</v>
      </c>
      <c r="BA24" s="80">
        <v>8.3998740000000005</v>
      </c>
      <c r="BB24" s="80">
        <v>6.8720680000000005</v>
      </c>
      <c r="BC24" s="80">
        <v>5.7762149999999997</v>
      </c>
      <c r="BD24" s="80">
        <v>7.4631279999999993</v>
      </c>
      <c r="BE24" s="80">
        <v>9.4940870000000004</v>
      </c>
      <c r="BF24" s="80">
        <v>10.838759</v>
      </c>
      <c r="BG24" s="80">
        <v>9.3672140000000006</v>
      </c>
      <c r="BH24" s="80">
        <v>12.145167000000001</v>
      </c>
      <c r="BI24" s="80">
        <v>11.615938</v>
      </c>
      <c r="BJ24" s="80">
        <v>9.002739</v>
      </c>
      <c r="BK24" s="80">
        <v>6.7221485802019396</v>
      </c>
      <c r="BL24" s="80">
        <v>11.42927922565638</v>
      </c>
      <c r="BM24" s="80">
        <v>9.5520343983627907</v>
      </c>
      <c r="BN24" s="80">
        <v>10.723725767611642</v>
      </c>
      <c r="BO24" s="80">
        <v>8.7132382267414048</v>
      </c>
      <c r="BP24" s="80">
        <v>10.557821328864842</v>
      </c>
      <c r="BQ24" s="80">
        <v>10.654663576641871</v>
      </c>
      <c r="BR24" s="80">
        <v>11.792724464379276</v>
      </c>
      <c r="BS24" s="80">
        <v>9.7666866109556025</v>
      </c>
      <c r="BT24" s="80">
        <v>12.346241042176032</v>
      </c>
      <c r="BU24" s="80">
        <v>13.050405082943842</v>
      </c>
      <c r="BV24" s="80">
        <v>13.295219469374134</v>
      </c>
      <c r="BW24" s="80">
        <v>12.715981974248741</v>
      </c>
      <c r="BX24" s="80">
        <v>10.456236513153442</v>
      </c>
      <c r="BY24" s="80">
        <v>12.927142011694023</v>
      </c>
      <c r="BZ24" s="80">
        <v>9.9574203236831806</v>
      </c>
      <c r="CA24" s="80">
        <v>11.246223913382369</v>
      </c>
      <c r="CB24" s="80">
        <v>11.149866961537839</v>
      </c>
      <c r="CC24" s="80">
        <v>9.0608124439638118</v>
      </c>
      <c r="CD24" s="80">
        <v>9.8083142433313792</v>
      </c>
      <c r="CE24" s="80">
        <v>11.447347685995924</v>
      </c>
      <c r="CF24" s="80">
        <v>13.056274742235196</v>
      </c>
      <c r="CG24" s="80">
        <v>14.303534191564223</v>
      </c>
      <c r="CH24" s="80">
        <v>13.663639529022603</v>
      </c>
      <c r="CI24" s="80">
        <v>10.757655208613039</v>
      </c>
      <c r="CJ24" s="80">
        <v>13.497119134409369</v>
      </c>
      <c r="CK24" s="80">
        <v>13.747805996488044</v>
      </c>
      <c r="CL24" s="80">
        <v>13.239546091875621</v>
      </c>
      <c r="CM24" s="80">
        <v>10.276610046300338</v>
      </c>
      <c r="CN24" s="80">
        <v>11.060345197786138</v>
      </c>
      <c r="CO24" s="80">
        <v>11.792729696891062</v>
      </c>
      <c r="CP24" s="80">
        <v>10.318880378834621</v>
      </c>
      <c r="CQ24" s="80">
        <v>10.347420335586177</v>
      </c>
      <c r="CR24" s="80">
        <v>11.993907626309957</v>
      </c>
      <c r="CS24" s="80">
        <v>12.36731449512013</v>
      </c>
      <c r="CT24" s="80">
        <v>14.888616858980338</v>
      </c>
      <c r="CU24" s="80">
        <v>13.597586970426232</v>
      </c>
      <c r="CV24" s="80">
        <v>12.230816341447074</v>
      </c>
      <c r="CW24" s="80">
        <v>14.268187194916182</v>
      </c>
      <c r="CX24" s="80">
        <v>14.199109851438537</v>
      </c>
      <c r="CY24" s="80">
        <v>9.3327646150482657</v>
      </c>
      <c r="CZ24" s="80">
        <v>11.201819560111904</v>
      </c>
      <c r="DA24" s="80">
        <v>17.743843345481945</v>
      </c>
      <c r="DB24" s="80">
        <v>13.74763376798346</v>
      </c>
      <c r="DC24" s="80">
        <v>15.190467495491486</v>
      </c>
      <c r="DD24" s="80">
        <v>15.016791111857358</v>
      </c>
      <c r="DE24" s="80">
        <v>14.288992883683557</v>
      </c>
      <c r="DF24" s="80">
        <v>14.954793291488855</v>
      </c>
      <c r="DG24" s="80">
        <v>13.001781618587247</v>
      </c>
      <c r="DH24" s="80">
        <v>21.046087249995896</v>
      </c>
      <c r="DI24" s="80">
        <v>11.200221704284221</v>
      </c>
      <c r="DJ24" s="80">
        <v>13.932777944612484</v>
      </c>
      <c r="DK24" s="80">
        <v>9.563363018393936</v>
      </c>
      <c r="DL24" s="80">
        <v>15.652056428572278</v>
      </c>
      <c r="DM24" s="80">
        <v>12.142181987195725</v>
      </c>
      <c r="DN24" s="80">
        <v>11.656283007976167</v>
      </c>
      <c r="DO24" s="80">
        <v>12.379509392891496</v>
      </c>
      <c r="DP24" s="80">
        <v>10.642624544088122</v>
      </c>
      <c r="DQ24" s="80">
        <v>13.210091344109109</v>
      </c>
      <c r="DR24" s="80">
        <v>12.326756255503129</v>
      </c>
      <c r="DS24" s="80">
        <v>15.441548984825998</v>
      </c>
      <c r="DT24" s="80">
        <v>15.476060352695834</v>
      </c>
      <c r="DU24" s="80">
        <v>11.987273448873054</v>
      </c>
      <c r="DV24" s="80">
        <v>14.368483242775284</v>
      </c>
      <c r="DW24" s="80">
        <v>8.1824960626453347</v>
      </c>
      <c r="DX24" s="80">
        <v>9.3522804950519891</v>
      </c>
      <c r="DY24" s="80">
        <v>13.966735169325304</v>
      </c>
      <c r="DZ24" s="80">
        <v>11.804407085579728</v>
      </c>
      <c r="EA24" s="80">
        <v>11.697660382731517</v>
      </c>
      <c r="EB24" s="80">
        <v>15.851472056414847</v>
      </c>
      <c r="EC24" s="80">
        <v>11.119442910387562</v>
      </c>
      <c r="ED24" s="80">
        <v>11.634655358365681</v>
      </c>
      <c r="EE24" s="80">
        <v>14.968400249146111</v>
      </c>
      <c r="EF24" s="80">
        <v>11.621287319793622</v>
      </c>
      <c r="EG24" s="80">
        <v>11.841187655879686</v>
      </c>
      <c r="EH24" s="80">
        <v>12.491973062936465</v>
      </c>
      <c r="EI24" s="80">
        <v>11.916693874328578</v>
      </c>
      <c r="EJ24" s="80">
        <v>15.984183894816889</v>
      </c>
      <c r="EK24" s="80">
        <v>9.6237773292643958</v>
      </c>
      <c r="EL24" s="80">
        <v>11.817615062458465</v>
      </c>
      <c r="EM24" s="80">
        <v>12.051729771300881</v>
      </c>
      <c r="EN24" s="80">
        <v>13.994452235207078</v>
      </c>
      <c r="EO24" s="80">
        <v>11.715810645739683</v>
      </c>
      <c r="EP24" s="80">
        <v>11.757203580826108</v>
      </c>
      <c r="EQ24" s="80">
        <v>13.063670349999118</v>
      </c>
      <c r="ER24" s="80">
        <v>14.23430653241901</v>
      </c>
      <c r="ES24" s="80">
        <v>12.755276950707364</v>
      </c>
      <c r="ET24" s="80">
        <v>11.951217623182311</v>
      </c>
      <c r="EU24" s="80">
        <v>11.210190793241157</v>
      </c>
      <c r="EV24" s="80">
        <v>13.506607703240256</v>
      </c>
      <c r="EW24" s="80">
        <v>14.126509906109105</v>
      </c>
      <c r="EX24" s="80">
        <v>9.8197148321014218</v>
      </c>
      <c r="EY24" s="80">
        <v>10.395018244421847</v>
      </c>
      <c r="EZ24" s="80">
        <v>11.986049193228817</v>
      </c>
      <c r="FA24" s="80">
        <v>11.551207111468443</v>
      </c>
      <c r="FB24" s="80">
        <v>7.624714061883572</v>
      </c>
      <c r="FC24" s="80">
        <v>8.5372434232614971</v>
      </c>
      <c r="FD24" s="80">
        <v>7.9864608606021719</v>
      </c>
      <c r="FE24" s="80">
        <v>9.5147400828186459</v>
      </c>
      <c r="FF24" s="80">
        <v>14.368945897925546</v>
      </c>
      <c r="FG24" s="80">
        <v>8.1814947872715837</v>
      </c>
      <c r="FH24" s="80">
        <v>8.7569248527397274</v>
      </c>
      <c r="FI24" s="80">
        <v>13.554644338169972</v>
      </c>
      <c r="FJ24" s="80">
        <v>10.852385653784244</v>
      </c>
      <c r="FK24" s="80">
        <v>10.515145664498936</v>
      </c>
      <c r="FL24" s="80">
        <v>13.145393252278231</v>
      </c>
      <c r="FM24" s="80">
        <v>12.614932016867266</v>
      </c>
      <c r="FN24" s="80">
        <v>15.967849834300916</v>
      </c>
      <c r="FO24" s="80">
        <v>11.86141002822851</v>
      </c>
      <c r="FP24" s="80">
        <v>11.651985934179034</v>
      </c>
      <c r="FQ24" s="80">
        <v>11.76433238145651</v>
      </c>
      <c r="FR24" s="80">
        <v>10.538159881853183</v>
      </c>
      <c r="FS24" s="80">
        <v>7.7636434702725241</v>
      </c>
      <c r="FT24" s="80">
        <v>11.640108910976599</v>
      </c>
      <c r="FU24" s="80">
        <v>9.6299212849178772</v>
      </c>
      <c r="FV24" s="80">
        <v>10.13061471366343</v>
      </c>
      <c r="FW24" s="80">
        <v>12.178728316373453</v>
      </c>
      <c r="FX24" s="80">
        <v>14.35410681599728</v>
      </c>
      <c r="FY24" s="80">
        <v>12.938990140015916</v>
      </c>
      <c r="FZ24" s="80">
        <v>14.33498951533228</v>
      </c>
      <c r="GA24" s="80">
        <v>10.203410750003709</v>
      </c>
      <c r="GB24" s="80">
        <v>12.361356339111449</v>
      </c>
      <c r="GC24" s="80">
        <v>12.256239260347423</v>
      </c>
      <c r="GD24" s="80">
        <v>10.812323757710617</v>
      </c>
      <c r="GE24" s="80">
        <v>9.4863955195715022</v>
      </c>
      <c r="GF24" s="80">
        <v>13.088588590629749</v>
      </c>
      <c r="GG24" s="80">
        <v>10.446590395824568</v>
      </c>
      <c r="GH24" s="80">
        <v>12.470720113254451</v>
      </c>
      <c r="GI24" s="80">
        <v>10.983712461411534</v>
      </c>
      <c r="GJ24" s="80">
        <v>10.309172805627522</v>
      </c>
      <c r="GK24" s="80">
        <v>12.096471746482807</v>
      </c>
      <c r="GL24" s="80">
        <v>11.162861429992663</v>
      </c>
      <c r="GM24" s="80">
        <v>10.458736269434036</v>
      </c>
      <c r="GN24" s="80">
        <v>10.981704914681746</v>
      </c>
      <c r="GO24" s="80">
        <v>9.4915700655137147</v>
      </c>
      <c r="GP24" s="80">
        <v>9.9036665558987931</v>
      </c>
      <c r="GQ24" s="80">
        <v>8.798743444600337</v>
      </c>
      <c r="GR24" s="80">
        <v>9.7143725728811336</v>
      </c>
      <c r="GS24" s="80">
        <v>7.9741190961985371</v>
      </c>
      <c r="GT24" s="80">
        <v>9.9405855901671316</v>
      </c>
      <c r="GU24" s="80">
        <v>11.87893001460472</v>
      </c>
      <c r="GV24" s="80">
        <v>9.7053438555547444</v>
      </c>
      <c r="GW24" s="80">
        <v>13.360463107733272</v>
      </c>
      <c r="GX24" s="80">
        <v>11.345722191904031</v>
      </c>
      <c r="GY24" s="80">
        <v>12.143326224830369</v>
      </c>
      <c r="GZ24" s="80">
        <v>11.453229655904117</v>
      </c>
      <c r="HA24" s="80">
        <v>12.568329431098785</v>
      </c>
      <c r="HB24" s="80">
        <v>10.505153411809236</v>
      </c>
      <c r="HC24" s="80">
        <v>8.6323485377785438</v>
      </c>
      <c r="HD24" s="80">
        <v>10.220272902711754</v>
      </c>
      <c r="HE24" s="80">
        <v>10.581951073432853</v>
      </c>
      <c r="HF24" s="80">
        <v>7.7120631541646212</v>
      </c>
      <c r="HG24" s="80">
        <v>9.0593500362736883</v>
      </c>
      <c r="HH24" s="80">
        <v>8.8157186589461549</v>
      </c>
      <c r="HI24" s="80">
        <v>10.129069648740284</v>
      </c>
      <c r="HJ24" s="80">
        <v>9.2821514068654505</v>
      </c>
      <c r="HK24" s="80">
        <v>9.5273187445544352</v>
      </c>
      <c r="HL24" s="80">
        <v>8.9880982066825172</v>
      </c>
      <c r="HM24" s="80">
        <v>9.7954763335394617</v>
      </c>
      <c r="HN24" s="80">
        <v>10.4970886095771</v>
      </c>
      <c r="HO24" s="80">
        <v>8.1069817240841431</v>
      </c>
      <c r="HP24" s="80">
        <v>8.4514170764196095</v>
      </c>
      <c r="HQ24" s="80">
        <v>6.3833931478896933</v>
      </c>
      <c r="HR24" s="80">
        <v>4.9031099999999999</v>
      </c>
      <c r="HS24" s="80">
        <v>5.9359400000000004</v>
      </c>
      <c r="HT24" s="80">
        <v>6.3700649725507201</v>
      </c>
      <c r="HU24" s="80">
        <v>13.418119880652201</v>
      </c>
      <c r="HV24" s="80">
        <v>8.3722319086914503</v>
      </c>
      <c r="HW24" s="80">
        <v>6.1668755874393897</v>
      </c>
      <c r="HX24" s="80">
        <v>6.8339690986966097</v>
      </c>
      <c r="HY24" s="80">
        <v>6.9112348321484598</v>
      </c>
      <c r="HZ24" s="80">
        <v>7.6133991500584202</v>
      </c>
      <c r="IA24" s="80">
        <v>7.8458031218126996</v>
      </c>
      <c r="IB24" s="80">
        <v>6.1713004972538101</v>
      </c>
      <c r="IC24" s="80">
        <v>6.9826496279780903</v>
      </c>
      <c r="ID24" s="80">
        <v>6.3186310404088104</v>
      </c>
      <c r="IE24" s="80">
        <v>8.4946008810528202</v>
      </c>
      <c r="IF24" s="80">
        <v>9.0538943976226598</v>
      </c>
      <c r="IG24" s="80">
        <v>9.8909457118118702</v>
      </c>
      <c r="IH24" s="80">
        <v>8.8764284775126097</v>
      </c>
      <c r="II24" s="80">
        <v>7.7161034890537099</v>
      </c>
      <c r="IJ24" s="80">
        <v>6.8777484578580603</v>
      </c>
      <c r="IK24" s="80">
        <v>5.86126598363097</v>
      </c>
      <c r="IL24" s="80">
        <v>7.9544363074109397</v>
      </c>
      <c r="IM24" s="80">
        <v>6.9848826043236798</v>
      </c>
      <c r="IN24" s="80">
        <v>8.7634320750452606</v>
      </c>
      <c r="IO24" s="80">
        <v>7.2357637515326001</v>
      </c>
      <c r="IP24" s="80">
        <v>7.6009663155148104</v>
      </c>
      <c r="IQ24" s="80">
        <v>9.1633923700980606</v>
      </c>
      <c r="IR24" s="80">
        <v>7.7598000936428502</v>
      </c>
      <c r="IS24" s="80">
        <v>9.8592059001650192</v>
      </c>
      <c r="IT24" s="80">
        <v>11.165957493938199</v>
      </c>
      <c r="IU24" s="80">
        <v>11.613704889175301</v>
      </c>
      <c r="IV24" s="80">
        <v>9.6080195373764106</v>
      </c>
      <c r="IW24" s="80">
        <v>10.3947900825837</v>
      </c>
      <c r="IX24" s="80">
        <v>9.9475886703517293</v>
      </c>
      <c r="IY24" s="80">
        <v>8.9523454471978301</v>
      </c>
      <c r="IZ24" s="80">
        <v>10.923908094920799</v>
      </c>
      <c r="JA24" s="80">
        <v>10.6489410520166</v>
      </c>
      <c r="JB24" s="80">
        <v>10.044593548572401</v>
      </c>
      <c r="JC24" s="80">
        <v>10.989877654098301</v>
      </c>
      <c r="JD24" s="80">
        <v>10.001968619053899</v>
      </c>
      <c r="JE24" s="80">
        <v>12.2880567866143</v>
      </c>
      <c r="JF24" s="80">
        <v>10.974105228605399</v>
      </c>
      <c r="JG24" s="80">
        <v>12.6420938684799</v>
      </c>
      <c r="JH24" s="80">
        <v>11.170731446294701</v>
      </c>
      <c r="JI24" s="80">
        <v>12.2507643945771</v>
      </c>
      <c r="JJ24" s="80">
        <v>9.9453258034495597</v>
      </c>
      <c r="JK24" s="80">
        <v>9.8635728401522709</v>
      </c>
      <c r="JL24" s="80">
        <v>10.3080471585616</v>
      </c>
      <c r="JM24" s="80">
        <v>9.8883722703384809</v>
      </c>
      <c r="JN24" s="80">
        <v>9.3150320941493998</v>
      </c>
      <c r="JO24" s="80">
        <v>10.058407231108699</v>
      </c>
      <c r="JP24" s="80">
        <v>10.0682509669677</v>
      </c>
      <c r="JQ24" s="80">
        <v>12.611953960396599</v>
      </c>
      <c r="JR24" s="80">
        <v>12.2472466567675</v>
      </c>
      <c r="JS24" s="80">
        <v>12.4320265060368</v>
      </c>
      <c r="JT24" s="80">
        <v>12.1753313718967</v>
      </c>
      <c r="JU24" s="80">
        <v>12.939255488098301</v>
      </c>
      <c r="JV24" s="80">
        <v>14.025730688937401</v>
      </c>
      <c r="JW24" s="80">
        <v>10.8180543251302</v>
      </c>
      <c r="JX24" s="80">
        <v>12.9519769975009</v>
      </c>
      <c r="JY24" s="80">
        <v>12.4653315095993</v>
      </c>
      <c r="JZ24" s="80">
        <v>12.0611241451893</v>
      </c>
      <c r="KA24" s="80">
        <v>11.469160020099601</v>
      </c>
      <c r="KB24" s="80">
        <v>10.687922478407099</v>
      </c>
      <c r="KC24" s="80">
        <v>12.601306673795699</v>
      </c>
      <c r="KD24" s="80">
        <v>11.262199573269299</v>
      </c>
      <c r="KE24" s="80">
        <v>11.6006116582688</v>
      </c>
      <c r="KF24" s="81">
        <v>13.6662843268817</v>
      </c>
      <c r="KG24" s="81">
        <v>11.9793144343025</v>
      </c>
      <c r="KH24" s="81">
        <v>11.333030423008699</v>
      </c>
      <c r="KI24" s="81">
        <v>11.1954378730531</v>
      </c>
      <c r="KJ24" s="81">
        <v>12.050868740614399</v>
      </c>
      <c r="KK24" s="81">
        <v>10.056015607220001</v>
      </c>
      <c r="KL24" s="81">
        <v>9.3338870394732094</v>
      </c>
      <c r="KM24" s="81">
        <v>13.261090066073001</v>
      </c>
      <c r="KN24" s="81">
        <v>13.505013506611</v>
      </c>
      <c r="KO24" s="81">
        <v>14.3330570072147</v>
      </c>
    </row>
    <row r="25" spans="1:301" s="72" customFormat="1" ht="18" customHeight="1">
      <c r="A25" s="78"/>
      <c r="B25" s="92" t="s">
        <v>166</v>
      </c>
      <c r="C25" s="91" t="s">
        <v>8</v>
      </c>
      <c r="D25" s="91" t="s">
        <v>8</v>
      </c>
      <c r="E25" s="91" t="s">
        <v>8</v>
      </c>
      <c r="F25" s="91" t="s">
        <v>8</v>
      </c>
      <c r="G25" s="91" t="s">
        <v>8</v>
      </c>
      <c r="H25" s="91" t="s">
        <v>8</v>
      </c>
      <c r="I25" s="91" t="s">
        <v>8</v>
      </c>
      <c r="J25" s="91" t="s">
        <v>8</v>
      </c>
      <c r="K25" s="91" t="s">
        <v>8</v>
      </c>
      <c r="L25" s="91" t="s">
        <v>8</v>
      </c>
      <c r="M25" s="91" t="s">
        <v>8</v>
      </c>
      <c r="N25" s="91" t="s">
        <v>8</v>
      </c>
      <c r="O25" s="91" t="s">
        <v>8</v>
      </c>
      <c r="P25" s="91" t="s">
        <v>8</v>
      </c>
      <c r="Q25" s="91" t="s">
        <v>8</v>
      </c>
      <c r="R25" s="91" t="s">
        <v>8</v>
      </c>
      <c r="S25" s="91" t="s">
        <v>8</v>
      </c>
      <c r="T25" s="91" t="s">
        <v>8</v>
      </c>
      <c r="U25" s="91" t="s">
        <v>8</v>
      </c>
      <c r="V25" s="91" t="s">
        <v>8</v>
      </c>
      <c r="W25" s="91" t="s">
        <v>8</v>
      </c>
      <c r="X25" s="91" t="s">
        <v>8</v>
      </c>
      <c r="Y25" s="91" t="s">
        <v>8</v>
      </c>
      <c r="Z25" s="91" t="s">
        <v>8</v>
      </c>
      <c r="AA25" s="91" t="s">
        <v>8</v>
      </c>
      <c r="AB25" s="91" t="s">
        <v>8</v>
      </c>
      <c r="AC25" s="91" t="s">
        <v>8</v>
      </c>
      <c r="AD25" s="91" t="s">
        <v>8</v>
      </c>
      <c r="AE25" s="91" t="s">
        <v>8</v>
      </c>
      <c r="AF25" s="91" t="s">
        <v>8</v>
      </c>
      <c r="AG25" s="91" t="s">
        <v>8</v>
      </c>
      <c r="AH25" s="91" t="s">
        <v>8</v>
      </c>
      <c r="AI25" s="91" t="s">
        <v>8</v>
      </c>
      <c r="AJ25" s="91" t="s">
        <v>8</v>
      </c>
      <c r="AK25" s="91" t="s">
        <v>8</v>
      </c>
      <c r="AL25" s="91" t="s">
        <v>8</v>
      </c>
      <c r="AM25" s="91" t="s">
        <v>8</v>
      </c>
      <c r="AN25" s="91" t="s">
        <v>8</v>
      </c>
      <c r="AO25" s="91" t="s">
        <v>8</v>
      </c>
      <c r="AP25" s="91"/>
      <c r="AQ25" s="91"/>
      <c r="AR25" s="91" t="s">
        <v>8</v>
      </c>
      <c r="AS25" s="80">
        <v>1.9828060000000001</v>
      </c>
      <c r="AT25" s="80">
        <v>6.7484859999999998</v>
      </c>
      <c r="AU25" s="80">
        <v>3.6924809999999999</v>
      </c>
      <c r="AV25" s="80">
        <v>4.8304970000000003</v>
      </c>
      <c r="AW25" s="80">
        <v>3.5465620000000002</v>
      </c>
      <c r="AX25" s="80">
        <v>6.0723260000000003</v>
      </c>
      <c r="AY25" s="80">
        <v>3.741377</v>
      </c>
      <c r="AZ25" s="80">
        <v>4.6664370000000002</v>
      </c>
      <c r="BA25" s="80">
        <v>4.4378299999999999</v>
      </c>
      <c r="BB25" s="80">
        <v>5.1549290000000001</v>
      </c>
      <c r="BC25" s="80">
        <v>3.4460150000000001</v>
      </c>
      <c r="BD25" s="80">
        <v>4.2931869999999996</v>
      </c>
      <c r="BE25" s="80">
        <v>6.4420929999999998</v>
      </c>
      <c r="BF25" s="80">
        <v>8.4757390000000008</v>
      </c>
      <c r="BG25" s="80">
        <v>4.0490890000000004</v>
      </c>
      <c r="BH25" s="80">
        <v>7.7608629999999996</v>
      </c>
      <c r="BI25" s="80">
        <v>6.1110480000000003</v>
      </c>
      <c r="BJ25" s="80">
        <v>8.7875150000000009</v>
      </c>
      <c r="BK25" s="80">
        <v>6.2869464492789753</v>
      </c>
      <c r="BL25" s="80">
        <v>10.156460154090883</v>
      </c>
      <c r="BM25" s="80">
        <v>3.7011283894563221</v>
      </c>
      <c r="BN25" s="80">
        <v>6.1087789763208464</v>
      </c>
      <c r="BO25" s="80">
        <v>5.0028484218083547</v>
      </c>
      <c r="BP25" s="80">
        <v>7.5649996021222465</v>
      </c>
      <c r="BQ25" s="80">
        <v>4.4607414960833145</v>
      </c>
      <c r="BR25" s="80">
        <v>6.3541832593818262</v>
      </c>
      <c r="BS25" s="80">
        <v>6.6137964346191014</v>
      </c>
      <c r="BT25" s="80">
        <v>4.7478232963954019</v>
      </c>
      <c r="BU25" s="80">
        <v>4.9237327262371524</v>
      </c>
      <c r="BV25" s="80">
        <v>3.7844556035305073</v>
      </c>
      <c r="BW25" s="80">
        <v>4.4065091384060926</v>
      </c>
      <c r="BX25" s="80">
        <v>3.9959129302536991</v>
      </c>
      <c r="BY25" s="80">
        <v>3.325597256496124</v>
      </c>
      <c r="BZ25" s="80">
        <v>3.6781922570955792</v>
      </c>
      <c r="CA25" s="80">
        <v>3.3883023183319643</v>
      </c>
      <c r="CB25" s="80">
        <v>5.7246563760237592</v>
      </c>
      <c r="CC25" s="80">
        <v>4.3579184349347262</v>
      </c>
      <c r="CD25" s="80">
        <v>3.0819858178441759</v>
      </c>
      <c r="CE25" s="80">
        <v>3.2520966371018001</v>
      </c>
      <c r="CF25" s="80">
        <v>4.7463639502416122</v>
      </c>
      <c r="CG25" s="80">
        <v>3.8527616484477543</v>
      </c>
      <c r="CH25" s="80">
        <v>2.6345990898260432</v>
      </c>
      <c r="CI25" s="80">
        <v>4.3600447499394113</v>
      </c>
      <c r="CJ25" s="80">
        <v>3.9722225242589997</v>
      </c>
      <c r="CK25" s="80">
        <v>3.1424924375144156</v>
      </c>
      <c r="CL25" s="80">
        <v>3.1452606861391716</v>
      </c>
      <c r="CM25" s="80">
        <v>3.8059063699622802</v>
      </c>
      <c r="CN25" s="80">
        <v>3.6317749760275193</v>
      </c>
      <c r="CO25" s="80">
        <v>4.8163292069155297</v>
      </c>
      <c r="CP25" s="80">
        <v>2.9642569640111862</v>
      </c>
      <c r="CQ25" s="80">
        <v>6.1175377914927926</v>
      </c>
      <c r="CR25" s="80">
        <v>4.8873322234563261</v>
      </c>
      <c r="CS25" s="80">
        <v>3.7264599423042708</v>
      </c>
      <c r="CT25" s="80">
        <v>2.9196614826879452</v>
      </c>
      <c r="CU25" s="80">
        <v>2.2830865836691396</v>
      </c>
      <c r="CV25" s="80">
        <v>3.4759995435041962</v>
      </c>
      <c r="CW25" s="80">
        <v>3.6615952468594677</v>
      </c>
      <c r="CX25" s="80">
        <v>3.806180736963432</v>
      </c>
      <c r="CY25" s="80">
        <v>2.7290404622075739</v>
      </c>
      <c r="CZ25" s="80">
        <v>3.4188590561025767</v>
      </c>
      <c r="DA25" s="80">
        <v>4.1227191338438214</v>
      </c>
      <c r="DB25" s="80">
        <v>5.8711330460471238</v>
      </c>
      <c r="DC25" s="80">
        <v>5.3912332744731302</v>
      </c>
      <c r="DD25" s="80">
        <v>1.85276351322828</v>
      </c>
      <c r="DE25" s="80">
        <v>4.1828682222115967</v>
      </c>
      <c r="DF25" s="80">
        <v>3.8122257903306895</v>
      </c>
      <c r="DG25" s="80">
        <v>4.9044954874565381</v>
      </c>
      <c r="DH25" s="80">
        <v>2.1542829435627264</v>
      </c>
      <c r="DI25" s="80">
        <v>3.4547778810659548</v>
      </c>
      <c r="DJ25" s="80">
        <v>3.1798111400427591</v>
      </c>
      <c r="DK25" s="80">
        <v>1.4113887625738424</v>
      </c>
      <c r="DL25" s="80">
        <v>3.8380136071755429</v>
      </c>
      <c r="DM25" s="80">
        <v>5.3276500303487202</v>
      </c>
      <c r="DN25" s="80">
        <v>4.6464033638234179</v>
      </c>
      <c r="DO25" s="80">
        <v>3.8129942823986083</v>
      </c>
      <c r="DP25" s="80">
        <v>5.9623773048136899</v>
      </c>
      <c r="DQ25" s="80">
        <v>5.1059535966750715</v>
      </c>
      <c r="DR25" s="80">
        <v>6.0538537556748908</v>
      </c>
      <c r="DS25" s="80">
        <v>5.4312888537607851</v>
      </c>
      <c r="DT25" s="80">
        <v>4.7893369724775887</v>
      </c>
      <c r="DU25" s="80">
        <v>3.1668588245216358</v>
      </c>
      <c r="DV25" s="80">
        <v>4.0668797694078576</v>
      </c>
      <c r="DW25" s="80">
        <v>5.3806419152649525</v>
      </c>
      <c r="DX25" s="80">
        <v>4.9630558542127217</v>
      </c>
      <c r="DY25" s="80">
        <v>5.2213798149184445</v>
      </c>
      <c r="DZ25" s="80">
        <v>2.6735513688181802</v>
      </c>
      <c r="EA25" s="80">
        <v>3.1754687063555131</v>
      </c>
      <c r="EB25" s="80">
        <v>3.7274247947632286</v>
      </c>
      <c r="EC25" s="80">
        <v>3.3261333662765504</v>
      </c>
      <c r="ED25" s="80">
        <v>4.1048314011197711</v>
      </c>
      <c r="EE25" s="80">
        <v>3.4970524067334363</v>
      </c>
      <c r="EF25" s="80">
        <v>5.0928000027697626</v>
      </c>
      <c r="EG25" s="80">
        <v>3.865256792516826</v>
      </c>
      <c r="EH25" s="80">
        <v>3.2167647496720337</v>
      </c>
      <c r="EI25" s="80">
        <v>2.9991417034216488</v>
      </c>
      <c r="EJ25" s="80">
        <v>3.4035930169847504</v>
      </c>
      <c r="EK25" s="80">
        <v>3.5259713563780575</v>
      </c>
      <c r="EL25" s="80">
        <v>3.0633360496346853</v>
      </c>
      <c r="EM25" s="80">
        <v>3.044109470289079</v>
      </c>
      <c r="EN25" s="80">
        <v>3.4144857233265364</v>
      </c>
      <c r="EO25" s="80">
        <v>3.5870766837446526</v>
      </c>
      <c r="EP25" s="80">
        <v>5.9396625920826551</v>
      </c>
      <c r="EQ25" s="80">
        <v>6.5728409271743891</v>
      </c>
      <c r="ER25" s="80">
        <v>6.0894497457620904</v>
      </c>
      <c r="ES25" s="80">
        <v>6.7968535003552448</v>
      </c>
      <c r="ET25" s="80">
        <v>5.1545373926772591</v>
      </c>
      <c r="EU25" s="80">
        <v>4.3628081075623673</v>
      </c>
      <c r="EV25" s="80">
        <v>3.7876265368501882</v>
      </c>
      <c r="EW25" s="80">
        <v>3.9232579459889525</v>
      </c>
      <c r="EX25" s="80">
        <v>9.9340296747522636</v>
      </c>
      <c r="EY25" s="80">
        <v>14.373942081558264</v>
      </c>
      <c r="EZ25" s="80">
        <v>8.2884075879219949</v>
      </c>
      <c r="FA25" s="80">
        <v>5.276121339943793</v>
      </c>
      <c r="FB25" s="80">
        <v>6.0492218558096411</v>
      </c>
      <c r="FC25" s="80">
        <v>6.0039851517706699</v>
      </c>
      <c r="FD25" s="80">
        <v>3.868888914034633</v>
      </c>
      <c r="FE25" s="80">
        <v>3.3497184984953932</v>
      </c>
      <c r="FF25" s="80">
        <v>4.3314408475451209</v>
      </c>
      <c r="FG25" s="80">
        <v>4.6261194165706581</v>
      </c>
      <c r="FH25" s="80">
        <v>6.0045625004660188</v>
      </c>
      <c r="FI25" s="80">
        <v>6.0489359010208084</v>
      </c>
      <c r="FJ25" s="80">
        <v>4.2841555399504374</v>
      </c>
      <c r="FK25" s="80">
        <v>5.1203060476902689</v>
      </c>
      <c r="FL25" s="80">
        <v>4.7511998268691116</v>
      </c>
      <c r="FM25" s="80">
        <v>4.1341372617990171</v>
      </c>
      <c r="FN25" s="80">
        <v>4.1005776598194643</v>
      </c>
      <c r="FO25" s="80">
        <v>3.861510527819644</v>
      </c>
      <c r="FP25" s="80">
        <v>4.9809795647928965</v>
      </c>
      <c r="FQ25" s="80">
        <v>4.1283982031717725</v>
      </c>
      <c r="FR25" s="80">
        <v>5.4690413741467614</v>
      </c>
      <c r="FS25" s="80">
        <v>5.8429817110070346</v>
      </c>
      <c r="FT25" s="80">
        <v>2.6665821542922208</v>
      </c>
      <c r="FU25" s="80">
        <v>4.5317665206300273</v>
      </c>
      <c r="FV25" s="80">
        <v>6.301302104789877</v>
      </c>
      <c r="FW25" s="80">
        <v>4.6715351738866469</v>
      </c>
      <c r="FX25" s="80">
        <v>3.9852373201923066</v>
      </c>
      <c r="FY25" s="80">
        <v>3.5674383295562668</v>
      </c>
      <c r="FZ25" s="80">
        <v>6.1160222374433113</v>
      </c>
      <c r="GA25" s="80">
        <v>5.2559774338963337</v>
      </c>
      <c r="GB25" s="80">
        <v>4.3603653441519965</v>
      </c>
      <c r="GC25" s="80">
        <v>6.2331199103658141</v>
      </c>
      <c r="GD25" s="80">
        <v>4.7884903757033772</v>
      </c>
      <c r="GE25" s="80">
        <v>5.0419125661581541</v>
      </c>
      <c r="GF25" s="80">
        <v>3.5654204916221248</v>
      </c>
      <c r="GG25" s="80">
        <v>3.2093002033652445</v>
      </c>
      <c r="GH25" s="80">
        <v>4.8001476037912347</v>
      </c>
      <c r="GI25" s="80">
        <v>5.8307562734228151</v>
      </c>
      <c r="GJ25" s="80">
        <v>5.061004884362089</v>
      </c>
      <c r="GK25" s="80">
        <v>4.2554157475902938</v>
      </c>
      <c r="GL25" s="80">
        <v>4.7697889141467043</v>
      </c>
      <c r="GM25" s="80">
        <v>4.2198272747131274</v>
      </c>
      <c r="GN25" s="80">
        <v>5.7117964085521544</v>
      </c>
      <c r="GO25" s="80">
        <v>6.9863861694260541</v>
      </c>
      <c r="GP25" s="80">
        <v>6.1450427820953104</v>
      </c>
      <c r="GQ25" s="80">
        <v>8.4245063241544926</v>
      </c>
      <c r="GR25" s="80">
        <v>4.7352382560185786</v>
      </c>
      <c r="GS25" s="80">
        <v>5.6159050691155761</v>
      </c>
      <c r="GT25" s="80">
        <v>4.9524689217225948</v>
      </c>
      <c r="GU25" s="80">
        <v>5.5893093355240371</v>
      </c>
      <c r="GV25" s="80">
        <v>5.3480741128445644</v>
      </c>
      <c r="GW25" s="80">
        <v>6.4131504378018152</v>
      </c>
      <c r="GX25" s="80">
        <v>6.3079716362131331</v>
      </c>
      <c r="GY25" s="80">
        <v>4.6580987550254038</v>
      </c>
      <c r="GZ25" s="80">
        <v>8.3343449297716568</v>
      </c>
      <c r="HA25" s="80">
        <v>7.3494995711645528</v>
      </c>
      <c r="HB25" s="80">
        <v>7.5017458310619443</v>
      </c>
      <c r="HC25" s="80">
        <v>7.3612392822718791</v>
      </c>
      <c r="HD25" s="80">
        <v>7.9035383457307899</v>
      </c>
      <c r="HE25" s="80">
        <v>6.9680395908517463</v>
      </c>
      <c r="HF25" s="80">
        <v>7.0231197753637495</v>
      </c>
      <c r="HG25" s="80">
        <v>7.7172550100512467</v>
      </c>
      <c r="HH25" s="80">
        <v>5.9905001861220759</v>
      </c>
      <c r="HI25" s="80">
        <v>5.6656796388836188</v>
      </c>
      <c r="HJ25" s="80">
        <v>5.1784393310442143</v>
      </c>
      <c r="HK25" s="80">
        <v>4.4903885603823239</v>
      </c>
      <c r="HL25" s="80">
        <v>4.6143986420762433</v>
      </c>
      <c r="HM25" s="80">
        <v>4.1382264021171364</v>
      </c>
      <c r="HN25" s="80">
        <v>5.8064492426960665</v>
      </c>
      <c r="HO25" s="80">
        <v>6.5484338128876844</v>
      </c>
      <c r="HP25" s="80">
        <v>7.9128885460158598</v>
      </c>
      <c r="HQ25" s="80">
        <v>5.6499194019969705</v>
      </c>
      <c r="HR25" s="80">
        <v>6.0144500000000001</v>
      </c>
      <c r="HS25" s="80">
        <v>5.86144</v>
      </c>
      <c r="HT25" s="80">
        <v>6.4902260584544997</v>
      </c>
      <c r="HU25" s="80">
        <v>4.4034844463797898</v>
      </c>
      <c r="HV25" s="80">
        <v>7.3243546398662804</v>
      </c>
      <c r="HW25" s="80">
        <v>5.99677614698036</v>
      </c>
      <c r="HX25" s="80">
        <v>5.53537165152217</v>
      </c>
      <c r="HY25" s="80">
        <v>3.9563352886918599</v>
      </c>
      <c r="HZ25" s="80">
        <v>5.8820407682866902</v>
      </c>
      <c r="IA25" s="80">
        <v>7.3891742382218197</v>
      </c>
      <c r="IB25" s="80">
        <v>5.8442533430273</v>
      </c>
      <c r="IC25" s="80">
        <v>8.4447451996999998</v>
      </c>
      <c r="ID25" s="80">
        <v>7.8199069575774596</v>
      </c>
      <c r="IE25" s="80">
        <v>8.4681540754876305</v>
      </c>
      <c r="IF25" s="80">
        <v>9.9647545556150501</v>
      </c>
      <c r="IG25" s="80">
        <v>11.169207973790799</v>
      </c>
      <c r="IH25" s="80">
        <v>9.2781427787864299</v>
      </c>
      <c r="II25" s="80">
        <v>9.2881200568421995</v>
      </c>
      <c r="IJ25" s="80">
        <v>11.0508750312815</v>
      </c>
      <c r="IK25" s="80">
        <v>8.8000819221160196</v>
      </c>
      <c r="IL25" s="80">
        <v>7.3008927796359604</v>
      </c>
      <c r="IM25" s="80">
        <v>10.1131370021485</v>
      </c>
      <c r="IN25" s="80">
        <v>8.8704109507508093</v>
      </c>
      <c r="IO25" s="80">
        <v>6.2553027515040798</v>
      </c>
      <c r="IP25" s="80">
        <v>8.2674767849560897</v>
      </c>
      <c r="IQ25" s="80">
        <v>6.9953627929303002</v>
      </c>
      <c r="IR25" s="80">
        <v>6.9906615679911202</v>
      </c>
      <c r="IS25" s="80">
        <v>5.8502572812843896</v>
      </c>
      <c r="IT25" s="80">
        <v>7.4442144810199498</v>
      </c>
      <c r="IU25" s="80">
        <v>6.73212505715831</v>
      </c>
      <c r="IV25" s="80">
        <v>7.0446428452137004</v>
      </c>
      <c r="IW25" s="80">
        <v>8.5886993750314407</v>
      </c>
      <c r="IX25" s="80">
        <v>7.2230061591146804</v>
      </c>
      <c r="IY25" s="80">
        <v>4.8392067743543796</v>
      </c>
      <c r="IZ25" s="80">
        <v>6.6801609738194498</v>
      </c>
      <c r="JA25" s="80">
        <v>5.7449678386990204</v>
      </c>
      <c r="JB25" s="80">
        <v>9.0138462758093105</v>
      </c>
      <c r="JC25" s="80">
        <v>9.6838415407503096</v>
      </c>
      <c r="JD25" s="80">
        <v>6.6313469339377704</v>
      </c>
      <c r="JE25" s="80">
        <v>6.1504037965616103</v>
      </c>
      <c r="JF25" s="80">
        <v>4.1604508339355499</v>
      </c>
      <c r="JG25" s="80">
        <v>6.58128371830876</v>
      </c>
      <c r="JH25" s="80">
        <v>6.8374663260070498</v>
      </c>
      <c r="JI25" s="80">
        <v>6.3398861642364297</v>
      </c>
      <c r="JJ25" s="80">
        <v>6.6059000229699398</v>
      </c>
      <c r="JK25" s="80">
        <v>5.7156983476607497</v>
      </c>
      <c r="JL25" s="80">
        <v>4.3860061004885802</v>
      </c>
      <c r="JM25" s="80">
        <v>4.8223563914149503</v>
      </c>
      <c r="JN25" s="80">
        <v>6.2520308734370804</v>
      </c>
      <c r="JO25" s="80">
        <v>7.0628109334784499</v>
      </c>
      <c r="JP25" s="80">
        <v>4.5740898036338997</v>
      </c>
      <c r="JQ25" s="80">
        <v>4.2803405022429102</v>
      </c>
      <c r="JR25" s="80">
        <v>2.8520700164175898</v>
      </c>
      <c r="JS25" s="80">
        <v>3.0927581338364001</v>
      </c>
      <c r="JT25" s="80">
        <v>4.5682336383067401</v>
      </c>
      <c r="JU25" s="80">
        <v>4.2101842922938904</v>
      </c>
      <c r="JV25" s="80">
        <v>3.0803587184727199</v>
      </c>
      <c r="JW25" s="80">
        <v>6.1130295512785597</v>
      </c>
      <c r="JX25" s="80">
        <v>4.00183941066686</v>
      </c>
      <c r="JY25" s="80">
        <v>4.4026276675023404</v>
      </c>
      <c r="JZ25" s="80">
        <v>3.66141464154355</v>
      </c>
      <c r="KA25" s="80">
        <v>4.4486152723596799</v>
      </c>
      <c r="KB25" s="80">
        <v>3.8522868921386899</v>
      </c>
      <c r="KC25" s="80">
        <v>5.0512149370476704</v>
      </c>
      <c r="KD25" s="80">
        <v>3.83549428743554</v>
      </c>
      <c r="KE25" s="80">
        <v>6.9986591982276902</v>
      </c>
      <c r="KF25" s="81">
        <v>4.3852625278818902</v>
      </c>
      <c r="KG25" s="81">
        <v>4.7283097902440199</v>
      </c>
      <c r="KH25" s="81">
        <v>3.8269421836909698</v>
      </c>
      <c r="KI25" s="81">
        <v>3.9952884134739399</v>
      </c>
      <c r="KJ25" s="81">
        <v>4.6166827090811404</v>
      </c>
      <c r="KK25" s="81">
        <v>4.3465251655322001</v>
      </c>
      <c r="KL25" s="81">
        <v>5.47388723506457</v>
      </c>
      <c r="KM25" s="81">
        <v>5.5332095040277496</v>
      </c>
      <c r="KN25" s="81">
        <v>6.7178049366043204</v>
      </c>
      <c r="KO25" s="81">
        <v>7.8950673984858204</v>
      </c>
    </row>
    <row r="26" spans="1:301" s="72" customFormat="1" ht="18" customHeight="1">
      <c r="A26" s="73"/>
      <c r="B26" s="73" t="s">
        <v>167</v>
      </c>
      <c r="C26" s="89">
        <v>32.601285784129047</v>
      </c>
      <c r="D26" s="89">
        <v>28.966444017492879</v>
      </c>
      <c r="E26" s="89">
        <v>31.574996416176184</v>
      </c>
      <c r="F26" s="89">
        <v>27.308217731302587</v>
      </c>
      <c r="G26" s="89">
        <v>27.013373618779323</v>
      </c>
      <c r="H26" s="89">
        <v>22.630681262389903</v>
      </c>
      <c r="I26" s="89">
        <v>26.43342921598893</v>
      </c>
      <c r="J26" s="89">
        <v>29.678558926135832</v>
      </c>
      <c r="K26" s="89">
        <v>35.088807795726431</v>
      </c>
      <c r="L26" s="89">
        <v>41.174834653593742</v>
      </c>
      <c r="M26" s="89">
        <v>41.630483424723103</v>
      </c>
      <c r="N26" s="89">
        <v>36.752831904347097</v>
      </c>
      <c r="O26" s="89">
        <v>38.923882596254835</v>
      </c>
      <c r="P26" s="89">
        <v>44.005844443059921</v>
      </c>
      <c r="Q26" s="89">
        <v>43.822526793549109</v>
      </c>
      <c r="R26" s="89">
        <v>41.431129169612554</v>
      </c>
      <c r="S26" s="89">
        <v>39.775565929026918</v>
      </c>
      <c r="T26" s="89">
        <v>41.853590605304447</v>
      </c>
      <c r="U26" s="89">
        <v>45.778483968008388</v>
      </c>
      <c r="V26" s="89">
        <v>44.783056703580037</v>
      </c>
      <c r="W26" s="89">
        <v>39.502354461921477</v>
      </c>
      <c r="X26" s="89">
        <v>39.044925719907631</v>
      </c>
      <c r="Y26" s="89">
        <v>30.094298911617248</v>
      </c>
      <c r="Z26" s="89">
        <v>38.274762475024446</v>
      </c>
      <c r="AA26" s="89">
        <v>44.663954098269365</v>
      </c>
      <c r="AB26" s="89">
        <v>48.571978358898008</v>
      </c>
      <c r="AC26" s="89">
        <v>47.481932675690452</v>
      </c>
      <c r="AD26" s="89">
        <v>46.061791230028405</v>
      </c>
      <c r="AE26" s="89">
        <v>36.162857138493273</v>
      </c>
      <c r="AF26" s="89">
        <v>39.729182454681776</v>
      </c>
      <c r="AG26" s="89">
        <v>43.83100488052586</v>
      </c>
      <c r="AH26" s="89">
        <v>39.204454589761539</v>
      </c>
      <c r="AI26" s="89">
        <v>41.311550884607129</v>
      </c>
      <c r="AJ26" s="89">
        <v>52.794387581765776</v>
      </c>
      <c r="AK26" s="89">
        <v>45.193913810265549</v>
      </c>
      <c r="AL26" s="89">
        <v>43.795774059048881</v>
      </c>
      <c r="AM26" s="89">
        <v>41.022530156921597</v>
      </c>
      <c r="AN26" s="89">
        <v>53.887011752090324</v>
      </c>
      <c r="AO26" s="89">
        <v>51.748950923640905</v>
      </c>
      <c r="AP26" s="89">
        <v>53.693513743317077</v>
      </c>
      <c r="AQ26" s="89">
        <v>46.458308100538318</v>
      </c>
      <c r="AR26" s="89">
        <v>39.54564276929041</v>
      </c>
      <c r="AS26" s="89">
        <v>51.911610000000003</v>
      </c>
      <c r="AT26" s="89">
        <v>43.352890000000002</v>
      </c>
      <c r="AU26" s="89">
        <v>44.482729999999997</v>
      </c>
      <c r="AV26" s="89">
        <v>43.429630000000003</v>
      </c>
      <c r="AW26" s="89">
        <v>44.332520000000002</v>
      </c>
      <c r="AX26" s="89">
        <v>41.15307</v>
      </c>
      <c r="AY26" s="89">
        <v>40.106670000000001</v>
      </c>
      <c r="AZ26" s="89">
        <v>39.682270000000003</v>
      </c>
      <c r="BA26" s="89">
        <v>38.398449999999997</v>
      </c>
      <c r="BB26" s="89">
        <v>42.981540000000003</v>
      </c>
      <c r="BC26" s="89">
        <v>34.835129999999999</v>
      </c>
      <c r="BD26" s="89">
        <v>33.97869</v>
      </c>
      <c r="BE26" s="89">
        <v>43.919609999999999</v>
      </c>
      <c r="BF26" s="89">
        <v>43.290520000000001</v>
      </c>
      <c r="BG26" s="89">
        <v>33.322139999999997</v>
      </c>
      <c r="BH26" s="89">
        <v>42.575470000000003</v>
      </c>
      <c r="BI26" s="89">
        <v>47.452219999999997</v>
      </c>
      <c r="BJ26" s="89">
        <v>45.689950000000003</v>
      </c>
      <c r="BK26" s="89">
        <v>37.65125098546104</v>
      </c>
      <c r="BL26" s="89">
        <v>39.057825851177618</v>
      </c>
      <c r="BM26" s="89">
        <v>53.609286381171607</v>
      </c>
      <c r="BN26" s="89">
        <v>53.386196470820735</v>
      </c>
      <c r="BO26" s="89">
        <v>46.889529591365829</v>
      </c>
      <c r="BP26" s="89">
        <v>47.470093138177162</v>
      </c>
      <c r="BQ26" s="89">
        <v>56.384832701436757</v>
      </c>
      <c r="BR26" s="89">
        <v>50.376199588419865</v>
      </c>
      <c r="BS26" s="89">
        <v>46.254711056541481</v>
      </c>
      <c r="BT26" s="89">
        <v>53.860610164961429</v>
      </c>
      <c r="BU26" s="89">
        <v>52.523812079144818</v>
      </c>
      <c r="BV26" s="89">
        <v>51.223828561134219</v>
      </c>
      <c r="BW26" s="89">
        <v>54.557893087860556</v>
      </c>
      <c r="BX26" s="89">
        <v>54.663145169841108</v>
      </c>
      <c r="BY26" s="89">
        <v>52.400724256717247</v>
      </c>
      <c r="BZ26" s="89">
        <v>41.303423725348132</v>
      </c>
      <c r="CA26" s="89">
        <v>51.424763887000168</v>
      </c>
      <c r="CB26" s="89">
        <v>54.031101904340254</v>
      </c>
      <c r="CC26" s="89">
        <v>57.367374576458694</v>
      </c>
      <c r="CD26" s="89">
        <v>51.215590063022546</v>
      </c>
      <c r="CE26" s="89">
        <v>61.452043510516887</v>
      </c>
      <c r="CF26" s="89">
        <v>54.328144889056986</v>
      </c>
      <c r="CG26" s="89">
        <v>48.586852699358587</v>
      </c>
      <c r="CH26" s="89">
        <v>50.550269205081563</v>
      </c>
      <c r="CI26" s="89">
        <v>50.599257528253702</v>
      </c>
      <c r="CJ26" s="89">
        <v>54.100828559777803</v>
      </c>
      <c r="CK26" s="89">
        <v>48.409874643879988</v>
      </c>
      <c r="CL26" s="89">
        <v>47.262274760430536</v>
      </c>
      <c r="CM26" s="89">
        <v>41.894894597148415</v>
      </c>
      <c r="CN26" s="89">
        <v>41.558946739560319</v>
      </c>
      <c r="CO26" s="89">
        <v>54.991995666955226</v>
      </c>
      <c r="CP26" s="89">
        <v>46.581048714343481</v>
      </c>
      <c r="CQ26" s="89">
        <v>44.112246485295671</v>
      </c>
      <c r="CR26" s="89">
        <v>44.112019005493586</v>
      </c>
      <c r="CS26" s="89">
        <v>48.244890806838839</v>
      </c>
      <c r="CT26" s="89">
        <v>47.644194101088679</v>
      </c>
      <c r="CU26" s="89">
        <v>45.323457249417373</v>
      </c>
      <c r="CV26" s="89">
        <v>46.1684232718384</v>
      </c>
      <c r="CW26" s="89">
        <v>51.628353710188748</v>
      </c>
      <c r="CX26" s="89">
        <v>45.916336673496176</v>
      </c>
      <c r="CY26" s="89">
        <v>46.479689933687496</v>
      </c>
      <c r="CZ26" s="89">
        <v>54.8122646057952</v>
      </c>
      <c r="DA26" s="89">
        <v>51.685740996218868</v>
      </c>
      <c r="DB26" s="89">
        <v>51.491726689251969</v>
      </c>
      <c r="DC26" s="89">
        <v>48.381524804598065</v>
      </c>
      <c r="DD26" s="89">
        <v>46.742222827016043</v>
      </c>
      <c r="DE26" s="89">
        <v>47.32679978373271</v>
      </c>
      <c r="DF26" s="89">
        <v>47.989501324125285</v>
      </c>
      <c r="DG26" s="89">
        <v>48.297482127713231</v>
      </c>
      <c r="DH26" s="89">
        <v>51.957024594414889</v>
      </c>
      <c r="DI26" s="89">
        <v>46.813199169273744</v>
      </c>
      <c r="DJ26" s="89">
        <v>45.32263149206878</v>
      </c>
      <c r="DK26" s="89">
        <v>46.980873739585228</v>
      </c>
      <c r="DL26" s="89">
        <v>49.953315987059263</v>
      </c>
      <c r="DM26" s="89">
        <v>53.340724813009999</v>
      </c>
      <c r="DN26" s="89">
        <v>51.368084885690159</v>
      </c>
      <c r="DO26" s="89">
        <v>43.149391655275622</v>
      </c>
      <c r="DP26" s="89">
        <v>48.932610396991841</v>
      </c>
      <c r="DQ26" s="89">
        <v>41.27555558457842</v>
      </c>
      <c r="DR26" s="89">
        <v>46.87879983699159</v>
      </c>
      <c r="DS26" s="89">
        <v>43.768300322913881</v>
      </c>
      <c r="DT26" s="89">
        <v>48.964618235958454</v>
      </c>
      <c r="DU26" s="89">
        <v>49.738509831932951</v>
      </c>
      <c r="DV26" s="89">
        <v>42.01921210604938</v>
      </c>
      <c r="DW26" s="89">
        <v>37.41926531475432</v>
      </c>
      <c r="DX26" s="89">
        <v>40.853379341387651</v>
      </c>
      <c r="DY26" s="89">
        <v>44.117660608895072</v>
      </c>
      <c r="DZ26" s="89">
        <v>47.044046432356801</v>
      </c>
      <c r="EA26" s="89">
        <v>54.271623393374767</v>
      </c>
      <c r="EB26" s="89">
        <v>50.517006059862965</v>
      </c>
      <c r="EC26" s="89">
        <v>39.828530183363355</v>
      </c>
      <c r="ED26" s="89">
        <v>39.838045381409032</v>
      </c>
      <c r="EE26" s="89">
        <v>45.985839133879658</v>
      </c>
      <c r="EF26" s="89">
        <v>36.076378491869114</v>
      </c>
      <c r="EG26" s="89">
        <v>48.847472646736414</v>
      </c>
      <c r="EH26" s="89">
        <v>38.695374771602204</v>
      </c>
      <c r="EI26" s="89">
        <v>41.376947364657198</v>
      </c>
      <c r="EJ26" s="89">
        <v>50.793037964924167</v>
      </c>
      <c r="EK26" s="89">
        <v>49.355824556826548</v>
      </c>
      <c r="EL26" s="89">
        <v>51.339793783743247</v>
      </c>
      <c r="EM26" s="89">
        <v>42.00267830194862</v>
      </c>
      <c r="EN26" s="89">
        <v>45.648306688214099</v>
      </c>
      <c r="EO26" s="89">
        <v>43.688424585006494</v>
      </c>
      <c r="EP26" s="89">
        <v>43.653466718024617</v>
      </c>
      <c r="EQ26" s="89">
        <v>34.248915397300003</v>
      </c>
      <c r="ER26" s="89">
        <v>46.176355960599345</v>
      </c>
      <c r="ES26" s="89">
        <v>43.243272980838363</v>
      </c>
      <c r="ET26" s="89">
        <v>34.625014338304432</v>
      </c>
      <c r="EU26" s="89">
        <v>42.932130214757706</v>
      </c>
      <c r="EV26" s="89">
        <v>47.854271813059263</v>
      </c>
      <c r="EW26" s="89">
        <v>45.690274879637663</v>
      </c>
      <c r="EX26" s="89">
        <v>44.287086191843564</v>
      </c>
      <c r="EY26" s="89">
        <v>35.837143135417968</v>
      </c>
      <c r="EZ26" s="89">
        <v>43.697801049788396</v>
      </c>
      <c r="FA26" s="89">
        <v>46.392290554196947</v>
      </c>
      <c r="FB26" s="89">
        <v>34.493359063682064</v>
      </c>
      <c r="FC26" s="89">
        <v>48.279242485474477</v>
      </c>
      <c r="FD26" s="89">
        <v>45.902592334384963</v>
      </c>
      <c r="FE26" s="89">
        <v>39.506107497136369</v>
      </c>
      <c r="FF26" s="89">
        <v>43.090950741638707</v>
      </c>
      <c r="FG26" s="89">
        <v>37.707567061985721</v>
      </c>
      <c r="FH26" s="89">
        <v>54.403843284749556</v>
      </c>
      <c r="FI26" s="89">
        <v>49.417487737589958</v>
      </c>
      <c r="FJ26" s="89">
        <v>43.734015645013756</v>
      </c>
      <c r="FK26" s="89">
        <v>46.756040912200625</v>
      </c>
      <c r="FL26" s="89">
        <v>46.225604236621315</v>
      </c>
      <c r="FM26" s="89">
        <v>44.585641299954538</v>
      </c>
      <c r="FN26" s="89">
        <v>48.723353588156876</v>
      </c>
      <c r="FO26" s="89">
        <v>49.997179760173367</v>
      </c>
      <c r="FP26" s="89">
        <v>47.747770639914435</v>
      </c>
      <c r="FQ26" s="89">
        <v>42.110261076730765</v>
      </c>
      <c r="FR26" s="89">
        <v>47.626469863284996</v>
      </c>
      <c r="FS26" s="89">
        <v>42.577677026812204</v>
      </c>
      <c r="FT26" s="89">
        <v>51.771611945293749</v>
      </c>
      <c r="FU26" s="89">
        <v>49.67285102675104</v>
      </c>
      <c r="FV26" s="89">
        <v>44.310962370998176</v>
      </c>
      <c r="FW26" s="89">
        <v>44.896662653512678</v>
      </c>
      <c r="FX26" s="89">
        <v>41.436124566844526</v>
      </c>
      <c r="FY26" s="89">
        <v>43.269042554090035</v>
      </c>
      <c r="FZ26" s="89">
        <v>40.553342657318098</v>
      </c>
      <c r="GA26" s="89">
        <v>43.55196667545502</v>
      </c>
      <c r="GB26" s="89">
        <v>44.737373018375202</v>
      </c>
      <c r="GC26" s="89">
        <v>43.44420621511388</v>
      </c>
      <c r="GD26" s="89">
        <v>42.842163611010548</v>
      </c>
      <c r="GE26" s="89">
        <v>44.626551708917582</v>
      </c>
      <c r="GF26" s="89">
        <v>46.712373921465556</v>
      </c>
      <c r="GG26" s="89">
        <v>51.886137689832637</v>
      </c>
      <c r="GH26" s="89">
        <v>43.402605063676432</v>
      </c>
      <c r="GI26" s="89">
        <v>44.605148352363742</v>
      </c>
      <c r="GJ26" s="89">
        <v>45.953113982121337</v>
      </c>
      <c r="GK26" s="89">
        <v>41.263745403069926</v>
      </c>
      <c r="GL26" s="89">
        <v>45.782466598229043</v>
      </c>
      <c r="GM26" s="89">
        <v>39.643704230521081</v>
      </c>
      <c r="GN26" s="89">
        <v>39.867813124475425</v>
      </c>
      <c r="GO26" s="89">
        <v>41.969043467195249</v>
      </c>
      <c r="GP26" s="89">
        <v>40.367747652716609</v>
      </c>
      <c r="GQ26" s="89">
        <v>36.67005827191258</v>
      </c>
      <c r="GR26" s="89">
        <v>40.879318852757258</v>
      </c>
      <c r="GS26" s="89">
        <v>41.731629184196478</v>
      </c>
      <c r="GT26" s="89">
        <v>41.025280604361768</v>
      </c>
      <c r="GU26" s="89">
        <v>43.356131506565752</v>
      </c>
      <c r="GV26" s="89">
        <v>46.93182920846062</v>
      </c>
      <c r="GW26" s="89">
        <v>41.748896691529787</v>
      </c>
      <c r="GX26" s="89">
        <v>42.497042868597696</v>
      </c>
      <c r="GY26" s="89">
        <v>40.000518986442188</v>
      </c>
      <c r="GZ26" s="89">
        <v>37.782205129552914</v>
      </c>
      <c r="HA26" s="89">
        <v>37.573602663199921</v>
      </c>
      <c r="HB26" s="89">
        <v>41.168863484774135</v>
      </c>
      <c r="HC26" s="89">
        <v>36.105345478439759</v>
      </c>
      <c r="HD26" s="89">
        <v>43.326413789802956</v>
      </c>
      <c r="HE26" s="89">
        <v>40.051938633122013</v>
      </c>
      <c r="HF26" s="89">
        <v>47.181840717050662</v>
      </c>
      <c r="HG26" s="89">
        <v>39.918555092018018</v>
      </c>
      <c r="HH26" s="89">
        <v>38.023193113871287</v>
      </c>
      <c r="HI26" s="89">
        <v>43.65505945223213</v>
      </c>
      <c r="HJ26" s="89">
        <v>42.712219160516199</v>
      </c>
      <c r="HK26" s="89">
        <v>39.372375609025703</v>
      </c>
      <c r="HL26" s="89">
        <v>37.932504047814071</v>
      </c>
      <c r="HM26" s="89">
        <v>36.796005339960296</v>
      </c>
      <c r="HN26" s="89">
        <v>38.920442931454524</v>
      </c>
      <c r="HO26" s="89">
        <v>37.466118766306543</v>
      </c>
      <c r="HP26" s="89">
        <v>45.460840022887048</v>
      </c>
      <c r="HQ26" s="89">
        <v>51.725122032040517</v>
      </c>
      <c r="HR26" s="89">
        <v>37.976500000000001</v>
      </c>
      <c r="HS26" s="89">
        <v>34.794699999999999</v>
      </c>
      <c r="HT26" s="89">
        <v>41.5758780458468</v>
      </c>
      <c r="HU26" s="89">
        <v>43.307700126314003</v>
      </c>
      <c r="HV26" s="89">
        <v>50.6418230332634</v>
      </c>
      <c r="HW26" s="89">
        <v>55.615515676455402</v>
      </c>
      <c r="HX26" s="89">
        <v>58.383225839324297</v>
      </c>
      <c r="HY26" s="89">
        <v>60.413480801823503</v>
      </c>
      <c r="HZ26" s="89">
        <v>60.905926986229602</v>
      </c>
      <c r="IA26" s="89">
        <v>58.060507502619799</v>
      </c>
      <c r="IB26" s="89">
        <v>62.686701735433701</v>
      </c>
      <c r="IC26" s="89">
        <v>67.115023778111507</v>
      </c>
      <c r="ID26" s="89">
        <v>59.813687073176403</v>
      </c>
      <c r="IE26" s="89">
        <v>47.8771128572291</v>
      </c>
      <c r="IF26" s="89">
        <v>54.5226852769228</v>
      </c>
      <c r="IG26" s="89">
        <v>55.969637131100299</v>
      </c>
      <c r="IH26" s="89">
        <v>55.875734780939503</v>
      </c>
      <c r="II26" s="89">
        <v>55.304839185991199</v>
      </c>
      <c r="IJ26" s="89">
        <v>53.425929432187303</v>
      </c>
      <c r="IK26" s="89">
        <v>50.284673005134898</v>
      </c>
      <c r="IL26" s="89">
        <v>53.077076874349103</v>
      </c>
      <c r="IM26" s="89">
        <v>55.0155247168058</v>
      </c>
      <c r="IN26" s="89">
        <v>59.092344931803297</v>
      </c>
      <c r="IO26" s="89">
        <v>63.964874656821799</v>
      </c>
      <c r="IP26" s="89">
        <v>59.872930110030403</v>
      </c>
      <c r="IQ26" s="89">
        <v>60.779701269642402</v>
      </c>
      <c r="IR26" s="89">
        <v>59.706864608563201</v>
      </c>
      <c r="IS26" s="89">
        <v>64.236342278735194</v>
      </c>
      <c r="IT26" s="89">
        <v>54.565140432194099</v>
      </c>
      <c r="IU26" s="89">
        <v>57.4368306830645</v>
      </c>
      <c r="IV26" s="89">
        <v>59.2868791569514</v>
      </c>
      <c r="IW26" s="89">
        <v>55.053133116753003</v>
      </c>
      <c r="IX26" s="89">
        <v>54.143074948550598</v>
      </c>
      <c r="IY26" s="89">
        <v>54.427508821700897</v>
      </c>
      <c r="IZ26" s="89">
        <v>60.060966854370797</v>
      </c>
      <c r="JA26" s="89">
        <v>62.8057626588202</v>
      </c>
      <c r="JB26" s="89">
        <v>59.307868734914699</v>
      </c>
      <c r="JC26" s="89">
        <v>57.153885540958797</v>
      </c>
      <c r="JD26" s="89">
        <v>57.727755210184803</v>
      </c>
      <c r="JE26" s="89">
        <v>54.863183697586202</v>
      </c>
      <c r="JF26" s="89">
        <v>57.8913667239595</v>
      </c>
      <c r="JG26" s="89">
        <v>53.241949794263803</v>
      </c>
      <c r="JH26" s="89">
        <v>52.4176972465212</v>
      </c>
      <c r="JI26" s="89">
        <v>51.956530480855498</v>
      </c>
      <c r="JJ26" s="89">
        <v>47.683731244929902</v>
      </c>
      <c r="JK26" s="89">
        <v>46.871016759165002</v>
      </c>
      <c r="JL26" s="89">
        <v>52.345834308560498</v>
      </c>
      <c r="JM26" s="89">
        <v>55.203654357740298</v>
      </c>
      <c r="JN26" s="89">
        <v>54.026403827347998</v>
      </c>
      <c r="JO26" s="89">
        <v>45.676152693572902</v>
      </c>
      <c r="JP26" s="89">
        <v>52.343665309726198</v>
      </c>
      <c r="JQ26" s="89">
        <v>50.855431772153104</v>
      </c>
      <c r="JR26" s="89">
        <v>56.121625627675101</v>
      </c>
      <c r="JS26" s="89">
        <v>54.186795218802601</v>
      </c>
      <c r="JT26" s="89">
        <v>57.110428387274801</v>
      </c>
      <c r="JU26" s="89">
        <v>52.655344146470497</v>
      </c>
      <c r="JV26" s="89">
        <v>57.716829197095798</v>
      </c>
      <c r="JW26" s="89">
        <v>54.397572855427804</v>
      </c>
      <c r="JX26" s="89">
        <v>55.224734557816099</v>
      </c>
      <c r="JY26" s="89">
        <v>58.713947700162699</v>
      </c>
      <c r="JZ26" s="89">
        <v>57.706062583488297</v>
      </c>
      <c r="KA26" s="89">
        <v>55.726095970409503</v>
      </c>
      <c r="KB26" s="89">
        <v>56.252233969450103</v>
      </c>
      <c r="KC26" s="89">
        <v>54.977406523397597</v>
      </c>
      <c r="KD26" s="89">
        <v>53.928225330320203</v>
      </c>
      <c r="KE26" s="89">
        <v>53.296122692662898</v>
      </c>
      <c r="KF26" s="215">
        <v>52.409094273494397</v>
      </c>
      <c r="KG26" s="215">
        <v>52.009235950935299</v>
      </c>
      <c r="KH26" s="215">
        <v>52.051366806693103</v>
      </c>
      <c r="KI26" s="215">
        <v>47.511944359149801</v>
      </c>
      <c r="KJ26" s="215">
        <v>51.667474771381201</v>
      </c>
      <c r="KK26" s="215">
        <v>54.559754174922602</v>
      </c>
      <c r="KL26" s="215">
        <v>49.8494811102074</v>
      </c>
      <c r="KM26" s="215">
        <v>48.491169576435198</v>
      </c>
      <c r="KN26" s="215">
        <v>47.857109979109502</v>
      </c>
      <c r="KO26" s="215">
        <v>47.218267847175298</v>
      </c>
    </row>
    <row r="27" spans="1:301" s="77" customFormat="1" ht="18" customHeight="1" thickBot="1">
      <c r="A27" s="69"/>
      <c r="B27" s="69" t="s">
        <v>168</v>
      </c>
      <c r="C27" s="97">
        <v>0</v>
      </c>
      <c r="D27" s="97">
        <v>0</v>
      </c>
      <c r="E27" s="97">
        <v>0</v>
      </c>
      <c r="F27" s="97">
        <v>0</v>
      </c>
      <c r="G27" s="97">
        <v>0</v>
      </c>
      <c r="H27" s="97">
        <v>0</v>
      </c>
      <c r="I27" s="97">
        <v>0</v>
      </c>
      <c r="J27" s="97">
        <v>0</v>
      </c>
      <c r="K27" s="97">
        <v>0</v>
      </c>
      <c r="L27" s="97">
        <v>0</v>
      </c>
      <c r="M27" s="97">
        <v>0</v>
      </c>
      <c r="N27" s="97">
        <v>0</v>
      </c>
      <c r="O27" s="97">
        <v>0</v>
      </c>
      <c r="P27" s="97">
        <v>0</v>
      </c>
      <c r="Q27" s="97">
        <v>0</v>
      </c>
      <c r="R27" s="97">
        <v>0</v>
      </c>
      <c r="S27" s="97">
        <v>0</v>
      </c>
      <c r="T27" s="97">
        <v>0</v>
      </c>
      <c r="U27" s="97">
        <v>0</v>
      </c>
      <c r="V27" s="97">
        <v>0</v>
      </c>
      <c r="W27" s="97">
        <v>0</v>
      </c>
      <c r="X27" s="97">
        <v>0</v>
      </c>
      <c r="Y27" s="97">
        <v>0</v>
      </c>
      <c r="Z27" s="97">
        <v>0</v>
      </c>
      <c r="AA27" s="97">
        <v>0</v>
      </c>
      <c r="AB27" s="97">
        <v>0</v>
      </c>
      <c r="AC27" s="97">
        <v>0</v>
      </c>
      <c r="AD27" s="97">
        <v>0</v>
      </c>
      <c r="AE27" s="97">
        <v>0</v>
      </c>
      <c r="AF27" s="97">
        <v>0</v>
      </c>
      <c r="AG27" s="97">
        <v>0</v>
      </c>
      <c r="AH27" s="97">
        <v>0</v>
      </c>
      <c r="AI27" s="97">
        <v>0</v>
      </c>
      <c r="AJ27" s="97">
        <v>0</v>
      </c>
      <c r="AK27" s="97">
        <v>0</v>
      </c>
      <c r="AL27" s="97">
        <v>0</v>
      </c>
      <c r="AM27" s="97">
        <v>0</v>
      </c>
      <c r="AN27" s="97">
        <v>0</v>
      </c>
      <c r="AO27" s="97">
        <v>0</v>
      </c>
      <c r="AP27" s="97">
        <v>0</v>
      </c>
      <c r="AQ27" s="97">
        <v>0</v>
      </c>
      <c r="AR27" s="97">
        <v>0</v>
      </c>
      <c r="AS27" s="97">
        <v>11.3962</v>
      </c>
      <c r="AT27" s="97">
        <v>2.5530020000000002</v>
      </c>
      <c r="AU27" s="97">
        <v>4.3463099999999999</v>
      </c>
      <c r="AV27" s="97">
        <v>5.8590970000000002</v>
      </c>
      <c r="AW27" s="97">
        <v>2.0911200000000001</v>
      </c>
      <c r="AX27" s="97">
        <v>4.6989859999999997</v>
      </c>
      <c r="AY27" s="97">
        <v>4.0751549999999996</v>
      </c>
      <c r="AZ27" s="97">
        <v>5.5232010000000002</v>
      </c>
      <c r="BA27" s="97">
        <v>3.4185629999999998</v>
      </c>
      <c r="BB27" s="97">
        <v>6.102455</v>
      </c>
      <c r="BC27" s="97">
        <v>2.7225980000000001</v>
      </c>
      <c r="BD27" s="97">
        <v>3.00359</v>
      </c>
      <c r="BE27" s="97">
        <v>3.6249380000000002</v>
      </c>
      <c r="BF27" s="97">
        <v>4.9724969999999997</v>
      </c>
      <c r="BG27" s="97">
        <v>4.7792250000000003</v>
      </c>
      <c r="BH27" s="97">
        <v>3.7734939999999999</v>
      </c>
      <c r="BI27" s="97">
        <v>4.1583269999999999</v>
      </c>
      <c r="BJ27" s="97">
        <v>2.4254009999999999</v>
      </c>
      <c r="BK27" s="97">
        <v>3.0268112248971071</v>
      </c>
      <c r="BL27" s="97">
        <v>2.6860847224101145</v>
      </c>
      <c r="BM27" s="97">
        <v>5.6538139217256749</v>
      </c>
      <c r="BN27" s="97">
        <v>4.1562239202536464</v>
      </c>
      <c r="BO27" s="97">
        <v>2.6453330433583382</v>
      </c>
      <c r="BP27" s="97">
        <v>3.5316383385240546</v>
      </c>
      <c r="BQ27" s="97">
        <v>2.0681078708682561</v>
      </c>
      <c r="BR27" s="97">
        <v>2.1001293254810136</v>
      </c>
      <c r="BS27" s="97">
        <v>2.0959272358209198</v>
      </c>
      <c r="BT27" s="97">
        <v>3.0815237924855263</v>
      </c>
      <c r="BU27" s="97">
        <v>6.0973741893355822</v>
      </c>
      <c r="BV27" s="97">
        <v>2.222606934961866</v>
      </c>
      <c r="BW27" s="97">
        <v>3.3280257598974643</v>
      </c>
      <c r="BX27" s="97">
        <v>5.8718349997252828</v>
      </c>
      <c r="BY27" s="97">
        <v>10.996402809090311</v>
      </c>
      <c r="BZ27" s="97">
        <v>25.422815193996719</v>
      </c>
      <c r="CA27" s="97">
        <v>2.0158697863998989</v>
      </c>
      <c r="CB27" s="97">
        <v>2.3581143090879637</v>
      </c>
      <c r="CC27" s="97">
        <v>1.9934007956698812</v>
      </c>
      <c r="CD27" s="97">
        <v>4.9945943555890615</v>
      </c>
      <c r="CE27" s="97">
        <v>2.4447143107082883</v>
      </c>
      <c r="CF27" s="97">
        <v>2.2060651828429698</v>
      </c>
      <c r="CG27" s="97">
        <v>2.228765626656517</v>
      </c>
      <c r="CH27" s="97">
        <v>4.4581772296922395</v>
      </c>
      <c r="CI27" s="97">
        <v>1.8377940019333505</v>
      </c>
      <c r="CJ27" s="97">
        <v>1.4979914079209924</v>
      </c>
      <c r="CK27" s="97">
        <v>3.8328471350351361</v>
      </c>
      <c r="CL27" s="97">
        <v>2.5988960733648292</v>
      </c>
      <c r="CM27" s="97">
        <v>1.9273271586594383</v>
      </c>
      <c r="CN27" s="97">
        <v>6.3323274096854139</v>
      </c>
      <c r="CO27" s="97">
        <v>2.8377163604377893</v>
      </c>
      <c r="CP27" s="97">
        <v>2.2618573306627896</v>
      </c>
      <c r="CQ27" s="97">
        <v>4.0182184515592123</v>
      </c>
      <c r="CR27" s="97">
        <v>3.6850691968259852</v>
      </c>
      <c r="CS27" s="97">
        <v>5.1244428780578319</v>
      </c>
      <c r="CT27" s="97">
        <v>4.9256091750680913</v>
      </c>
      <c r="CU27" s="97">
        <v>5.0699871144989492</v>
      </c>
      <c r="CV27" s="97">
        <v>6.7411105801186828</v>
      </c>
      <c r="CW27" s="97">
        <v>2.2482610002765551</v>
      </c>
      <c r="CX27" s="97">
        <v>5.4618946629406464</v>
      </c>
      <c r="CY27" s="97">
        <v>3.3325358462084642</v>
      </c>
      <c r="CZ27" s="97">
        <v>3.4377146547574475</v>
      </c>
      <c r="DA27" s="97">
        <v>3.7009359506133848</v>
      </c>
      <c r="DB27" s="97">
        <v>1.4823784971532334</v>
      </c>
      <c r="DC27" s="97">
        <v>2.4797108411408448</v>
      </c>
      <c r="DD27" s="97">
        <v>0.78651613356836947</v>
      </c>
      <c r="DE27" s="97">
        <v>2.3836815117920458</v>
      </c>
      <c r="DF27" s="97">
        <v>2.3322892993656033</v>
      </c>
      <c r="DG27" s="97">
        <v>2.1136186798339702</v>
      </c>
      <c r="DH27" s="97">
        <v>2.9021364856594958</v>
      </c>
      <c r="DI27" s="97">
        <v>2.4486462587219564</v>
      </c>
      <c r="DJ27" s="97">
        <v>2.5647678098955518</v>
      </c>
      <c r="DK27" s="97">
        <v>2.2376268004475612</v>
      </c>
      <c r="DL27" s="97">
        <v>1.9012831753594923</v>
      </c>
      <c r="DM27" s="97">
        <v>2.3327924789384995</v>
      </c>
      <c r="DN27" s="97">
        <v>2.9713827825363377</v>
      </c>
      <c r="DO27" s="97">
        <v>2.8303211769130652</v>
      </c>
      <c r="DP27" s="97">
        <v>2.2742653173926661</v>
      </c>
      <c r="DQ27" s="97">
        <v>2.0654069200321934</v>
      </c>
      <c r="DR27" s="97">
        <v>2.5472490594800949</v>
      </c>
      <c r="DS27" s="97">
        <v>1.5749166381070019</v>
      </c>
      <c r="DT27" s="97">
        <v>1.8770528387398682</v>
      </c>
      <c r="DU27" s="97">
        <v>2.7964896756969075</v>
      </c>
      <c r="DV27" s="97">
        <v>2.3601274560497969</v>
      </c>
      <c r="DW27" s="97">
        <v>2.2088992795268747</v>
      </c>
      <c r="DX27" s="97">
        <v>2.6344630364853638</v>
      </c>
      <c r="DY27" s="97">
        <v>4.1357764112770603</v>
      </c>
      <c r="DZ27" s="97">
        <v>3.2524010912552512</v>
      </c>
      <c r="EA27" s="97">
        <v>4.2234843393924946</v>
      </c>
      <c r="EB27" s="97">
        <v>3.0651729033087305</v>
      </c>
      <c r="EC27" s="97">
        <v>3.2513837365652094</v>
      </c>
      <c r="ED27" s="97">
        <v>5.0547928427330069</v>
      </c>
      <c r="EE27" s="97">
        <v>5.9800486707249485</v>
      </c>
      <c r="EF27" s="97">
        <v>5.6252593096696568</v>
      </c>
      <c r="EG27" s="97">
        <v>5.261280973570007</v>
      </c>
      <c r="EH27" s="97">
        <v>5.5006421782187136</v>
      </c>
      <c r="EI27" s="97">
        <v>4.221256148763012</v>
      </c>
      <c r="EJ27" s="97">
        <v>3.5873193558647327</v>
      </c>
      <c r="EK27" s="97">
        <v>2.6006256362698306</v>
      </c>
      <c r="EL27" s="97">
        <v>3.034086385236916</v>
      </c>
      <c r="EM27" s="97">
        <v>5.0250590135337312</v>
      </c>
      <c r="EN27" s="97">
        <v>4.4395777158751599</v>
      </c>
      <c r="EO27" s="97">
        <v>4.2737682291427843</v>
      </c>
      <c r="EP27" s="97">
        <v>2.6865156917509307</v>
      </c>
      <c r="EQ27" s="97">
        <v>5.1324760907574385</v>
      </c>
      <c r="ER27" s="97">
        <v>2.1140884974510481</v>
      </c>
      <c r="ES27" s="97">
        <v>2.8472041294475026</v>
      </c>
      <c r="ET27" s="97">
        <v>2.9347482856750968</v>
      </c>
      <c r="EU27" s="97">
        <v>1.9723626465089041</v>
      </c>
      <c r="EV27" s="97">
        <v>1.758738069863659</v>
      </c>
      <c r="EW27" s="97">
        <v>3.3771054946317927</v>
      </c>
      <c r="EX27" s="97">
        <v>4.1004551774231448</v>
      </c>
      <c r="EY27" s="97">
        <v>3.6959641187160934</v>
      </c>
      <c r="EZ27" s="97">
        <v>4.9200385873019403</v>
      </c>
      <c r="FA27" s="97">
        <v>3.0311154796340563</v>
      </c>
      <c r="FB27" s="97">
        <v>3.3573878318320851</v>
      </c>
      <c r="FC27" s="97">
        <v>3.6982779033387856</v>
      </c>
      <c r="FD27" s="97">
        <v>6.7467760896195923</v>
      </c>
      <c r="FE27" s="97">
        <v>2.526668056952535</v>
      </c>
      <c r="FF27" s="97">
        <v>2.4783654381554818</v>
      </c>
      <c r="FG27" s="97">
        <v>3.9461777814412886</v>
      </c>
      <c r="FH27" s="97">
        <v>2.9157738581569572</v>
      </c>
      <c r="FI27" s="97">
        <v>3.6759492072290367</v>
      </c>
      <c r="FJ27" s="97">
        <v>3.3117194343774123</v>
      </c>
      <c r="FK27" s="97">
        <v>3.5638213403253389</v>
      </c>
      <c r="FL27" s="97">
        <v>2.7380446999196022</v>
      </c>
      <c r="FM27" s="97">
        <v>5.2465234221965478</v>
      </c>
      <c r="FN27" s="97">
        <v>4.5872547390192944</v>
      </c>
      <c r="FO27" s="97">
        <v>4.0834048705230472</v>
      </c>
      <c r="FP27" s="97">
        <v>4.2100494264509152</v>
      </c>
      <c r="FQ27" s="97">
        <v>4.2321853582932434</v>
      </c>
      <c r="FR27" s="97">
        <v>3.3505583668610339</v>
      </c>
      <c r="FS27" s="97">
        <v>5.8152651056186571</v>
      </c>
      <c r="FT27" s="97">
        <v>6.9962089861422339</v>
      </c>
      <c r="FU27" s="97">
        <v>5.9188178269515532</v>
      </c>
      <c r="FV27" s="97">
        <v>5.6761165796346189</v>
      </c>
      <c r="FW27" s="97">
        <v>4.9173033832864181</v>
      </c>
      <c r="FX27" s="97">
        <v>4.7957797838855303</v>
      </c>
      <c r="FY27" s="97">
        <v>6.7701859043995993</v>
      </c>
      <c r="FZ27" s="97">
        <v>4.0465728002178922</v>
      </c>
      <c r="GA27" s="97">
        <v>4.6616484692422215</v>
      </c>
      <c r="GB27" s="97">
        <v>5.7239352567035855</v>
      </c>
      <c r="GC27" s="97">
        <v>4.6342429406051728</v>
      </c>
      <c r="GD27" s="97">
        <v>5.0952684963514434</v>
      </c>
      <c r="GE27" s="97">
        <v>4.207889065857298</v>
      </c>
      <c r="GF27" s="97">
        <v>3.9051237649633892</v>
      </c>
      <c r="GG27" s="97">
        <v>4.194615967148609</v>
      </c>
      <c r="GH27" s="97">
        <v>4.3659461934579582</v>
      </c>
      <c r="GI27" s="97">
        <v>4.5518695552735995</v>
      </c>
      <c r="GJ27" s="97">
        <v>3.3624650049041769</v>
      </c>
      <c r="GK27" s="97">
        <v>4.7382855318014379</v>
      </c>
      <c r="GL27" s="97">
        <v>4.9559999143378359</v>
      </c>
      <c r="GM27" s="97">
        <v>2.8578738230031493</v>
      </c>
      <c r="GN27" s="97">
        <v>4.7245719172112013</v>
      </c>
      <c r="GO27" s="97">
        <v>4.5147843734298512</v>
      </c>
      <c r="GP27" s="97">
        <v>3.1198129176515996</v>
      </c>
      <c r="GQ27" s="97">
        <v>3.3695631539862951</v>
      </c>
      <c r="GR27" s="97">
        <v>3.8828914424593046</v>
      </c>
      <c r="GS27" s="97">
        <v>4.4377037183754364</v>
      </c>
      <c r="GT27" s="97">
        <v>2.635763782432079</v>
      </c>
      <c r="GU27" s="97">
        <v>3.4502533900813139</v>
      </c>
      <c r="GV27" s="97">
        <v>3.622721189716759</v>
      </c>
      <c r="GW27" s="97">
        <v>4.4734029171508993</v>
      </c>
      <c r="GX27" s="97">
        <v>5.5100481964417733</v>
      </c>
      <c r="GY27" s="97">
        <v>4.1789036911165365</v>
      </c>
      <c r="GZ27" s="97">
        <v>2.3111012162160343</v>
      </c>
      <c r="HA27" s="97">
        <v>4.5422337867472722</v>
      </c>
      <c r="HB27" s="97">
        <v>3.4703070620738954</v>
      </c>
      <c r="HC27" s="97">
        <v>3.5951185934650742</v>
      </c>
      <c r="HD27" s="97">
        <v>5.4727821692582621</v>
      </c>
      <c r="HE27" s="97">
        <v>2.4338666663692425</v>
      </c>
      <c r="HF27" s="97">
        <v>4.2012140335581005</v>
      </c>
      <c r="HG27" s="97">
        <v>3.9446230834526785</v>
      </c>
      <c r="HH27" s="97">
        <v>3.6976392929670956</v>
      </c>
      <c r="HI27" s="97">
        <v>4.1561344757341629</v>
      </c>
      <c r="HJ27" s="97">
        <v>4.0533366378831115</v>
      </c>
      <c r="HK27" s="97">
        <v>2.0049203303688974</v>
      </c>
      <c r="HL27" s="97">
        <v>4.0186225758441099</v>
      </c>
      <c r="HM27" s="97">
        <v>2.513465908967961</v>
      </c>
      <c r="HN27" s="97">
        <v>3.141526651677701</v>
      </c>
      <c r="HO27" s="97">
        <v>2.2948955205982258</v>
      </c>
      <c r="HP27" s="97">
        <v>2.7028994850063142</v>
      </c>
      <c r="HQ27" s="97">
        <v>3.2871321577375379</v>
      </c>
      <c r="HR27" s="97">
        <v>3.0594199999999998</v>
      </c>
      <c r="HS27" s="97">
        <v>4.2017499999999997</v>
      </c>
      <c r="HT27" s="97">
        <v>11.6425544996236</v>
      </c>
      <c r="HU27" s="97">
        <v>5.2827902066020602</v>
      </c>
      <c r="HV27" s="97">
        <v>6.2717581610175399</v>
      </c>
      <c r="HW27" s="97">
        <v>7.0233179506021104</v>
      </c>
      <c r="HX27" s="97">
        <v>6.1337563702572799</v>
      </c>
      <c r="HY27" s="97">
        <v>4.9270414110029197</v>
      </c>
      <c r="HZ27" s="97">
        <v>5.1663046148001603</v>
      </c>
      <c r="IA27" s="97">
        <v>1.3610725561646499</v>
      </c>
      <c r="IB27" s="97">
        <v>5.09236984136062</v>
      </c>
      <c r="IC27" s="97">
        <v>2.07868007911856</v>
      </c>
      <c r="ID27" s="97">
        <v>2.7695323950153301</v>
      </c>
      <c r="IE27" s="97">
        <v>4.3983137756725803</v>
      </c>
      <c r="IF27" s="97">
        <v>4.8506319298731997</v>
      </c>
      <c r="IG27" s="97">
        <v>2.8845372301084402</v>
      </c>
      <c r="IH27" s="97">
        <v>5.5265037928874303</v>
      </c>
      <c r="II27" s="97">
        <v>3.4032324244342198</v>
      </c>
      <c r="IJ27" s="97">
        <v>2.5677206984656098</v>
      </c>
      <c r="IK27" s="97">
        <v>1.0655079102332401</v>
      </c>
      <c r="IL27" s="97">
        <v>1.63143332699321</v>
      </c>
      <c r="IM27" s="97">
        <v>1.03306580653196</v>
      </c>
      <c r="IN27" s="97">
        <v>1.3837238719570599</v>
      </c>
      <c r="IO27" s="97">
        <v>1.8953290973737</v>
      </c>
      <c r="IP27" s="97">
        <v>0.67144518029818201</v>
      </c>
      <c r="IQ27" s="97">
        <v>1.1452997029369001</v>
      </c>
      <c r="IR27" s="97">
        <v>1.1718091956340799</v>
      </c>
      <c r="IS27" s="97">
        <v>1.14911429544885</v>
      </c>
      <c r="IT27" s="97">
        <v>1.0654592084380701</v>
      </c>
      <c r="IU27" s="97">
        <v>1.0885276074853001</v>
      </c>
      <c r="IV27" s="97">
        <v>0.63707136934504205</v>
      </c>
      <c r="IW27" s="97">
        <v>1.3051994697073099</v>
      </c>
      <c r="IX27" s="97">
        <v>1.33262058307994</v>
      </c>
      <c r="IY27" s="97">
        <v>1.0699900541790599</v>
      </c>
      <c r="IZ27" s="97">
        <v>0.746698227417122</v>
      </c>
      <c r="JA27" s="97">
        <v>0.86822597213939501</v>
      </c>
      <c r="JB27" s="97">
        <v>0.57064327797902203</v>
      </c>
      <c r="JC27" s="97">
        <v>0.84777152732445404</v>
      </c>
      <c r="JD27" s="97">
        <v>0.68496981145810998</v>
      </c>
      <c r="JE27" s="97">
        <v>0.66304233721760597</v>
      </c>
      <c r="JF27" s="97">
        <v>0.78300344345884398</v>
      </c>
      <c r="JG27" s="97">
        <v>1.2965813317694901</v>
      </c>
      <c r="JH27" s="97">
        <v>0.85535674303651399</v>
      </c>
      <c r="JI27" s="97">
        <v>0.92661975299400801</v>
      </c>
      <c r="JJ27" s="97">
        <v>0.63081249236509396</v>
      </c>
      <c r="JK27" s="97">
        <v>0.66537682411001697</v>
      </c>
      <c r="JL27" s="97">
        <v>1.0560886735120101</v>
      </c>
      <c r="JM27" s="97">
        <v>1.2866500830661001</v>
      </c>
      <c r="JN27" s="97">
        <v>1.0409830969499001</v>
      </c>
      <c r="JO27" s="97">
        <v>0.99081716273928899</v>
      </c>
      <c r="JP27" s="97">
        <v>1.25436501390188</v>
      </c>
      <c r="JQ27" s="97">
        <v>1.00969228750819</v>
      </c>
      <c r="JR27" s="97">
        <v>1.4808474010467101</v>
      </c>
      <c r="JS27" s="97">
        <v>1.44298075977825</v>
      </c>
      <c r="JT27" s="97">
        <v>1.58023601466537</v>
      </c>
      <c r="JU27" s="97">
        <v>1.4254562139203799</v>
      </c>
      <c r="JV27" s="97">
        <v>0.98404303657204795</v>
      </c>
      <c r="JW27" s="97">
        <v>0.70836638409026398</v>
      </c>
      <c r="JX27" s="97">
        <v>0.79326446009584195</v>
      </c>
      <c r="JY27" s="97">
        <v>0.79243111621402695</v>
      </c>
      <c r="JZ27" s="97">
        <v>0.60344455470437997</v>
      </c>
      <c r="KA27" s="97">
        <v>0.99108385524030496</v>
      </c>
      <c r="KB27" s="97">
        <v>1.59622703891351</v>
      </c>
      <c r="KC27" s="97">
        <v>1.45029589616731</v>
      </c>
      <c r="KD27" s="97">
        <v>0.87667729439381603</v>
      </c>
      <c r="KE27" s="97">
        <v>2.1406832627789898</v>
      </c>
      <c r="KF27" s="213">
        <v>0.47779935990470102</v>
      </c>
      <c r="KG27" s="213">
        <v>0.28143715328327701</v>
      </c>
      <c r="KH27" s="213">
        <v>0.75270021353162897</v>
      </c>
      <c r="KI27" s="213">
        <v>0.704131427782137</v>
      </c>
      <c r="KJ27" s="213">
        <v>1.5043329483193399</v>
      </c>
      <c r="KK27" s="213">
        <v>0.86702462547655201</v>
      </c>
      <c r="KL27" s="213">
        <v>1.0575619787900901</v>
      </c>
      <c r="KM27" s="213">
        <v>0.54951251661798495</v>
      </c>
      <c r="KN27" s="213">
        <v>0.46825669946201498</v>
      </c>
      <c r="KO27" s="213">
        <v>0.69108214753455</v>
      </c>
    </row>
    <row r="28" spans="1:301" s="72" customFormat="1" ht="30" customHeight="1" thickBot="1">
      <c r="A28" s="69" t="s">
        <v>169</v>
      </c>
      <c r="B28" s="69"/>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t="s">
        <v>138</v>
      </c>
      <c r="BQ28" s="85" t="s">
        <v>138</v>
      </c>
      <c r="BR28" s="85" t="s">
        <v>138</v>
      </c>
      <c r="BS28" s="85" t="s">
        <v>138</v>
      </c>
      <c r="BT28" s="85" t="s">
        <v>138</v>
      </c>
      <c r="BU28" s="85" t="s">
        <v>138</v>
      </c>
      <c r="BV28" s="85" t="s">
        <v>138</v>
      </c>
      <c r="BW28" s="85" t="s">
        <v>138</v>
      </c>
      <c r="BX28" s="85" t="s">
        <v>138</v>
      </c>
      <c r="BY28" s="85" t="s">
        <v>138</v>
      </c>
      <c r="BZ28" s="85" t="s">
        <v>138</v>
      </c>
      <c r="CA28" s="85" t="s">
        <v>138</v>
      </c>
      <c r="CB28" s="85" t="s">
        <v>138</v>
      </c>
      <c r="CC28" s="85" t="s">
        <v>138</v>
      </c>
      <c r="CD28" s="85" t="s">
        <v>138</v>
      </c>
      <c r="CE28" s="85" t="s">
        <v>138</v>
      </c>
      <c r="CF28" s="85" t="s">
        <v>138</v>
      </c>
      <c r="CG28" s="85" t="s">
        <v>138</v>
      </c>
      <c r="CH28" s="85" t="s">
        <v>138</v>
      </c>
      <c r="CI28" s="85" t="s">
        <v>138</v>
      </c>
      <c r="CJ28" s="85" t="s">
        <v>138</v>
      </c>
      <c r="CK28" s="85" t="s">
        <v>138</v>
      </c>
      <c r="CL28" s="85" t="s">
        <v>138</v>
      </c>
      <c r="CM28" s="85" t="s">
        <v>138</v>
      </c>
      <c r="CN28" s="85" t="s">
        <v>138</v>
      </c>
      <c r="CO28" s="85" t="s">
        <v>138</v>
      </c>
      <c r="CP28" s="85" t="s">
        <v>138</v>
      </c>
      <c r="CQ28" s="85" t="s">
        <v>138</v>
      </c>
      <c r="CR28" s="85" t="s">
        <v>138</v>
      </c>
      <c r="CS28" s="85" t="s">
        <v>138</v>
      </c>
      <c r="CT28" s="85" t="s">
        <v>138</v>
      </c>
      <c r="CU28" s="85" t="s">
        <v>138</v>
      </c>
      <c r="CV28" s="85" t="s">
        <v>138</v>
      </c>
      <c r="CW28" s="85" t="s">
        <v>138</v>
      </c>
      <c r="CX28" s="85" t="s">
        <v>138</v>
      </c>
      <c r="CY28" s="85" t="s">
        <v>138</v>
      </c>
      <c r="CZ28" s="85" t="s">
        <v>138</v>
      </c>
      <c r="DA28" s="85" t="s">
        <v>138</v>
      </c>
      <c r="DB28" s="85" t="s">
        <v>138</v>
      </c>
      <c r="DC28" s="85" t="s">
        <v>138</v>
      </c>
      <c r="DD28" s="85" t="s">
        <v>138</v>
      </c>
      <c r="DE28" s="85" t="s">
        <v>138</v>
      </c>
      <c r="DF28" s="85" t="s">
        <v>138</v>
      </c>
      <c r="DG28" s="85"/>
      <c r="DH28" s="85"/>
      <c r="DI28" s="85"/>
      <c r="DJ28" s="85"/>
      <c r="DK28" s="85"/>
      <c r="DL28" s="85"/>
      <c r="DM28" s="85"/>
      <c r="DN28" s="85"/>
      <c r="DO28" s="85"/>
      <c r="DP28" s="85"/>
      <c r="DQ28" s="85"/>
      <c r="DR28" s="85"/>
      <c r="DS28" s="85"/>
      <c r="DT28" s="85"/>
      <c r="DU28" s="85"/>
      <c r="DV28" s="85"/>
      <c r="DW28" s="85"/>
      <c r="DX28" s="85"/>
      <c r="DY28" s="85"/>
      <c r="DZ28" s="85"/>
      <c r="EA28" s="85"/>
      <c r="EB28" s="85"/>
      <c r="EC28" s="85"/>
      <c r="ED28" s="85"/>
      <c r="EE28" s="85"/>
      <c r="EF28" s="85"/>
      <c r="EG28" s="85"/>
      <c r="EH28" s="85"/>
      <c r="EI28" s="85"/>
      <c r="EJ28" s="85"/>
      <c r="EK28" s="85"/>
      <c r="EL28" s="85"/>
      <c r="EM28" s="85"/>
      <c r="EN28" s="85"/>
      <c r="EO28" s="85"/>
      <c r="EP28" s="85"/>
      <c r="EQ28" s="85"/>
      <c r="ER28" s="85"/>
      <c r="ES28" s="85"/>
      <c r="ET28" s="85"/>
      <c r="EU28" s="85"/>
      <c r="EV28" s="85"/>
      <c r="EW28" s="85"/>
      <c r="EX28" s="85"/>
      <c r="EY28" s="85"/>
      <c r="EZ28" s="85"/>
      <c r="FA28" s="85"/>
      <c r="FB28" s="85"/>
      <c r="FC28" s="85"/>
      <c r="FD28" s="85"/>
      <c r="FE28" s="85"/>
      <c r="FF28" s="85"/>
      <c r="FG28" s="85"/>
      <c r="FH28" s="85"/>
      <c r="FI28" s="85"/>
      <c r="FJ28" s="85"/>
      <c r="FK28" s="85"/>
      <c r="FL28" s="85"/>
      <c r="FM28" s="85"/>
      <c r="FN28" s="85"/>
      <c r="FO28" s="85"/>
      <c r="FP28" s="85"/>
      <c r="FQ28" s="85"/>
      <c r="FR28" s="85"/>
      <c r="FS28" s="85"/>
      <c r="FT28" s="85"/>
      <c r="FU28" s="85"/>
      <c r="FV28" s="85"/>
      <c r="FW28" s="85"/>
      <c r="FX28" s="85"/>
      <c r="FY28" s="85"/>
      <c r="FZ28" s="85"/>
      <c r="GA28" s="85"/>
      <c r="GB28" s="85"/>
      <c r="GC28" s="85"/>
      <c r="GD28" s="85"/>
      <c r="GE28" s="85"/>
      <c r="GF28" s="85"/>
      <c r="GG28" s="85"/>
      <c r="GH28" s="85"/>
      <c r="GI28" s="85"/>
      <c r="GJ28" s="85"/>
      <c r="GK28" s="85"/>
      <c r="GL28" s="85"/>
      <c r="GM28" s="85"/>
      <c r="GN28" s="85"/>
      <c r="GO28" s="85"/>
      <c r="GP28" s="85"/>
      <c r="GQ28" s="85"/>
      <c r="GR28" s="85"/>
      <c r="GS28" s="85"/>
      <c r="GT28" s="85"/>
      <c r="GU28" s="85"/>
      <c r="GV28" s="85"/>
      <c r="GW28" s="85"/>
      <c r="GX28" s="85"/>
      <c r="GY28" s="85"/>
      <c r="GZ28" s="85"/>
      <c r="HA28" s="85"/>
      <c r="HB28" s="85"/>
      <c r="HC28" s="85"/>
      <c r="HD28" s="85"/>
      <c r="HE28" s="85"/>
      <c r="HF28" s="85"/>
      <c r="HG28" s="85"/>
      <c r="HH28" s="85"/>
      <c r="HI28" s="85"/>
      <c r="HJ28" s="85"/>
      <c r="HK28" s="85"/>
      <c r="HL28" s="85"/>
      <c r="HM28" s="85"/>
      <c r="HN28" s="85"/>
      <c r="HO28" s="85" t="s">
        <v>138</v>
      </c>
      <c r="HP28" s="85"/>
      <c r="HQ28" s="85"/>
      <c r="HR28" s="85"/>
      <c r="HS28" s="85"/>
      <c r="HT28" s="85"/>
      <c r="HU28" s="85"/>
      <c r="HV28" s="85"/>
      <c r="HW28" s="85"/>
      <c r="HX28" s="85"/>
      <c r="HY28" s="85"/>
      <c r="HZ28" s="85"/>
      <c r="IA28" s="85"/>
      <c r="IB28" s="85"/>
      <c r="IC28" s="85"/>
      <c r="ID28" s="85"/>
      <c r="IE28" s="85"/>
      <c r="IF28" s="85"/>
      <c r="IG28" s="85"/>
      <c r="IH28" s="85"/>
      <c r="II28" s="85"/>
      <c r="IJ28" s="85"/>
      <c r="IK28" s="85"/>
      <c r="IL28" s="85"/>
      <c r="IM28" s="85"/>
      <c r="IN28" s="85"/>
      <c r="IO28" s="85"/>
      <c r="IP28" s="85"/>
      <c r="IQ28" s="85"/>
      <c r="IR28" s="85"/>
      <c r="IS28" s="85"/>
      <c r="IT28" s="85"/>
      <c r="IU28" s="85"/>
      <c r="IV28" s="85"/>
      <c r="IW28" s="85"/>
      <c r="IX28" s="85"/>
      <c r="IY28" s="85"/>
      <c r="IZ28" s="85"/>
      <c r="JA28" s="85"/>
      <c r="JB28" s="85"/>
      <c r="JC28" s="85"/>
      <c r="JD28" s="85"/>
      <c r="JE28" s="85"/>
      <c r="JF28" s="85"/>
      <c r="JG28" s="85"/>
      <c r="JH28" s="85"/>
      <c r="JI28" s="85"/>
      <c r="JJ28" s="85"/>
      <c r="JK28" s="85"/>
      <c r="JL28" s="85"/>
      <c r="JM28" s="85"/>
      <c r="JN28" s="85"/>
      <c r="JO28" s="85"/>
      <c r="JP28" s="85"/>
      <c r="JQ28" s="85"/>
      <c r="JR28" s="85"/>
      <c r="JS28" s="85"/>
      <c r="JT28" s="85"/>
      <c r="JU28" s="85"/>
      <c r="JV28" s="85"/>
      <c r="JW28" s="85"/>
      <c r="JX28" s="85"/>
      <c r="JY28" s="85"/>
      <c r="JZ28" s="85"/>
      <c r="KA28" s="85"/>
      <c r="KB28" s="85"/>
      <c r="KC28" s="85"/>
      <c r="KD28" s="85"/>
      <c r="KE28" s="85"/>
      <c r="KF28" s="213"/>
      <c r="KG28" s="213"/>
      <c r="KH28" s="213"/>
      <c r="KI28" s="213"/>
      <c r="KJ28" s="213"/>
      <c r="KK28" s="213"/>
      <c r="KL28" s="213"/>
      <c r="KM28" s="213"/>
      <c r="KN28" s="213"/>
      <c r="KO28" s="213"/>
    </row>
    <row r="29" spans="1:301" s="77" customFormat="1" ht="18" customHeight="1">
      <c r="A29" s="86" t="s">
        <v>170</v>
      </c>
      <c r="B29" s="87"/>
      <c r="C29" s="88">
        <v>100</v>
      </c>
      <c r="D29" s="88">
        <v>100</v>
      </c>
      <c r="E29" s="88">
        <v>100</v>
      </c>
      <c r="F29" s="88">
        <v>100</v>
      </c>
      <c r="G29" s="88">
        <v>100</v>
      </c>
      <c r="H29" s="88">
        <v>100</v>
      </c>
      <c r="I29" s="88">
        <v>100</v>
      </c>
      <c r="J29" s="88">
        <v>100</v>
      </c>
      <c r="K29" s="88">
        <v>100</v>
      </c>
      <c r="L29" s="88">
        <v>100</v>
      </c>
      <c r="M29" s="88">
        <v>100</v>
      </c>
      <c r="N29" s="88">
        <v>100</v>
      </c>
      <c r="O29" s="88">
        <v>100</v>
      </c>
      <c r="P29" s="88">
        <v>100</v>
      </c>
      <c r="Q29" s="88">
        <v>100</v>
      </c>
      <c r="R29" s="88">
        <v>100</v>
      </c>
      <c r="S29" s="88">
        <v>100</v>
      </c>
      <c r="T29" s="88">
        <v>100</v>
      </c>
      <c r="U29" s="88">
        <v>100</v>
      </c>
      <c r="V29" s="88">
        <v>100</v>
      </c>
      <c r="W29" s="88">
        <v>100</v>
      </c>
      <c r="X29" s="88">
        <v>100</v>
      </c>
      <c r="Y29" s="88">
        <v>100</v>
      </c>
      <c r="Z29" s="88">
        <v>100</v>
      </c>
      <c r="AA29" s="88">
        <v>100</v>
      </c>
      <c r="AB29" s="88">
        <v>100</v>
      </c>
      <c r="AC29" s="88">
        <v>100</v>
      </c>
      <c r="AD29" s="88">
        <v>100</v>
      </c>
      <c r="AE29" s="88">
        <v>100</v>
      </c>
      <c r="AF29" s="88">
        <v>100</v>
      </c>
      <c r="AG29" s="88">
        <v>100</v>
      </c>
      <c r="AH29" s="88">
        <v>100</v>
      </c>
      <c r="AI29" s="88">
        <v>100</v>
      </c>
      <c r="AJ29" s="88">
        <v>100</v>
      </c>
      <c r="AK29" s="88">
        <v>100</v>
      </c>
      <c r="AL29" s="88">
        <v>100</v>
      </c>
      <c r="AM29" s="88">
        <v>100</v>
      </c>
      <c r="AN29" s="88">
        <v>100</v>
      </c>
      <c r="AO29" s="88">
        <v>100</v>
      </c>
      <c r="AP29" s="88">
        <v>100</v>
      </c>
      <c r="AQ29" s="88">
        <v>100</v>
      </c>
      <c r="AR29" s="88">
        <v>100</v>
      </c>
      <c r="AS29" s="88">
        <v>100</v>
      </c>
      <c r="AT29" s="88">
        <v>100</v>
      </c>
      <c r="AU29" s="88">
        <v>100</v>
      </c>
      <c r="AV29" s="88">
        <v>100</v>
      </c>
      <c r="AW29" s="88">
        <v>99.999999999999986</v>
      </c>
      <c r="AX29" s="88">
        <v>100</v>
      </c>
      <c r="AY29" s="88">
        <v>100</v>
      </c>
      <c r="AZ29" s="88">
        <v>100.00000000000001</v>
      </c>
      <c r="BA29" s="88">
        <v>100</v>
      </c>
      <c r="BB29" s="88">
        <v>100</v>
      </c>
      <c r="BC29" s="88">
        <v>100</v>
      </c>
      <c r="BD29" s="88">
        <v>100</v>
      </c>
      <c r="BE29" s="88">
        <v>100</v>
      </c>
      <c r="BF29" s="88">
        <v>100</v>
      </c>
      <c r="BG29" s="88">
        <v>100</v>
      </c>
      <c r="BH29" s="88">
        <v>100</v>
      </c>
      <c r="BI29" s="88">
        <v>100</v>
      </c>
      <c r="BJ29" s="88">
        <v>100</v>
      </c>
      <c r="BK29" s="88">
        <v>100</v>
      </c>
      <c r="BL29" s="88">
        <v>100</v>
      </c>
      <c r="BM29" s="88">
        <v>100</v>
      </c>
      <c r="BN29" s="88">
        <v>100.00000000000001</v>
      </c>
      <c r="BO29" s="88">
        <v>100</v>
      </c>
      <c r="BP29" s="88">
        <v>100</v>
      </c>
      <c r="BQ29" s="88">
        <v>100</v>
      </c>
      <c r="BR29" s="88">
        <v>100</v>
      </c>
      <c r="BS29" s="88">
        <v>100</v>
      </c>
      <c r="BT29" s="88">
        <v>100</v>
      </c>
      <c r="BU29" s="88">
        <v>100</v>
      </c>
      <c r="BV29" s="88">
        <v>100</v>
      </c>
      <c r="BW29" s="88">
        <v>100.00000000000001</v>
      </c>
      <c r="BX29" s="88">
        <v>100</v>
      </c>
      <c r="BY29" s="88">
        <v>99.999999999999986</v>
      </c>
      <c r="BZ29" s="88">
        <v>100</v>
      </c>
      <c r="CA29" s="88">
        <v>100</v>
      </c>
      <c r="CB29" s="88">
        <v>100</v>
      </c>
      <c r="CC29" s="88">
        <v>100</v>
      </c>
      <c r="CD29" s="88">
        <v>100.00000000000001</v>
      </c>
      <c r="CE29" s="88">
        <v>100</v>
      </c>
      <c r="CF29" s="88">
        <v>100</v>
      </c>
      <c r="CG29" s="88">
        <v>99.999999999999986</v>
      </c>
      <c r="CH29" s="88">
        <v>100</v>
      </c>
      <c r="CI29" s="88">
        <v>100</v>
      </c>
      <c r="CJ29" s="88">
        <v>100</v>
      </c>
      <c r="CK29" s="88">
        <v>100</v>
      </c>
      <c r="CL29" s="88">
        <v>99.999999999999986</v>
      </c>
      <c r="CM29" s="88">
        <v>100</v>
      </c>
      <c r="CN29" s="88">
        <v>100</v>
      </c>
      <c r="CO29" s="88">
        <v>100</v>
      </c>
      <c r="CP29" s="88">
        <v>100</v>
      </c>
      <c r="CQ29" s="88">
        <v>100</v>
      </c>
      <c r="CR29" s="88">
        <v>100</v>
      </c>
      <c r="CS29" s="88">
        <v>100.00000000000001</v>
      </c>
      <c r="CT29" s="88">
        <v>100</v>
      </c>
      <c r="CU29" s="88">
        <v>100</v>
      </c>
      <c r="CV29" s="88">
        <v>100</v>
      </c>
      <c r="CW29" s="88">
        <v>100</v>
      </c>
      <c r="CX29" s="88">
        <v>100</v>
      </c>
      <c r="CY29" s="88">
        <v>99.999999999999986</v>
      </c>
      <c r="CZ29" s="88">
        <v>100</v>
      </c>
      <c r="DA29" s="88">
        <v>100</v>
      </c>
      <c r="DB29" s="88">
        <v>100</v>
      </c>
      <c r="DC29" s="88">
        <v>100.00000000000001</v>
      </c>
      <c r="DD29" s="88">
        <v>100</v>
      </c>
      <c r="DE29" s="88">
        <v>100</v>
      </c>
      <c r="DF29" s="88">
        <v>100</v>
      </c>
      <c r="DG29" s="88">
        <v>100</v>
      </c>
      <c r="DH29" s="88">
        <v>99.999999999999986</v>
      </c>
      <c r="DI29" s="88">
        <v>100</v>
      </c>
      <c r="DJ29" s="88">
        <v>100</v>
      </c>
      <c r="DK29" s="88">
        <v>100</v>
      </c>
      <c r="DL29" s="88">
        <v>100</v>
      </c>
      <c r="DM29" s="88">
        <v>100</v>
      </c>
      <c r="DN29" s="88">
        <v>100</v>
      </c>
      <c r="DO29" s="88">
        <v>100</v>
      </c>
      <c r="DP29" s="88">
        <v>100</v>
      </c>
      <c r="DQ29" s="88">
        <v>100</v>
      </c>
      <c r="DR29" s="88">
        <v>99.999999999999986</v>
      </c>
      <c r="DS29" s="88">
        <v>100</v>
      </c>
      <c r="DT29" s="88">
        <v>99.999999999999986</v>
      </c>
      <c r="DU29" s="88">
        <v>100</v>
      </c>
      <c r="DV29" s="88">
        <v>100</v>
      </c>
      <c r="DW29" s="88">
        <v>100</v>
      </c>
      <c r="DX29" s="88">
        <v>100</v>
      </c>
      <c r="DY29" s="88">
        <v>100</v>
      </c>
      <c r="DZ29" s="88">
        <v>100</v>
      </c>
      <c r="EA29" s="88">
        <v>100</v>
      </c>
      <c r="EB29" s="88">
        <v>100</v>
      </c>
      <c r="EC29" s="88">
        <v>100</v>
      </c>
      <c r="ED29" s="88">
        <v>100</v>
      </c>
      <c r="EE29" s="88">
        <v>100</v>
      </c>
      <c r="EF29" s="88">
        <v>99.999999999999986</v>
      </c>
      <c r="EG29" s="88">
        <v>100</v>
      </c>
      <c r="EH29" s="88">
        <v>100</v>
      </c>
      <c r="EI29" s="88">
        <v>100.00000000000001</v>
      </c>
      <c r="EJ29" s="88">
        <v>99.999999999999986</v>
      </c>
      <c r="EK29" s="88">
        <v>100</v>
      </c>
      <c r="EL29" s="88">
        <v>100</v>
      </c>
      <c r="EM29" s="88">
        <v>99.999999999999986</v>
      </c>
      <c r="EN29" s="88">
        <v>100</v>
      </c>
      <c r="EO29" s="88">
        <v>100.00000000000001</v>
      </c>
      <c r="EP29" s="88">
        <v>100</v>
      </c>
      <c r="EQ29" s="88">
        <v>100</v>
      </c>
      <c r="ER29" s="88">
        <v>100</v>
      </c>
      <c r="ES29" s="88">
        <v>100</v>
      </c>
      <c r="ET29" s="88">
        <v>100</v>
      </c>
      <c r="EU29" s="88">
        <v>100</v>
      </c>
      <c r="EV29" s="88">
        <v>100</v>
      </c>
      <c r="EW29" s="88">
        <v>100</v>
      </c>
      <c r="EX29" s="88">
        <v>100</v>
      </c>
      <c r="EY29" s="88">
        <v>100</v>
      </c>
      <c r="EZ29" s="88">
        <v>100</v>
      </c>
      <c r="FA29" s="88">
        <v>100</v>
      </c>
      <c r="FB29" s="88">
        <v>100</v>
      </c>
      <c r="FC29" s="88">
        <v>99.999999999999986</v>
      </c>
      <c r="FD29" s="88">
        <v>100</v>
      </c>
      <c r="FE29" s="88">
        <v>100</v>
      </c>
      <c r="FF29" s="88">
        <v>100</v>
      </c>
      <c r="FG29" s="88">
        <v>100</v>
      </c>
      <c r="FH29" s="88">
        <v>100</v>
      </c>
      <c r="FI29" s="88">
        <v>100</v>
      </c>
      <c r="FJ29" s="88">
        <v>99.999999999999986</v>
      </c>
      <c r="FK29" s="88">
        <v>100</v>
      </c>
      <c r="FL29" s="88">
        <v>100.00000000000001</v>
      </c>
      <c r="FM29" s="88">
        <v>100</v>
      </c>
      <c r="FN29" s="88">
        <v>100.00000000000001</v>
      </c>
      <c r="FO29" s="88">
        <v>100</v>
      </c>
      <c r="FP29" s="88">
        <v>100</v>
      </c>
      <c r="FQ29" s="88">
        <v>100</v>
      </c>
      <c r="FR29" s="88">
        <v>100.00000000000001</v>
      </c>
      <c r="FS29" s="88">
        <v>100</v>
      </c>
      <c r="FT29" s="88">
        <v>100</v>
      </c>
      <c r="FU29" s="88">
        <v>100</v>
      </c>
      <c r="FV29" s="88">
        <v>100</v>
      </c>
      <c r="FW29" s="88">
        <v>100</v>
      </c>
      <c r="FX29" s="88">
        <v>100</v>
      </c>
      <c r="FY29" s="88">
        <v>100</v>
      </c>
      <c r="FZ29" s="88">
        <v>100</v>
      </c>
      <c r="GA29" s="88">
        <v>100</v>
      </c>
      <c r="GB29" s="88">
        <v>100</v>
      </c>
      <c r="GC29" s="88">
        <v>100</v>
      </c>
      <c r="GD29" s="88">
        <v>100</v>
      </c>
      <c r="GE29" s="88">
        <v>100</v>
      </c>
      <c r="GF29" s="88">
        <v>100</v>
      </c>
      <c r="GG29" s="88">
        <v>99.999999999999986</v>
      </c>
      <c r="GH29" s="88">
        <v>100</v>
      </c>
      <c r="GI29" s="88">
        <v>100</v>
      </c>
      <c r="GJ29" s="88">
        <v>100</v>
      </c>
      <c r="GK29" s="88">
        <v>99.999999999999986</v>
      </c>
      <c r="GL29" s="88">
        <v>100.00000000000001</v>
      </c>
      <c r="GM29" s="88">
        <v>99.999999999999986</v>
      </c>
      <c r="GN29" s="88">
        <v>99.999999999999986</v>
      </c>
      <c r="GO29" s="88">
        <v>100</v>
      </c>
      <c r="GP29" s="88">
        <v>100</v>
      </c>
      <c r="GQ29" s="88">
        <v>100</v>
      </c>
      <c r="GR29" s="88">
        <v>100</v>
      </c>
      <c r="GS29" s="88">
        <v>100</v>
      </c>
      <c r="GT29" s="88">
        <v>100</v>
      </c>
      <c r="GU29" s="88">
        <v>99.999999999999986</v>
      </c>
      <c r="GV29" s="88">
        <v>100.00000000000001</v>
      </c>
      <c r="GW29" s="88">
        <v>100</v>
      </c>
      <c r="GX29" s="88">
        <v>100</v>
      </c>
      <c r="GY29" s="88">
        <v>100.00000000000001</v>
      </c>
      <c r="GZ29" s="88">
        <v>100</v>
      </c>
      <c r="HA29" s="88">
        <v>99.999999999999986</v>
      </c>
      <c r="HB29" s="88">
        <v>100</v>
      </c>
      <c r="HC29" s="88">
        <v>100</v>
      </c>
      <c r="HD29" s="88">
        <v>100</v>
      </c>
      <c r="HE29" s="88">
        <v>100</v>
      </c>
      <c r="HF29" s="88">
        <v>100</v>
      </c>
      <c r="HG29" s="88">
        <v>100.00000000000001</v>
      </c>
      <c r="HH29" s="88">
        <v>99.999999999999986</v>
      </c>
      <c r="HI29" s="88">
        <v>100.00000000000001</v>
      </c>
      <c r="HJ29" s="88">
        <v>100</v>
      </c>
      <c r="HK29" s="88">
        <v>99.999999999999986</v>
      </c>
      <c r="HL29" s="88">
        <v>100</v>
      </c>
      <c r="HM29" s="88">
        <v>100</v>
      </c>
      <c r="HN29" s="88">
        <v>100</v>
      </c>
      <c r="HO29" s="88">
        <v>99.999999999999986</v>
      </c>
      <c r="HP29" s="88">
        <v>100</v>
      </c>
      <c r="HQ29" s="88">
        <v>100</v>
      </c>
      <c r="HR29" s="88">
        <v>100</v>
      </c>
      <c r="HS29" s="88">
        <v>100</v>
      </c>
      <c r="HT29" s="88">
        <v>100</v>
      </c>
      <c r="HU29" s="88">
        <v>99.999999999999986</v>
      </c>
      <c r="HV29" s="88">
        <v>100</v>
      </c>
      <c r="HW29" s="88">
        <v>100</v>
      </c>
      <c r="HX29" s="88">
        <v>100</v>
      </c>
      <c r="HY29" s="88">
        <v>100</v>
      </c>
      <c r="HZ29" s="88">
        <v>100</v>
      </c>
      <c r="IA29" s="88">
        <v>100</v>
      </c>
      <c r="IB29" s="88">
        <v>100</v>
      </c>
      <c r="IC29" s="88">
        <v>100</v>
      </c>
      <c r="ID29" s="88">
        <v>100</v>
      </c>
      <c r="IE29" s="88">
        <v>100</v>
      </c>
      <c r="IF29" s="88">
        <v>100</v>
      </c>
      <c r="IG29" s="88">
        <v>99.999999999999986</v>
      </c>
      <c r="IH29" s="88">
        <v>100</v>
      </c>
      <c r="II29" s="88">
        <v>100</v>
      </c>
      <c r="IJ29" s="88">
        <v>100</v>
      </c>
      <c r="IK29" s="88">
        <v>99.999999999999986</v>
      </c>
      <c r="IL29" s="88">
        <v>100</v>
      </c>
      <c r="IM29" s="88">
        <v>99.999999999999986</v>
      </c>
      <c r="IN29" s="88">
        <v>100</v>
      </c>
      <c r="IO29" s="88">
        <v>100</v>
      </c>
      <c r="IP29" s="88">
        <v>100</v>
      </c>
      <c r="IQ29" s="88">
        <v>100</v>
      </c>
      <c r="IR29" s="88">
        <v>100</v>
      </c>
      <c r="IS29" s="88">
        <v>100</v>
      </c>
      <c r="IT29" s="88">
        <v>100</v>
      </c>
      <c r="IU29" s="88">
        <v>100</v>
      </c>
      <c r="IV29" s="88">
        <v>100</v>
      </c>
      <c r="IW29" s="88">
        <v>100</v>
      </c>
      <c r="IX29" s="88">
        <v>100</v>
      </c>
      <c r="IY29" s="88">
        <v>100.00000000000001</v>
      </c>
      <c r="IZ29" s="88">
        <v>100.00000000000001</v>
      </c>
      <c r="JA29" s="88">
        <v>100</v>
      </c>
      <c r="JB29" s="88">
        <v>100</v>
      </c>
      <c r="JC29" s="88">
        <v>100</v>
      </c>
      <c r="JD29" s="88">
        <v>100</v>
      </c>
      <c r="JE29" s="88">
        <v>99.999999999999986</v>
      </c>
      <c r="JF29" s="88">
        <v>100</v>
      </c>
      <c r="JG29" s="88">
        <v>100</v>
      </c>
      <c r="JH29" s="88">
        <v>100</v>
      </c>
      <c r="JI29" s="88">
        <v>100</v>
      </c>
      <c r="JJ29" s="88">
        <v>100</v>
      </c>
      <c r="JK29" s="88">
        <v>100</v>
      </c>
      <c r="JL29" s="88">
        <v>100</v>
      </c>
      <c r="JM29" s="88">
        <v>100.00000000000001</v>
      </c>
      <c r="JN29" s="88">
        <v>100</v>
      </c>
      <c r="JO29" s="88">
        <v>100</v>
      </c>
      <c r="JP29" s="88">
        <v>100</v>
      </c>
      <c r="JQ29" s="88">
        <v>100</v>
      </c>
      <c r="JR29" s="88">
        <v>100</v>
      </c>
      <c r="JS29" s="88">
        <v>100.00000000000001</v>
      </c>
      <c r="JT29" s="88">
        <v>100.00000000000001</v>
      </c>
      <c r="JU29" s="88">
        <v>100</v>
      </c>
      <c r="JV29" s="88">
        <v>100</v>
      </c>
      <c r="JW29" s="88">
        <v>100</v>
      </c>
      <c r="JX29" s="88">
        <v>100</v>
      </c>
      <c r="JY29" s="88">
        <v>99.999999999999986</v>
      </c>
      <c r="JZ29" s="88">
        <v>100.00000000000001</v>
      </c>
      <c r="KA29" s="88">
        <v>99.999999999999986</v>
      </c>
      <c r="KB29" s="88">
        <v>100</v>
      </c>
      <c r="KC29" s="88">
        <v>100.00000000000001</v>
      </c>
      <c r="KD29" s="88">
        <v>100</v>
      </c>
      <c r="KE29" s="88">
        <v>99.999999999999986</v>
      </c>
      <c r="KF29" s="214">
        <v>99.999999999999972</v>
      </c>
      <c r="KG29" s="214">
        <v>100.09299126916939</v>
      </c>
      <c r="KH29" s="214">
        <v>100.00000000000001</v>
      </c>
      <c r="KI29" s="214">
        <v>100.00000000000006</v>
      </c>
      <c r="KJ29" s="214">
        <v>99.744886240466357</v>
      </c>
      <c r="KK29" s="214">
        <v>99.999999999999986</v>
      </c>
      <c r="KL29" s="214">
        <v>100.00000000000006</v>
      </c>
      <c r="KM29" s="214">
        <v>100.00000000000003</v>
      </c>
      <c r="KN29" s="214">
        <v>99.999999999999986</v>
      </c>
      <c r="KO29" s="214">
        <v>100.00000000000007</v>
      </c>
    </row>
    <row r="30" spans="1:301" s="77" customFormat="1" ht="18" customHeight="1">
      <c r="A30" s="78"/>
      <c r="B30" s="120" t="s">
        <v>171</v>
      </c>
      <c r="C30" s="91" t="s">
        <v>8</v>
      </c>
      <c r="D30" s="91" t="s">
        <v>8</v>
      </c>
      <c r="E30" s="91" t="s">
        <v>8</v>
      </c>
      <c r="F30" s="91" t="s">
        <v>8</v>
      </c>
      <c r="G30" s="91" t="s">
        <v>8</v>
      </c>
      <c r="H30" s="91" t="s">
        <v>8</v>
      </c>
      <c r="I30" s="91" t="s">
        <v>8</v>
      </c>
      <c r="J30" s="91" t="s">
        <v>8</v>
      </c>
      <c r="K30" s="91" t="s">
        <v>8</v>
      </c>
      <c r="L30" s="91" t="s">
        <v>8</v>
      </c>
      <c r="M30" s="91" t="s">
        <v>8</v>
      </c>
      <c r="N30" s="91" t="s">
        <v>8</v>
      </c>
      <c r="O30" s="91" t="s">
        <v>8</v>
      </c>
      <c r="P30" s="91" t="s">
        <v>8</v>
      </c>
      <c r="Q30" s="91" t="s">
        <v>8</v>
      </c>
      <c r="R30" s="91" t="s">
        <v>8</v>
      </c>
      <c r="S30" s="91" t="s">
        <v>8</v>
      </c>
      <c r="T30" s="91" t="s">
        <v>8</v>
      </c>
      <c r="U30" s="91" t="s">
        <v>8</v>
      </c>
      <c r="V30" s="91" t="s">
        <v>8</v>
      </c>
      <c r="W30" s="91" t="s">
        <v>8</v>
      </c>
      <c r="X30" s="91" t="s">
        <v>8</v>
      </c>
      <c r="Y30" s="91" t="s">
        <v>8</v>
      </c>
      <c r="Z30" s="91" t="s">
        <v>8</v>
      </c>
      <c r="AA30" s="91" t="s">
        <v>8</v>
      </c>
      <c r="AB30" s="91" t="s">
        <v>8</v>
      </c>
      <c r="AC30" s="91" t="s">
        <v>8</v>
      </c>
      <c r="AD30" s="91" t="s">
        <v>8</v>
      </c>
      <c r="AE30" s="91" t="s">
        <v>8</v>
      </c>
      <c r="AF30" s="91" t="s">
        <v>8</v>
      </c>
      <c r="AG30" s="91" t="s">
        <v>8</v>
      </c>
      <c r="AH30" s="91" t="s">
        <v>8</v>
      </c>
      <c r="AI30" s="91" t="s">
        <v>8</v>
      </c>
      <c r="AJ30" s="91" t="s">
        <v>8</v>
      </c>
      <c r="AK30" s="91" t="s">
        <v>8</v>
      </c>
      <c r="AL30" s="91" t="s">
        <v>8</v>
      </c>
      <c r="AM30" s="91" t="s">
        <v>8</v>
      </c>
      <c r="AN30" s="91" t="s">
        <v>8</v>
      </c>
      <c r="AO30" s="91" t="s">
        <v>8</v>
      </c>
      <c r="AP30" s="91" t="s">
        <v>8</v>
      </c>
      <c r="AQ30" s="91" t="s">
        <v>8</v>
      </c>
      <c r="AR30" s="91" t="s">
        <v>8</v>
      </c>
      <c r="AS30" s="80">
        <v>20.078880000000002</v>
      </c>
      <c r="AT30" s="80">
        <v>12.39489</v>
      </c>
      <c r="AU30" s="80">
        <v>12.98213</v>
      </c>
      <c r="AV30" s="80">
        <v>10.37477</v>
      </c>
      <c r="AW30" s="80">
        <v>11.396280000000001</v>
      </c>
      <c r="AX30" s="80">
        <v>9.1028920000000006</v>
      </c>
      <c r="AY30" s="80">
        <v>9.0777260000000002</v>
      </c>
      <c r="AZ30" s="80">
        <v>11.142799999999999</v>
      </c>
      <c r="BA30" s="80">
        <v>10.558120000000001</v>
      </c>
      <c r="BB30" s="80">
        <v>9.752402</v>
      </c>
      <c r="BC30" s="80">
        <v>9.5100909999999992</v>
      </c>
      <c r="BD30" s="80">
        <v>8.1878550000000008</v>
      </c>
      <c r="BE30" s="80">
        <v>9.4801819999999992</v>
      </c>
      <c r="BF30" s="80">
        <v>11.154</v>
      </c>
      <c r="BG30" s="80">
        <v>9.0196459999999998</v>
      </c>
      <c r="BH30" s="80">
        <v>9.4762009999999997</v>
      </c>
      <c r="BI30" s="80">
        <v>12.528280000000001</v>
      </c>
      <c r="BJ30" s="80">
        <v>9.0554279999999991</v>
      </c>
      <c r="BK30" s="80">
        <v>6.9854407443196944</v>
      </c>
      <c r="BL30" s="80">
        <v>13.779437992320823</v>
      </c>
      <c r="BM30" s="80">
        <v>10.60401151499166</v>
      </c>
      <c r="BN30" s="80">
        <v>9.6392902408582373</v>
      </c>
      <c r="BO30" s="80">
        <v>9.25839685103435</v>
      </c>
      <c r="BP30" s="80">
        <v>9.7056968374157311</v>
      </c>
      <c r="BQ30" s="80">
        <v>8.6127462426520527</v>
      </c>
      <c r="BR30" s="80">
        <v>10.647904304263191</v>
      </c>
      <c r="BS30" s="80">
        <v>7.1790633437643709</v>
      </c>
      <c r="BT30" s="80">
        <v>9.0312417260811948</v>
      </c>
      <c r="BU30" s="80">
        <v>9.5962969487817933</v>
      </c>
      <c r="BV30" s="80">
        <v>10.27615861158924</v>
      </c>
      <c r="BW30" s="80">
        <v>11.223801178996759</v>
      </c>
      <c r="BX30" s="80">
        <v>11.616568758461657</v>
      </c>
      <c r="BY30" s="80">
        <v>8.6049676992570134</v>
      </c>
      <c r="BZ30" s="80">
        <v>9.0984247292135318</v>
      </c>
      <c r="CA30" s="80">
        <v>8.3669264439417752</v>
      </c>
      <c r="CB30" s="80">
        <v>8.4997423222612394</v>
      </c>
      <c r="CC30" s="80">
        <v>11.895876465063667</v>
      </c>
      <c r="CD30" s="80">
        <v>11.060948246085124</v>
      </c>
      <c r="CE30" s="80">
        <v>10.101391971897071</v>
      </c>
      <c r="CF30" s="80">
        <v>10.8920621145173</v>
      </c>
      <c r="CG30" s="80">
        <v>13.798879890155694</v>
      </c>
      <c r="CH30" s="80">
        <v>13.922664210428861</v>
      </c>
      <c r="CI30" s="80">
        <v>12.833277159535541</v>
      </c>
      <c r="CJ30" s="80">
        <v>14.821595952940189</v>
      </c>
      <c r="CK30" s="80">
        <v>16.470801456271008</v>
      </c>
      <c r="CL30" s="80">
        <v>15.138911664420307</v>
      </c>
      <c r="CM30" s="80">
        <v>12.609444498452671</v>
      </c>
      <c r="CN30" s="80">
        <v>14.22111563861427</v>
      </c>
      <c r="CO30" s="80">
        <v>13.299338026557928</v>
      </c>
      <c r="CP30" s="80">
        <v>15.634629332623815</v>
      </c>
      <c r="CQ30" s="80">
        <v>13.672206005746634</v>
      </c>
      <c r="CR30" s="80">
        <v>13.6852531897032</v>
      </c>
      <c r="CS30" s="80">
        <v>15.25273149571075</v>
      </c>
      <c r="CT30" s="80">
        <v>14.411533906987852</v>
      </c>
      <c r="CU30" s="80">
        <v>14.696785607512156</v>
      </c>
      <c r="CV30" s="80">
        <v>15.203298776693327</v>
      </c>
      <c r="CW30" s="80">
        <v>13.744356762788613</v>
      </c>
      <c r="CX30" s="80">
        <v>15.527419140618981</v>
      </c>
      <c r="CY30" s="80">
        <v>13.532225998853519</v>
      </c>
      <c r="CZ30" s="80">
        <v>12.268349064440068</v>
      </c>
      <c r="DA30" s="80">
        <v>9.896145147038613</v>
      </c>
      <c r="DB30" s="80">
        <v>11.073024333680358</v>
      </c>
      <c r="DC30" s="80">
        <v>13.656213479889798</v>
      </c>
      <c r="DD30" s="80">
        <v>16.13371005894269</v>
      </c>
      <c r="DE30" s="80">
        <v>13.855780692605318</v>
      </c>
      <c r="DF30" s="80">
        <v>14.906455869461874</v>
      </c>
      <c r="DG30" s="80">
        <v>12.597586097978244</v>
      </c>
      <c r="DH30" s="80">
        <v>13.558877129873762</v>
      </c>
      <c r="DI30" s="80">
        <v>11.299679434074541</v>
      </c>
      <c r="DJ30" s="80">
        <v>11.786886722216192</v>
      </c>
      <c r="DK30" s="80">
        <v>13.302527613028245</v>
      </c>
      <c r="DL30" s="80">
        <v>13.611556565848188</v>
      </c>
      <c r="DM30" s="80">
        <v>10.695606294171919</v>
      </c>
      <c r="DN30" s="80">
        <v>13.3854784302114</v>
      </c>
      <c r="DO30" s="80">
        <v>13.453440810740199</v>
      </c>
      <c r="DP30" s="80">
        <v>12.20403471364452</v>
      </c>
      <c r="DQ30" s="80">
        <v>10.333171619593996</v>
      </c>
      <c r="DR30" s="80">
        <v>9.9701579632966144</v>
      </c>
      <c r="DS30" s="80">
        <v>13.181854797896142</v>
      </c>
      <c r="DT30" s="80">
        <v>11.80209208961603</v>
      </c>
      <c r="DU30" s="80">
        <v>12.495675075382865</v>
      </c>
      <c r="DV30" s="80">
        <v>10.115055258242338</v>
      </c>
      <c r="DW30" s="80">
        <v>9.2645540495514282</v>
      </c>
      <c r="DX30" s="80">
        <v>11.105950379253223</v>
      </c>
      <c r="DY30" s="80">
        <v>12.908809335398605</v>
      </c>
      <c r="DZ30" s="80">
        <v>18.420967569626985</v>
      </c>
      <c r="EA30" s="80">
        <v>14.444268818478459</v>
      </c>
      <c r="EB30" s="80">
        <v>14.136032083291269</v>
      </c>
      <c r="EC30" s="80">
        <v>14.573475525662408</v>
      </c>
      <c r="ED30" s="80">
        <v>12.235210861266452</v>
      </c>
      <c r="EE30" s="80">
        <v>15.085013058630004</v>
      </c>
      <c r="EF30" s="80">
        <v>10.596230651096839</v>
      </c>
      <c r="EG30" s="80">
        <v>11.471600773608365</v>
      </c>
      <c r="EH30" s="80">
        <v>10.345126350158194</v>
      </c>
      <c r="EI30" s="80">
        <v>12.997105343588602</v>
      </c>
      <c r="EJ30" s="80">
        <v>12.706098302850441</v>
      </c>
      <c r="EK30" s="80">
        <v>11.606971905815511</v>
      </c>
      <c r="EL30" s="80">
        <v>14.564611460449834</v>
      </c>
      <c r="EM30" s="80">
        <v>12.012694602689848</v>
      </c>
      <c r="EN30" s="80">
        <v>16.730296625390658</v>
      </c>
      <c r="EO30" s="80">
        <v>12.256063582463927</v>
      </c>
      <c r="EP30" s="80">
        <v>17.870299495667403</v>
      </c>
      <c r="EQ30" s="80">
        <v>16.40171615082409</v>
      </c>
      <c r="ER30" s="80">
        <v>13.35775417545959</v>
      </c>
      <c r="ES30" s="80">
        <v>15.416167708679533</v>
      </c>
      <c r="ET30" s="80">
        <v>16.32390026919067</v>
      </c>
      <c r="EU30" s="80">
        <v>8.9449478113993592</v>
      </c>
      <c r="EV30" s="80">
        <v>15.766543632283661</v>
      </c>
      <c r="EW30" s="80">
        <v>17.64453020851704</v>
      </c>
      <c r="EX30" s="80">
        <v>14.268947919143862</v>
      </c>
      <c r="EY30" s="80">
        <v>13.276588374863369</v>
      </c>
      <c r="EZ30" s="80">
        <v>16.37612478239777</v>
      </c>
      <c r="FA30" s="80">
        <v>14.371159150457141</v>
      </c>
      <c r="FB30" s="80">
        <v>12.569750410445121</v>
      </c>
      <c r="FC30" s="80">
        <v>15.069501021184861</v>
      </c>
      <c r="FD30" s="80">
        <v>14.989415255072277</v>
      </c>
      <c r="FE30" s="80">
        <v>14.043716022439821</v>
      </c>
      <c r="FF30" s="80">
        <v>14.638947661572619</v>
      </c>
      <c r="FG30" s="80">
        <v>8.5486284145697748</v>
      </c>
      <c r="FH30" s="80">
        <v>11.052388800202657</v>
      </c>
      <c r="FI30" s="80">
        <v>13.08898157163666</v>
      </c>
      <c r="FJ30" s="80">
        <v>11.26566130064252</v>
      </c>
      <c r="FK30" s="80">
        <v>12.676354860331498</v>
      </c>
      <c r="FL30" s="80">
        <v>14.765901597129869</v>
      </c>
      <c r="FM30" s="80">
        <v>14.230768076873712</v>
      </c>
      <c r="FN30" s="80">
        <v>16.145021474870482</v>
      </c>
      <c r="FO30" s="80">
        <v>14.831102175714042</v>
      </c>
      <c r="FP30" s="80">
        <v>15.221094450525685</v>
      </c>
      <c r="FQ30" s="80">
        <v>14.675873261390931</v>
      </c>
      <c r="FR30" s="80">
        <v>15.39730731475936</v>
      </c>
      <c r="FS30" s="80">
        <v>13.326389800820998</v>
      </c>
      <c r="FT30" s="80">
        <v>15.784493340287947</v>
      </c>
      <c r="FU30" s="80">
        <v>11.505459024991756</v>
      </c>
      <c r="FV30" s="80">
        <v>15.175735295060447</v>
      </c>
      <c r="FW30" s="80">
        <v>14.967178429894689</v>
      </c>
      <c r="FX30" s="80">
        <v>16.732523425392028</v>
      </c>
      <c r="FY30" s="80">
        <v>16.200853961211951</v>
      </c>
      <c r="FZ30" s="80">
        <v>19.379100739365516</v>
      </c>
      <c r="GA30" s="80">
        <v>16.748350014208405</v>
      </c>
      <c r="GB30" s="80">
        <v>16.517337047238112</v>
      </c>
      <c r="GC30" s="80">
        <v>14.507781876039838</v>
      </c>
      <c r="GD30" s="80">
        <v>15.200610503357428</v>
      </c>
      <c r="GE30" s="80">
        <v>12.130777433596167</v>
      </c>
      <c r="GF30" s="80">
        <v>14.157757956882907</v>
      </c>
      <c r="GG30" s="80">
        <v>12.366832089228021</v>
      </c>
      <c r="GH30" s="80">
        <v>14.957313510971559</v>
      </c>
      <c r="GI30" s="80">
        <v>17.292870548315957</v>
      </c>
      <c r="GJ30" s="80">
        <v>16.282818786259895</v>
      </c>
      <c r="GK30" s="80">
        <v>16.574908040557869</v>
      </c>
      <c r="GL30" s="80">
        <v>15.168691373979785</v>
      </c>
      <c r="GM30" s="80">
        <v>12.00438839633625</v>
      </c>
      <c r="GN30" s="80">
        <v>12.210868736707944</v>
      </c>
      <c r="GO30" s="80">
        <v>13.696052097510947</v>
      </c>
      <c r="GP30" s="80">
        <v>13.433405595308672</v>
      </c>
      <c r="GQ30" s="80">
        <v>11.22614372108519</v>
      </c>
      <c r="GR30" s="80">
        <v>12.667138425339294</v>
      </c>
      <c r="GS30" s="80">
        <v>10.908925900399206</v>
      </c>
      <c r="GT30" s="80">
        <v>11.274715767417259</v>
      </c>
      <c r="GU30" s="80">
        <v>16.491604485906596</v>
      </c>
      <c r="GV30" s="80">
        <v>14.419274725414255</v>
      </c>
      <c r="GW30" s="80">
        <v>14.419274725414255</v>
      </c>
      <c r="GX30" s="80">
        <v>17.429332441648675</v>
      </c>
      <c r="GY30" s="80">
        <v>15.960432712460889</v>
      </c>
      <c r="GZ30" s="80">
        <v>17.851565401234698</v>
      </c>
      <c r="HA30" s="80">
        <v>17.856659243494576</v>
      </c>
      <c r="HB30" s="80">
        <v>14.389007977238489</v>
      </c>
      <c r="HC30" s="80">
        <v>17.125296217980317</v>
      </c>
      <c r="HD30" s="80">
        <v>13.548246727000599</v>
      </c>
      <c r="HE30" s="80">
        <v>20.357249615947335</v>
      </c>
      <c r="HF30" s="80">
        <v>13.770254304058016</v>
      </c>
      <c r="HG30" s="80">
        <v>15.91424477478364</v>
      </c>
      <c r="HH30" s="80">
        <v>18.731366102865941</v>
      </c>
      <c r="HI30" s="80">
        <v>18.624572846515576</v>
      </c>
      <c r="HJ30" s="80">
        <v>16.248661109906593</v>
      </c>
      <c r="HK30" s="80">
        <v>16.80273773269677</v>
      </c>
      <c r="HL30" s="80">
        <v>18.327011793786752</v>
      </c>
      <c r="HM30" s="80">
        <v>24.111428891408242</v>
      </c>
      <c r="HN30" s="80">
        <v>20.297244305896797</v>
      </c>
      <c r="HO30" s="80">
        <v>13.011107347372683</v>
      </c>
      <c r="HP30" s="80">
        <v>12.580834255256635</v>
      </c>
      <c r="HQ30" s="80">
        <v>9.6853236225409933</v>
      </c>
      <c r="HR30" s="80">
        <v>8.6204999999999998</v>
      </c>
      <c r="HS30" s="80">
        <v>8.0604600000000008</v>
      </c>
      <c r="HT30" s="80">
        <v>5.7977539299254</v>
      </c>
      <c r="HU30" s="80">
        <v>4.8079530050348804</v>
      </c>
      <c r="HV30" s="80">
        <v>1.53450614890087</v>
      </c>
      <c r="HW30" s="80">
        <v>1.6664890928514</v>
      </c>
      <c r="HX30" s="80">
        <v>2.72429626426739</v>
      </c>
      <c r="HY30" s="80">
        <v>1.36405906727052</v>
      </c>
      <c r="HZ30" s="80">
        <v>3.0601536990837599</v>
      </c>
      <c r="IA30" s="80">
        <v>5.2065056279572</v>
      </c>
      <c r="IB30" s="80">
        <v>2.6514706789139599</v>
      </c>
      <c r="IC30" s="80">
        <v>3.6632281599865402</v>
      </c>
      <c r="ID30" s="80">
        <v>4.4979071808003104</v>
      </c>
      <c r="IE30" s="80">
        <v>3.0577145217756301</v>
      </c>
      <c r="IF30" s="80">
        <v>5.7295089193604598</v>
      </c>
      <c r="IG30" s="80">
        <v>3.1219381642169299</v>
      </c>
      <c r="IH30" s="80">
        <v>3.39259216740995</v>
      </c>
      <c r="II30" s="80">
        <v>3.3339163112849999</v>
      </c>
      <c r="IJ30" s="80">
        <v>2.2397664624221099</v>
      </c>
      <c r="IK30" s="80">
        <v>1.83343356221746</v>
      </c>
      <c r="IL30" s="80">
        <v>2.6898616891048701</v>
      </c>
      <c r="IM30" s="80">
        <v>2.4509851864410201</v>
      </c>
      <c r="IN30" s="80">
        <v>5.5234022293059404</v>
      </c>
      <c r="IO30" s="80">
        <v>5.2095965627061904</v>
      </c>
      <c r="IP30" s="80">
        <v>5.6381380367795897</v>
      </c>
      <c r="IQ30" s="80">
        <v>5.3555843012233604</v>
      </c>
      <c r="IR30" s="80">
        <v>7.4673076124233297</v>
      </c>
      <c r="IS30" s="80">
        <v>6.6196229060363496</v>
      </c>
      <c r="IT30" s="80">
        <v>7.54607103459049</v>
      </c>
      <c r="IU30" s="80">
        <v>8.1066365182596307</v>
      </c>
      <c r="IV30" s="80">
        <v>7.8290826291996201</v>
      </c>
      <c r="IW30" s="80">
        <v>8.1275796324902103</v>
      </c>
      <c r="IX30" s="80">
        <v>9.09472879225779</v>
      </c>
      <c r="IY30" s="80">
        <v>7.9099930112488002</v>
      </c>
      <c r="IZ30" s="80">
        <v>6.9810699065478197</v>
      </c>
      <c r="JA30" s="80">
        <v>10.0422297196322</v>
      </c>
      <c r="JB30" s="80">
        <v>6.9475040349052897</v>
      </c>
      <c r="JC30" s="80">
        <v>9.1248933705270705</v>
      </c>
      <c r="JD30" s="80">
        <v>10.7286794113281</v>
      </c>
      <c r="JE30" s="80">
        <v>11.618710466908601</v>
      </c>
      <c r="JF30" s="80">
        <v>9.5070497174733095</v>
      </c>
      <c r="JG30" s="80">
        <v>12.1254332593911</v>
      </c>
      <c r="JH30" s="80">
        <v>9.9224290444933398</v>
      </c>
      <c r="JI30" s="80">
        <v>9.7900550856993007</v>
      </c>
      <c r="JJ30" s="80">
        <v>12.2005453776201</v>
      </c>
      <c r="JK30" s="80">
        <v>13.6329848307138</v>
      </c>
      <c r="JL30" s="80">
        <v>16.701107346835499</v>
      </c>
      <c r="JM30" s="80">
        <v>12.577510434407801</v>
      </c>
      <c r="JN30" s="80">
        <v>14.2149121782272</v>
      </c>
      <c r="JO30" s="80">
        <v>14.427602994083101</v>
      </c>
      <c r="JP30" s="80">
        <v>13.460910427430999</v>
      </c>
      <c r="JQ30" s="80">
        <v>17.8091366179696</v>
      </c>
      <c r="JR30" s="80">
        <v>13.0470963346172</v>
      </c>
      <c r="JS30" s="80">
        <v>13.2434581999775</v>
      </c>
      <c r="JT30" s="80">
        <v>13.009794957842599</v>
      </c>
      <c r="JU30" s="80">
        <v>14.082635753395399</v>
      </c>
      <c r="JV30" s="80">
        <v>15.1421054256988</v>
      </c>
      <c r="JW30" s="80">
        <v>10.5205513521553</v>
      </c>
      <c r="JX30" s="80">
        <v>15.260281816536899</v>
      </c>
      <c r="JY30" s="80">
        <v>14.5917629346288</v>
      </c>
      <c r="JZ30" s="80">
        <v>12.5234121203599</v>
      </c>
      <c r="KA30" s="80">
        <v>14.896407619862501</v>
      </c>
      <c r="KB30" s="80">
        <v>15.0390915377345</v>
      </c>
      <c r="KC30" s="80">
        <v>14.1490509072592</v>
      </c>
      <c r="KD30" s="80">
        <v>15.6102633336266</v>
      </c>
      <c r="KE30" s="80">
        <v>10.8190568083103</v>
      </c>
      <c r="KF30" s="81">
        <v>12.911655548028101</v>
      </c>
      <c r="KG30" s="81">
        <v>14.410981403252601</v>
      </c>
      <c r="KH30" s="81">
        <v>13.4076925463731</v>
      </c>
      <c r="KI30" s="81">
        <v>18.7065571809418</v>
      </c>
      <c r="KJ30" s="81">
        <v>12.2047909384361</v>
      </c>
      <c r="KK30" s="81">
        <v>10.1724275819161</v>
      </c>
      <c r="KL30" s="81">
        <v>14.0639407368019</v>
      </c>
      <c r="KM30" s="81">
        <v>15.6639657169786</v>
      </c>
      <c r="KN30" s="81">
        <v>13.9014994602001</v>
      </c>
      <c r="KO30" s="81">
        <v>17.5478830066975</v>
      </c>
    </row>
    <row r="31" spans="1:301" s="77" customFormat="1" ht="18" customHeight="1">
      <c r="A31" s="78"/>
      <c r="B31" s="120" t="s">
        <v>172</v>
      </c>
      <c r="C31" s="91" t="s">
        <v>8</v>
      </c>
      <c r="D31" s="91" t="s">
        <v>8</v>
      </c>
      <c r="E31" s="91" t="s">
        <v>8</v>
      </c>
      <c r="F31" s="91" t="s">
        <v>8</v>
      </c>
      <c r="G31" s="91" t="s">
        <v>8</v>
      </c>
      <c r="H31" s="91" t="s">
        <v>8</v>
      </c>
      <c r="I31" s="91" t="s">
        <v>8</v>
      </c>
      <c r="J31" s="91" t="s">
        <v>8</v>
      </c>
      <c r="K31" s="91" t="s">
        <v>8</v>
      </c>
      <c r="L31" s="91" t="s">
        <v>8</v>
      </c>
      <c r="M31" s="91" t="s">
        <v>8</v>
      </c>
      <c r="N31" s="91" t="s">
        <v>8</v>
      </c>
      <c r="O31" s="91" t="s">
        <v>8</v>
      </c>
      <c r="P31" s="91" t="s">
        <v>8</v>
      </c>
      <c r="Q31" s="91" t="s">
        <v>8</v>
      </c>
      <c r="R31" s="91" t="s">
        <v>8</v>
      </c>
      <c r="S31" s="91" t="s">
        <v>8</v>
      </c>
      <c r="T31" s="91" t="s">
        <v>8</v>
      </c>
      <c r="U31" s="91" t="s">
        <v>8</v>
      </c>
      <c r="V31" s="91" t="s">
        <v>8</v>
      </c>
      <c r="W31" s="91" t="s">
        <v>8</v>
      </c>
      <c r="X31" s="91" t="s">
        <v>8</v>
      </c>
      <c r="Y31" s="91" t="s">
        <v>8</v>
      </c>
      <c r="Z31" s="91" t="s">
        <v>8</v>
      </c>
      <c r="AA31" s="91" t="s">
        <v>8</v>
      </c>
      <c r="AB31" s="91" t="s">
        <v>8</v>
      </c>
      <c r="AC31" s="91" t="s">
        <v>8</v>
      </c>
      <c r="AD31" s="91" t="s">
        <v>8</v>
      </c>
      <c r="AE31" s="91" t="s">
        <v>8</v>
      </c>
      <c r="AF31" s="91" t="s">
        <v>8</v>
      </c>
      <c r="AG31" s="91" t="s">
        <v>8</v>
      </c>
      <c r="AH31" s="91" t="s">
        <v>8</v>
      </c>
      <c r="AI31" s="91" t="s">
        <v>8</v>
      </c>
      <c r="AJ31" s="91" t="s">
        <v>8</v>
      </c>
      <c r="AK31" s="91" t="s">
        <v>8</v>
      </c>
      <c r="AL31" s="91" t="s">
        <v>8</v>
      </c>
      <c r="AM31" s="91" t="s">
        <v>8</v>
      </c>
      <c r="AN31" s="91" t="s">
        <v>8</v>
      </c>
      <c r="AO31" s="91" t="s">
        <v>8</v>
      </c>
      <c r="AP31" s="91" t="s">
        <v>8</v>
      </c>
      <c r="AQ31" s="91" t="s">
        <v>8</v>
      </c>
      <c r="AR31" s="91" t="s">
        <v>8</v>
      </c>
      <c r="AS31" s="80">
        <v>9.1553170000000001</v>
      </c>
      <c r="AT31" s="80">
        <v>6.3280599999999998</v>
      </c>
      <c r="AU31" s="80">
        <v>5.3042369999999996</v>
      </c>
      <c r="AV31" s="80">
        <v>5.3477069999999998</v>
      </c>
      <c r="AW31" s="80">
        <v>5.7027039999999998</v>
      </c>
      <c r="AX31" s="80">
        <v>3.4821070000000001</v>
      </c>
      <c r="AY31" s="80">
        <v>6.6700710000000001</v>
      </c>
      <c r="AZ31" s="80">
        <v>5.0106149999999996</v>
      </c>
      <c r="BA31" s="80">
        <v>4.9334259999999999</v>
      </c>
      <c r="BB31" s="80">
        <v>5.4499649999999997</v>
      </c>
      <c r="BC31" s="80">
        <v>5.1517850000000003</v>
      </c>
      <c r="BD31" s="80">
        <v>3.349764</v>
      </c>
      <c r="BE31" s="80">
        <v>4.7002309999999996</v>
      </c>
      <c r="BF31" s="80">
        <v>5.512645</v>
      </c>
      <c r="BG31" s="80">
        <v>5.8881639999999997</v>
      </c>
      <c r="BH31" s="80">
        <v>7.0407979999999997</v>
      </c>
      <c r="BI31" s="80">
        <v>4.5999230000000004</v>
      </c>
      <c r="BJ31" s="80">
        <v>5.1786310000000002</v>
      </c>
      <c r="BK31" s="80">
        <v>4.2739961253174519</v>
      </c>
      <c r="BL31" s="80">
        <v>4.7050117564197818</v>
      </c>
      <c r="BM31" s="80">
        <v>5.7027582983507008</v>
      </c>
      <c r="BN31" s="80">
        <v>5.5655714372131291</v>
      </c>
      <c r="BO31" s="80">
        <v>4.1022021564432256</v>
      </c>
      <c r="BP31" s="80">
        <v>5.4392481720634018</v>
      </c>
      <c r="BQ31" s="80">
        <v>4.6976246002958399</v>
      </c>
      <c r="BR31" s="80">
        <v>4.5071984180931981</v>
      </c>
      <c r="BS31" s="80">
        <v>5.2509312054033206</v>
      </c>
      <c r="BT31" s="80">
        <v>5.4625485260353273</v>
      </c>
      <c r="BU31" s="80">
        <v>6.9033909752354354</v>
      </c>
      <c r="BV31" s="80">
        <v>7.115204087770274</v>
      </c>
      <c r="BW31" s="80">
        <v>5.3849357499409285</v>
      </c>
      <c r="BX31" s="80">
        <v>4.6974317292317531</v>
      </c>
      <c r="BY31" s="80">
        <v>4.5206762043397895</v>
      </c>
      <c r="BZ31" s="80">
        <v>5.0096661999930872</v>
      </c>
      <c r="CA31" s="80">
        <v>4.4905802287389944</v>
      </c>
      <c r="CB31" s="80">
        <v>3.9195192905121781</v>
      </c>
      <c r="CC31" s="80">
        <v>3.5440581133723099</v>
      </c>
      <c r="CD31" s="80">
        <v>4.045655713756374</v>
      </c>
      <c r="CE31" s="80">
        <v>4.2588394147855793</v>
      </c>
      <c r="CF31" s="80">
        <v>4.3427367226995681</v>
      </c>
      <c r="CG31" s="80">
        <v>4.4555296883839075</v>
      </c>
      <c r="CH31" s="80">
        <v>4.5067244825156223</v>
      </c>
      <c r="CI31" s="80">
        <v>5.1536660538455292</v>
      </c>
      <c r="CJ31" s="80">
        <v>4.5518294229056355</v>
      </c>
      <c r="CK31" s="80">
        <v>4.554047089963726</v>
      </c>
      <c r="CL31" s="80">
        <v>6.9196962302807012</v>
      </c>
      <c r="CM31" s="80">
        <v>5.2520509530302224</v>
      </c>
      <c r="CN31" s="80">
        <v>5.1111295617644856</v>
      </c>
      <c r="CO31" s="80">
        <v>4.9121288336250508</v>
      </c>
      <c r="CP31" s="80">
        <v>5.1464137162296133</v>
      </c>
      <c r="CQ31" s="80">
        <v>5.5640658213686871</v>
      </c>
      <c r="CR31" s="80">
        <v>5.9371255268926015</v>
      </c>
      <c r="CS31" s="80">
        <v>5.8894310404101713</v>
      </c>
      <c r="CT31" s="80">
        <v>5.1035905245683306</v>
      </c>
      <c r="CU31" s="80">
        <v>4.726786136406564</v>
      </c>
      <c r="CV31" s="80">
        <v>5.1768110866083887</v>
      </c>
      <c r="CW31" s="80">
        <v>6.333155935226781</v>
      </c>
      <c r="CX31" s="80">
        <v>4.0395826945582716</v>
      </c>
      <c r="CY31" s="80">
        <v>4.5801670647427395</v>
      </c>
      <c r="CZ31" s="80">
        <v>6.0048116466935051</v>
      </c>
      <c r="DA31" s="80">
        <v>9.2291016208923082</v>
      </c>
      <c r="DB31" s="80">
        <v>8.3128970740185721</v>
      </c>
      <c r="DC31" s="80">
        <v>5.6801314811128423</v>
      </c>
      <c r="DD31" s="80">
        <v>4.9064217338600198</v>
      </c>
      <c r="DE31" s="80">
        <v>6.5847092217343732</v>
      </c>
      <c r="DF31" s="80">
        <v>6.0942982709470686</v>
      </c>
      <c r="DG31" s="80">
        <v>4.4790073429300694</v>
      </c>
      <c r="DH31" s="80">
        <v>4.4285489624573184</v>
      </c>
      <c r="DI31" s="80">
        <v>4.8669460343117779</v>
      </c>
      <c r="DJ31" s="80">
        <v>5.6770175953042976</v>
      </c>
      <c r="DK31" s="80">
        <v>3.7129872398138994</v>
      </c>
      <c r="DL31" s="80">
        <v>5.5315660805665674</v>
      </c>
      <c r="DM31" s="80">
        <v>6.3671841450709286</v>
      </c>
      <c r="DN31" s="80">
        <v>5.2841068741364481</v>
      </c>
      <c r="DO31" s="80">
        <v>5.3341792694073469</v>
      </c>
      <c r="DP31" s="80">
        <v>5.5477928836342452</v>
      </c>
      <c r="DQ31" s="80">
        <v>6.3425278315533298</v>
      </c>
      <c r="DR31" s="80">
        <v>6.2787927675767294</v>
      </c>
      <c r="DS31" s="80">
        <v>5.26338237792997</v>
      </c>
      <c r="DT31" s="80">
        <v>6.5828559413015686</v>
      </c>
      <c r="DU31" s="80">
        <v>4.9602311107788504</v>
      </c>
      <c r="DV31" s="80">
        <v>6.5107146804809473</v>
      </c>
      <c r="DW31" s="80">
        <v>4.944184402039645</v>
      </c>
      <c r="DX31" s="80">
        <v>4.8577219721512614</v>
      </c>
      <c r="DY31" s="80">
        <v>4.9724493445952804</v>
      </c>
      <c r="DZ31" s="80">
        <v>5.9799410649570692</v>
      </c>
      <c r="EA31" s="80">
        <v>5.1422689976325566</v>
      </c>
      <c r="EB31" s="80">
        <v>5.3430283407434374</v>
      </c>
      <c r="EC31" s="80">
        <v>4.4844910445232058</v>
      </c>
      <c r="ED31" s="80">
        <v>4.5551471587102563</v>
      </c>
      <c r="EE31" s="80">
        <v>4.7740612956135555</v>
      </c>
      <c r="EF31" s="80">
        <v>3.7846302628263566</v>
      </c>
      <c r="EG31" s="80">
        <v>5.0877211981821322</v>
      </c>
      <c r="EH31" s="80">
        <v>4.0496028342985548</v>
      </c>
      <c r="EI31" s="80">
        <v>5.6354668471513918</v>
      </c>
      <c r="EJ31" s="80">
        <v>6.7902694151645457</v>
      </c>
      <c r="EK31" s="80">
        <v>4.6216018509265648</v>
      </c>
      <c r="EL31" s="80">
        <v>4.2965230874132381</v>
      </c>
      <c r="EM31" s="80">
        <v>4.418374870004139</v>
      </c>
      <c r="EN31" s="80">
        <v>3.7913567122629339</v>
      </c>
      <c r="EO31" s="80">
        <v>3.8213687193169381</v>
      </c>
      <c r="EP31" s="80">
        <v>4.8147687752780719</v>
      </c>
      <c r="EQ31" s="80">
        <v>6.8726327549464488</v>
      </c>
      <c r="ER31" s="80">
        <v>4.7618246332667331</v>
      </c>
      <c r="ES31" s="80">
        <v>4.60563579210128</v>
      </c>
      <c r="ET31" s="80">
        <v>4.9101602673457805</v>
      </c>
      <c r="EU31" s="80">
        <v>3.8558976283113657</v>
      </c>
      <c r="EV31" s="80">
        <v>6.4622314823006048</v>
      </c>
      <c r="EW31" s="80">
        <v>6.3528783128537256</v>
      </c>
      <c r="EX31" s="80">
        <v>3.8075440420845132</v>
      </c>
      <c r="EY31" s="80">
        <v>3.8468102871718415</v>
      </c>
      <c r="EZ31" s="80">
        <v>4.9265860940874449</v>
      </c>
      <c r="FA31" s="80">
        <v>4.290170046200835</v>
      </c>
      <c r="FB31" s="80">
        <v>3.3541340169250629</v>
      </c>
      <c r="FC31" s="80">
        <v>4.158864493651051</v>
      </c>
      <c r="FD31" s="80">
        <v>4.2260253071813256</v>
      </c>
      <c r="FE31" s="80">
        <v>4.4939917495956747</v>
      </c>
      <c r="FF31" s="80">
        <v>5.8611155241117814</v>
      </c>
      <c r="FG31" s="80">
        <v>3.2073637618333226</v>
      </c>
      <c r="FH31" s="80">
        <v>2.423877807862298</v>
      </c>
      <c r="FI31" s="80">
        <v>5.8927040631162084</v>
      </c>
      <c r="FJ31" s="80">
        <v>5.803908713384077</v>
      </c>
      <c r="FK31" s="80">
        <v>4.6331637229482912</v>
      </c>
      <c r="FL31" s="80">
        <v>4.5565078050135188</v>
      </c>
      <c r="FM31" s="80">
        <v>5.8199066133272161</v>
      </c>
      <c r="FN31" s="80">
        <v>6.3537654519157449</v>
      </c>
      <c r="FO31" s="80">
        <v>4.2000248206358206</v>
      </c>
      <c r="FP31" s="80">
        <v>4.348823776016399</v>
      </c>
      <c r="FQ31" s="80">
        <v>5.431512240212375</v>
      </c>
      <c r="FR31" s="80">
        <v>3.5052931017077058</v>
      </c>
      <c r="FS31" s="80">
        <v>3.3253812697403204</v>
      </c>
      <c r="FT31" s="80">
        <v>4.9262013008954275</v>
      </c>
      <c r="FU31" s="80">
        <v>5.4261033147322211</v>
      </c>
      <c r="FV31" s="80">
        <v>3.1793476563349832</v>
      </c>
      <c r="FW31" s="80">
        <v>4.4981466682624403</v>
      </c>
      <c r="FX31" s="80">
        <v>5.6588878135530258</v>
      </c>
      <c r="FY31" s="80">
        <v>4.46617021527278</v>
      </c>
      <c r="FZ31" s="80">
        <v>5.5946028745583121</v>
      </c>
      <c r="GA31" s="80">
        <v>4.0810553340581386</v>
      </c>
      <c r="GB31" s="80">
        <v>5.0889903371719871</v>
      </c>
      <c r="GC31" s="80">
        <v>3.8194836122616591</v>
      </c>
      <c r="GD31" s="80">
        <v>4.2717360449655875</v>
      </c>
      <c r="GE31" s="80">
        <v>3.3096913301206876</v>
      </c>
      <c r="GF31" s="80">
        <v>4.5076879925359545</v>
      </c>
      <c r="GG31" s="80">
        <v>3.6143460494768451</v>
      </c>
      <c r="GH31" s="80">
        <v>3.7739864760494046</v>
      </c>
      <c r="GI31" s="80">
        <v>4.3463617804897599</v>
      </c>
      <c r="GJ31" s="80">
        <v>4.1873266149650856</v>
      </c>
      <c r="GK31" s="80">
        <v>4.156685133649078</v>
      </c>
      <c r="GL31" s="80">
        <v>5.4137360737396891</v>
      </c>
      <c r="GM31" s="80">
        <v>4.0835774857776208</v>
      </c>
      <c r="GN31" s="80">
        <v>4.0170991201201058</v>
      </c>
      <c r="GO31" s="80">
        <v>3.2529943147776756</v>
      </c>
      <c r="GP31" s="80">
        <v>4.518161714877075</v>
      </c>
      <c r="GQ31" s="80">
        <v>3.5738345877373208</v>
      </c>
      <c r="GR31" s="80">
        <v>3.5309847075603669</v>
      </c>
      <c r="GS31" s="80">
        <v>3.1418025017400701</v>
      </c>
      <c r="GT31" s="80">
        <v>3.3259918131991926</v>
      </c>
      <c r="GU31" s="80">
        <v>3.3439402486670815</v>
      </c>
      <c r="GV31" s="80">
        <v>3.2653616941914461</v>
      </c>
      <c r="GW31" s="80">
        <v>4.8550019155033954</v>
      </c>
      <c r="GX31" s="80">
        <v>4.4429600887437628</v>
      </c>
      <c r="GY31" s="80">
        <v>5.421229943602536</v>
      </c>
      <c r="GZ31" s="80">
        <v>5.0498983985925534</v>
      </c>
      <c r="HA31" s="80">
        <v>4.8323742510755494</v>
      </c>
      <c r="HB31" s="80">
        <v>4.8178794479632581</v>
      </c>
      <c r="HC31" s="80">
        <v>4.1072091431238533</v>
      </c>
      <c r="HD31" s="80">
        <v>4.5149229011214249</v>
      </c>
      <c r="HE31" s="80">
        <v>5.0062547687627577</v>
      </c>
      <c r="HF31" s="80">
        <v>4.261861386378623</v>
      </c>
      <c r="HG31" s="80">
        <v>4.3321379606507735</v>
      </c>
      <c r="HH31" s="80">
        <v>3.4695204947166882</v>
      </c>
      <c r="HI31" s="80">
        <v>4.1943530136350917</v>
      </c>
      <c r="HJ31" s="80">
        <v>4.502950147195885</v>
      </c>
      <c r="HK31" s="80">
        <v>4.6916965640086339</v>
      </c>
      <c r="HL31" s="80">
        <v>3.7446188320457194</v>
      </c>
      <c r="HM31" s="80">
        <v>4.8073231854272818</v>
      </c>
      <c r="HN31" s="80">
        <v>4.9562257178298683</v>
      </c>
      <c r="HO31" s="80">
        <v>2.9535133679441588</v>
      </c>
      <c r="HP31" s="80">
        <v>2.6476031579437951</v>
      </c>
      <c r="HQ31" s="80">
        <v>3.4952798509918592</v>
      </c>
      <c r="HR31" s="80">
        <v>2.3084699999999998</v>
      </c>
      <c r="HS31" s="80">
        <v>2.20642</v>
      </c>
      <c r="HT31" s="80">
        <v>4.7514282475534397</v>
      </c>
      <c r="HU31" s="80">
        <v>6.9333797003150304</v>
      </c>
      <c r="HV31" s="80">
        <v>6.1120082299587297</v>
      </c>
      <c r="HW31" s="80">
        <v>5.5863133372487797</v>
      </c>
      <c r="HX31" s="80">
        <v>3.8282510537542098</v>
      </c>
      <c r="HY31" s="80">
        <v>4.3437779145927404</v>
      </c>
      <c r="HZ31" s="80">
        <v>4.6594849856199199</v>
      </c>
      <c r="IA31" s="80">
        <v>5.0373390215043896</v>
      </c>
      <c r="IB31" s="80">
        <v>2.9286524306540902</v>
      </c>
      <c r="IC31" s="80">
        <v>3.6544094180090401</v>
      </c>
      <c r="ID31" s="80">
        <v>3.33708485893795</v>
      </c>
      <c r="IE31" s="80">
        <v>3.3839804212489502</v>
      </c>
      <c r="IF31" s="80">
        <v>3.55782550202361</v>
      </c>
      <c r="IG31" s="80">
        <v>4.9132654675225602</v>
      </c>
      <c r="IH31" s="80">
        <v>4.92565453136364</v>
      </c>
      <c r="II31" s="80">
        <v>3.3415092264732298</v>
      </c>
      <c r="IJ31" s="80">
        <v>4.0172274240951698</v>
      </c>
      <c r="IK31" s="80">
        <v>3.46007755928217</v>
      </c>
      <c r="IL31" s="80">
        <v>3.6915534438443398</v>
      </c>
      <c r="IM31" s="80">
        <v>2.20563620131407</v>
      </c>
      <c r="IN31" s="80">
        <v>2.7127405557496602</v>
      </c>
      <c r="IO31" s="80">
        <v>3.1547214910282602</v>
      </c>
      <c r="IP31" s="80">
        <v>3.1588228867854502</v>
      </c>
      <c r="IQ31" s="80">
        <v>3.4718762990652898</v>
      </c>
      <c r="IR31" s="80">
        <v>2.82718315143486</v>
      </c>
      <c r="IS31" s="80">
        <v>5.0621020031001702</v>
      </c>
      <c r="IT31" s="80">
        <v>4.0933120547249402</v>
      </c>
      <c r="IU31" s="80">
        <v>4.1943454163289999</v>
      </c>
      <c r="IV31" s="80">
        <v>4.1529680223664096</v>
      </c>
      <c r="IW31" s="80">
        <v>3.7413686477804</v>
      </c>
      <c r="IX31" s="80">
        <v>2.7238819534099399</v>
      </c>
      <c r="IY31" s="80">
        <v>3.3219828152748501</v>
      </c>
      <c r="IZ31" s="80">
        <v>3.0145708527297499</v>
      </c>
      <c r="JA31" s="80">
        <v>2.6881217274925402</v>
      </c>
      <c r="JB31" s="80">
        <v>3.6925581698622798</v>
      </c>
      <c r="JC31" s="80">
        <v>3.6128664541361601</v>
      </c>
      <c r="JD31" s="80">
        <v>3.9738866273425399</v>
      </c>
      <c r="JE31" s="80">
        <v>2.9489594506829002</v>
      </c>
      <c r="JF31" s="80">
        <v>3.3999790928456899</v>
      </c>
      <c r="JG31" s="80">
        <v>3.3855292422695098</v>
      </c>
      <c r="JH31" s="80">
        <v>4.2923510677332199</v>
      </c>
      <c r="JI31" s="80">
        <v>3.8097874072610498</v>
      </c>
      <c r="JJ31" s="80">
        <v>3.0853321772973401</v>
      </c>
      <c r="JK31" s="80">
        <v>3.2553886335633502</v>
      </c>
      <c r="JL31" s="80">
        <v>2.8834601283324801</v>
      </c>
      <c r="JM31" s="80">
        <v>4.5226216291732504</v>
      </c>
      <c r="JN31" s="80">
        <v>3.5375925941067599</v>
      </c>
      <c r="JO31" s="80">
        <v>5.2609605279937899</v>
      </c>
      <c r="JP31" s="80">
        <v>4.2541661985234098</v>
      </c>
      <c r="JQ31" s="80">
        <v>5.3553320433943696</v>
      </c>
      <c r="JR31" s="80">
        <v>5.9646370336539398</v>
      </c>
      <c r="JS31" s="80">
        <v>5.9727768213239898</v>
      </c>
      <c r="JT31" s="80">
        <v>5.0806868956209703</v>
      </c>
      <c r="JU31" s="80">
        <v>4.8240618527766399</v>
      </c>
      <c r="JV31" s="80">
        <v>4.64785564511903</v>
      </c>
      <c r="JW31" s="80">
        <v>4.6083767155799</v>
      </c>
      <c r="JX31" s="80">
        <v>3.2402878796733701</v>
      </c>
      <c r="JY31" s="80">
        <v>4.7133127079284298</v>
      </c>
      <c r="JZ31" s="80">
        <v>4.6026640945409802</v>
      </c>
      <c r="KA31" s="80">
        <v>4.4123595827150801</v>
      </c>
      <c r="KB31" s="80">
        <v>4.0240898723490099</v>
      </c>
      <c r="KC31" s="80">
        <v>3.7120367796412599</v>
      </c>
      <c r="KD31" s="80">
        <v>2.4811991213236402</v>
      </c>
      <c r="KE31" s="80">
        <v>3.88357519746019</v>
      </c>
      <c r="KF31" s="81">
        <v>3.5495431538056801</v>
      </c>
      <c r="KG31" s="81">
        <v>2.8873400014347799</v>
      </c>
      <c r="KH31" s="81">
        <v>2.9042954759911099</v>
      </c>
      <c r="KI31" s="81">
        <v>2.7701285883176698</v>
      </c>
      <c r="KJ31" s="81">
        <v>3.0139572183515702</v>
      </c>
      <c r="KK31" s="81">
        <v>2.67017318601386</v>
      </c>
      <c r="KL31" s="81">
        <v>2.7938520787682299</v>
      </c>
      <c r="KM31" s="81">
        <v>4.9909270121651002</v>
      </c>
      <c r="KN31" s="81">
        <v>4.8086867954204102</v>
      </c>
      <c r="KO31" s="81">
        <v>4.4537735996585202</v>
      </c>
    </row>
    <row r="32" spans="1:301" s="77" customFormat="1" ht="18" customHeight="1">
      <c r="A32" s="78"/>
      <c r="B32" s="120" t="s">
        <v>173</v>
      </c>
      <c r="C32" s="91" t="s">
        <v>8</v>
      </c>
      <c r="D32" s="91" t="s">
        <v>8</v>
      </c>
      <c r="E32" s="91" t="s">
        <v>8</v>
      </c>
      <c r="F32" s="91" t="s">
        <v>8</v>
      </c>
      <c r="G32" s="91" t="s">
        <v>8</v>
      </c>
      <c r="H32" s="91" t="s">
        <v>8</v>
      </c>
      <c r="I32" s="91" t="s">
        <v>8</v>
      </c>
      <c r="J32" s="91" t="s">
        <v>8</v>
      </c>
      <c r="K32" s="91" t="s">
        <v>8</v>
      </c>
      <c r="L32" s="91" t="s">
        <v>8</v>
      </c>
      <c r="M32" s="91" t="s">
        <v>8</v>
      </c>
      <c r="N32" s="91" t="s">
        <v>8</v>
      </c>
      <c r="O32" s="91" t="s">
        <v>8</v>
      </c>
      <c r="P32" s="91" t="s">
        <v>8</v>
      </c>
      <c r="Q32" s="91" t="s">
        <v>8</v>
      </c>
      <c r="R32" s="91" t="s">
        <v>8</v>
      </c>
      <c r="S32" s="91" t="s">
        <v>8</v>
      </c>
      <c r="T32" s="91" t="s">
        <v>8</v>
      </c>
      <c r="U32" s="91" t="s">
        <v>8</v>
      </c>
      <c r="V32" s="91" t="s">
        <v>8</v>
      </c>
      <c r="W32" s="91" t="s">
        <v>8</v>
      </c>
      <c r="X32" s="91" t="s">
        <v>8</v>
      </c>
      <c r="Y32" s="91" t="s">
        <v>8</v>
      </c>
      <c r="Z32" s="91" t="s">
        <v>8</v>
      </c>
      <c r="AA32" s="91" t="s">
        <v>8</v>
      </c>
      <c r="AB32" s="91" t="s">
        <v>8</v>
      </c>
      <c r="AC32" s="91" t="s">
        <v>8</v>
      </c>
      <c r="AD32" s="91" t="s">
        <v>8</v>
      </c>
      <c r="AE32" s="91" t="s">
        <v>8</v>
      </c>
      <c r="AF32" s="91" t="s">
        <v>8</v>
      </c>
      <c r="AG32" s="91" t="s">
        <v>8</v>
      </c>
      <c r="AH32" s="91" t="s">
        <v>8</v>
      </c>
      <c r="AI32" s="91" t="s">
        <v>8</v>
      </c>
      <c r="AJ32" s="91" t="s">
        <v>8</v>
      </c>
      <c r="AK32" s="91" t="s">
        <v>8</v>
      </c>
      <c r="AL32" s="91" t="s">
        <v>8</v>
      </c>
      <c r="AM32" s="91" t="s">
        <v>8</v>
      </c>
      <c r="AN32" s="91" t="s">
        <v>8</v>
      </c>
      <c r="AO32" s="91" t="s">
        <v>8</v>
      </c>
      <c r="AP32" s="91" t="s">
        <v>8</v>
      </c>
      <c r="AQ32" s="91" t="s">
        <v>8</v>
      </c>
      <c r="AR32" s="91" t="s">
        <v>8</v>
      </c>
      <c r="AS32" s="80">
        <v>8.3666979999999995</v>
      </c>
      <c r="AT32" s="80">
        <v>12.69619</v>
      </c>
      <c r="AU32" s="80">
        <v>5.7815519999999996</v>
      </c>
      <c r="AV32" s="80">
        <v>8.1615359999999999</v>
      </c>
      <c r="AW32" s="80">
        <v>8.0428219999999992</v>
      </c>
      <c r="AX32" s="80">
        <v>4.9020299999999999</v>
      </c>
      <c r="AY32" s="80">
        <v>4.5559570000000003</v>
      </c>
      <c r="AZ32" s="80">
        <v>7.1263899999999998</v>
      </c>
      <c r="BA32" s="80">
        <v>4.1214370000000002</v>
      </c>
      <c r="BB32" s="80">
        <v>4.0427200000000001</v>
      </c>
      <c r="BC32" s="80">
        <v>3.9578959999999999</v>
      </c>
      <c r="BD32" s="80">
        <v>4.7015589999999996</v>
      </c>
      <c r="BE32" s="80">
        <v>8.2459380000000007</v>
      </c>
      <c r="BF32" s="80">
        <v>7.6275269999999997</v>
      </c>
      <c r="BG32" s="80">
        <v>4.5866259999999999</v>
      </c>
      <c r="BH32" s="80">
        <v>12.092840000000001</v>
      </c>
      <c r="BI32" s="80">
        <v>9.4516989999999996</v>
      </c>
      <c r="BJ32" s="80">
        <v>7.1530420000000001</v>
      </c>
      <c r="BK32" s="80">
        <v>3.2891338619982577</v>
      </c>
      <c r="BL32" s="80">
        <v>11.015151936448191</v>
      </c>
      <c r="BM32" s="80">
        <v>6.5402831315176986</v>
      </c>
      <c r="BN32" s="80">
        <v>6.6831437081136356</v>
      </c>
      <c r="BO32" s="80">
        <v>5.0471676591443755</v>
      </c>
      <c r="BP32" s="80">
        <v>8.5812983458325913</v>
      </c>
      <c r="BQ32" s="80">
        <v>6.5554781385848244</v>
      </c>
      <c r="BR32" s="80">
        <v>9.1477845391106616</v>
      </c>
      <c r="BS32" s="80">
        <v>7.5676067163045913</v>
      </c>
      <c r="BT32" s="80">
        <v>6.5603625041854325</v>
      </c>
      <c r="BU32" s="80">
        <v>8.0146204082016297</v>
      </c>
      <c r="BV32" s="80">
        <v>7.8115456393543408</v>
      </c>
      <c r="BW32" s="80">
        <v>7.3125551228379511</v>
      </c>
      <c r="BX32" s="80">
        <v>6.0824437181222235</v>
      </c>
      <c r="BY32" s="80">
        <v>8.7210706625635641</v>
      </c>
      <c r="BZ32" s="80">
        <v>4.9296066884345047</v>
      </c>
      <c r="CA32" s="80">
        <v>7.7694738908465508</v>
      </c>
      <c r="CB32" s="80">
        <v>6.7592613303536648</v>
      </c>
      <c r="CC32" s="80">
        <v>7.1908469413502267</v>
      </c>
      <c r="CD32" s="80">
        <v>6.6003939934853735</v>
      </c>
      <c r="CE32" s="80">
        <v>6.2565210924151442</v>
      </c>
      <c r="CF32" s="80">
        <v>7.6795103663671744</v>
      </c>
      <c r="CG32" s="80">
        <v>11.159404734939663</v>
      </c>
      <c r="CH32" s="80">
        <v>6.7626818039311862</v>
      </c>
      <c r="CI32" s="80">
        <v>6.2800913806793233</v>
      </c>
      <c r="CJ32" s="80">
        <v>7.9447324448310237</v>
      </c>
      <c r="CK32" s="80">
        <v>12.109152003289823</v>
      </c>
      <c r="CL32" s="80">
        <v>8.0905372653073222</v>
      </c>
      <c r="CM32" s="80">
        <v>7.9400068849052969</v>
      </c>
      <c r="CN32" s="80">
        <v>8.7407427907527673</v>
      </c>
      <c r="CO32" s="80">
        <v>6.8168513839398388</v>
      </c>
      <c r="CP32" s="80">
        <v>6.4288977657642716</v>
      </c>
      <c r="CQ32" s="80">
        <v>5.8762315735398563</v>
      </c>
      <c r="CR32" s="80">
        <v>4.785573909946379</v>
      </c>
      <c r="CS32" s="80">
        <v>4.9775983553152336</v>
      </c>
      <c r="CT32" s="80">
        <v>8.4747960003027796</v>
      </c>
      <c r="CU32" s="80">
        <v>10.330090685092248</v>
      </c>
      <c r="CV32" s="80">
        <v>7.4507512735199688</v>
      </c>
      <c r="CW32" s="80">
        <v>7.4266598395735768</v>
      </c>
      <c r="CX32" s="80">
        <v>7.2457858647484388</v>
      </c>
      <c r="CY32" s="80">
        <v>5.6449578285651612</v>
      </c>
      <c r="CZ32" s="80">
        <v>5.1707608058541483</v>
      </c>
      <c r="DA32" s="80">
        <v>8.896728714041755</v>
      </c>
      <c r="DB32" s="80">
        <v>8.4098865258108848</v>
      </c>
      <c r="DC32" s="80">
        <v>11.618618686362856</v>
      </c>
      <c r="DD32" s="80">
        <v>8.2662388618115514</v>
      </c>
      <c r="DE32" s="80">
        <v>9.4170241586859582</v>
      </c>
      <c r="DF32" s="80">
        <v>9.3869371521406855</v>
      </c>
      <c r="DG32" s="80">
        <v>6.6163908867646519</v>
      </c>
      <c r="DH32" s="80">
        <v>10.884733797861021</v>
      </c>
      <c r="DI32" s="80">
        <v>6.7144566773800136</v>
      </c>
      <c r="DJ32" s="80">
        <v>7.053397835312734</v>
      </c>
      <c r="DK32" s="80">
        <v>7.9791818807258847</v>
      </c>
      <c r="DL32" s="80">
        <v>10.41657947977947</v>
      </c>
      <c r="DM32" s="80">
        <v>6.9801388085557736</v>
      </c>
      <c r="DN32" s="80">
        <v>8.5097348670793025</v>
      </c>
      <c r="DO32" s="80">
        <v>6.7227817178745877</v>
      </c>
      <c r="DP32" s="80">
        <v>8.0003362654460464</v>
      </c>
      <c r="DQ32" s="80">
        <v>7.2104928236161294</v>
      </c>
      <c r="DR32" s="80">
        <v>9.1635522124832836</v>
      </c>
      <c r="DS32" s="80">
        <v>9.8591508679923425</v>
      </c>
      <c r="DT32" s="80">
        <v>9.8950265599642755</v>
      </c>
      <c r="DU32" s="80">
        <v>9.2129414623121786</v>
      </c>
      <c r="DV32" s="80">
        <v>7.6064894734433048</v>
      </c>
      <c r="DW32" s="80">
        <v>5.659497458632841</v>
      </c>
      <c r="DX32" s="80">
        <v>10.114123600961305</v>
      </c>
      <c r="DY32" s="80">
        <v>8.5592816674403291</v>
      </c>
      <c r="DZ32" s="80">
        <v>8.2190457757516189</v>
      </c>
      <c r="EA32" s="80">
        <v>9.3702592809887335</v>
      </c>
      <c r="EB32" s="80">
        <v>9.3573840938708965</v>
      </c>
      <c r="EC32" s="80">
        <v>7.1134698058850061</v>
      </c>
      <c r="ED32" s="80">
        <v>7.4093844187516273</v>
      </c>
      <c r="EE32" s="80">
        <v>9.0019286609319664</v>
      </c>
      <c r="EF32" s="80">
        <v>8.4636573769413701</v>
      </c>
      <c r="EG32" s="80">
        <v>8.9967935343589307</v>
      </c>
      <c r="EH32" s="80">
        <v>8.0169116991055915</v>
      </c>
      <c r="EI32" s="80">
        <v>5.4945435511066423</v>
      </c>
      <c r="EJ32" s="80">
        <v>9.6605785949895715</v>
      </c>
      <c r="EK32" s="80">
        <v>6.9356372981994445</v>
      </c>
      <c r="EL32" s="80">
        <v>4.7338787822567854</v>
      </c>
      <c r="EM32" s="80">
        <v>6.0893631108397805</v>
      </c>
      <c r="EN32" s="80">
        <v>6.3606506464740695</v>
      </c>
      <c r="EO32" s="80">
        <v>9.5309121466166342</v>
      </c>
      <c r="EP32" s="80">
        <v>6.8244691132776314</v>
      </c>
      <c r="EQ32" s="80">
        <v>7.8454096164399871</v>
      </c>
      <c r="ER32" s="80">
        <v>6.3765989371944194</v>
      </c>
      <c r="ES32" s="80">
        <v>5.6596702958005913</v>
      </c>
      <c r="ET32" s="80">
        <v>5.0402354425563516</v>
      </c>
      <c r="EU32" s="80">
        <v>5.7095315101112512</v>
      </c>
      <c r="EV32" s="80">
        <v>5.4636374414038347</v>
      </c>
      <c r="EW32" s="80">
        <v>7.2752021837463561</v>
      </c>
      <c r="EX32" s="80">
        <v>5.3587143143378064</v>
      </c>
      <c r="EY32" s="80">
        <v>8.2761233370478919</v>
      </c>
      <c r="EZ32" s="80">
        <v>6.1773211915160546</v>
      </c>
      <c r="FA32" s="80">
        <v>5.8477331881199062</v>
      </c>
      <c r="FB32" s="80">
        <v>3.7705491466977907</v>
      </c>
      <c r="FC32" s="80">
        <v>5.9836878771939048</v>
      </c>
      <c r="FD32" s="80">
        <v>4.3640823404308451</v>
      </c>
      <c r="FE32" s="80">
        <v>3.4286227176412818</v>
      </c>
      <c r="FF32" s="80">
        <v>4.0046256688737767</v>
      </c>
      <c r="FG32" s="80">
        <v>6.2483269915075415</v>
      </c>
      <c r="FH32" s="80">
        <v>3.8557162938910219</v>
      </c>
      <c r="FI32" s="80">
        <v>8.2817668773480992</v>
      </c>
      <c r="FJ32" s="80">
        <v>4.5956106069077602</v>
      </c>
      <c r="FK32" s="80">
        <v>4.3548473572295361</v>
      </c>
      <c r="FL32" s="80">
        <v>6.7483920495973431</v>
      </c>
      <c r="FM32" s="80">
        <v>6.9378530704081047</v>
      </c>
      <c r="FN32" s="80">
        <v>5.417526837105811</v>
      </c>
      <c r="FO32" s="80">
        <v>6.0671403251305005</v>
      </c>
      <c r="FP32" s="80">
        <v>5.5247266731616493</v>
      </c>
      <c r="FQ32" s="80">
        <v>5.6397284821008569</v>
      </c>
      <c r="FR32" s="80">
        <v>5.6550612292660727</v>
      </c>
      <c r="FS32" s="80">
        <v>5.1942733568155175</v>
      </c>
      <c r="FT32" s="80">
        <v>6.9013587993762453</v>
      </c>
      <c r="FU32" s="80">
        <v>8.5362607683918341</v>
      </c>
      <c r="FV32" s="80">
        <v>7.1456946128798364</v>
      </c>
      <c r="FW32" s="80">
        <v>9.0350744145494701</v>
      </c>
      <c r="FX32" s="80">
        <v>6.8762279022121273</v>
      </c>
      <c r="FY32" s="80">
        <v>8.2874415800145389</v>
      </c>
      <c r="FZ32" s="80">
        <v>7.2978355396200678</v>
      </c>
      <c r="GA32" s="80">
        <v>8.3664671399334196</v>
      </c>
      <c r="GB32" s="80">
        <v>7.2982126255366735</v>
      </c>
      <c r="GC32" s="80">
        <v>7.4088301422016816</v>
      </c>
      <c r="GD32" s="80">
        <v>6.9291932074115037</v>
      </c>
      <c r="GE32" s="80">
        <v>5.8216680324965138</v>
      </c>
      <c r="GF32" s="80">
        <v>9.0327115509353195</v>
      </c>
      <c r="GG32" s="80">
        <v>6.7793620496625726</v>
      </c>
      <c r="GH32" s="80">
        <v>8.821730498117935</v>
      </c>
      <c r="GI32" s="80">
        <v>7.0559950250450285</v>
      </c>
      <c r="GJ32" s="80">
        <v>6.6162622919178942</v>
      </c>
      <c r="GK32" s="80">
        <v>7.8300471528740117</v>
      </c>
      <c r="GL32" s="80">
        <v>4.3618330949262862</v>
      </c>
      <c r="GM32" s="80">
        <v>5.1908336817427863</v>
      </c>
      <c r="GN32" s="80">
        <v>4.9937554534692348</v>
      </c>
      <c r="GO32" s="80">
        <v>5.904062229401168</v>
      </c>
      <c r="GP32" s="80">
        <v>6.2920569338638721</v>
      </c>
      <c r="GQ32" s="80">
        <v>6.300022838408367</v>
      </c>
      <c r="GR32" s="80">
        <v>7.0264680092982434</v>
      </c>
      <c r="GS32" s="80">
        <v>6.9665370644331164</v>
      </c>
      <c r="GT32" s="80">
        <v>6.6794265267341206</v>
      </c>
      <c r="GU32" s="80">
        <v>7.7383615224340359</v>
      </c>
      <c r="GV32" s="80">
        <v>7.1835568694398013</v>
      </c>
      <c r="GW32" s="80">
        <v>6.8899283263913942</v>
      </c>
      <c r="GX32" s="80">
        <v>6.400206411462853</v>
      </c>
      <c r="GY32" s="80">
        <v>6.3335656347524747</v>
      </c>
      <c r="GZ32" s="80">
        <v>5.2094258283732406</v>
      </c>
      <c r="HA32" s="80">
        <v>6.6481591581348214</v>
      </c>
      <c r="HB32" s="80">
        <v>7.028226048541951</v>
      </c>
      <c r="HC32" s="80">
        <v>5.9740201852658608</v>
      </c>
      <c r="HD32" s="80">
        <v>7.3958067302074157</v>
      </c>
      <c r="HE32" s="80">
        <v>7.1843256939554507</v>
      </c>
      <c r="HF32" s="80">
        <v>8.1431335613304192</v>
      </c>
      <c r="HG32" s="80">
        <v>9.1554188821524214</v>
      </c>
      <c r="HH32" s="80">
        <v>6.2965156296401901</v>
      </c>
      <c r="HI32" s="80">
        <v>5.6150522959092228</v>
      </c>
      <c r="HJ32" s="80">
        <v>6.9083298451038901</v>
      </c>
      <c r="HK32" s="80">
        <v>8.2267043706639065</v>
      </c>
      <c r="HL32" s="80">
        <v>6.9202864813152587</v>
      </c>
      <c r="HM32" s="80">
        <v>5.4847658756557438</v>
      </c>
      <c r="HN32" s="80">
        <v>5.7696205439946739</v>
      </c>
      <c r="HO32" s="80">
        <v>5.1759732412239492</v>
      </c>
      <c r="HP32" s="80">
        <v>7.7468755145928183</v>
      </c>
      <c r="HQ32" s="80">
        <v>5.6753290917034853</v>
      </c>
      <c r="HR32" s="80">
        <v>10.6768</v>
      </c>
      <c r="HS32" s="80">
        <v>17.925999999999998</v>
      </c>
      <c r="HT32" s="80">
        <v>8.8326775397256991</v>
      </c>
      <c r="HU32" s="80">
        <v>7.10067273340246</v>
      </c>
      <c r="HV32" s="80">
        <v>4.7177554818798697</v>
      </c>
      <c r="HW32" s="80">
        <v>5.0703775402932303</v>
      </c>
      <c r="HX32" s="80">
        <v>5.3701975593417401</v>
      </c>
      <c r="HY32" s="80">
        <v>4.8982565320822102</v>
      </c>
      <c r="HZ32" s="80">
        <v>6.4685041138223998</v>
      </c>
      <c r="IA32" s="80">
        <v>4.0144814341627599</v>
      </c>
      <c r="IB32" s="80">
        <v>5.7856896806812399</v>
      </c>
      <c r="IC32" s="80">
        <v>8.7662371503240308</v>
      </c>
      <c r="ID32" s="80">
        <v>5.5323595492137301</v>
      </c>
      <c r="IE32" s="80">
        <v>11.200764354176799</v>
      </c>
      <c r="IF32" s="80">
        <v>7.8475686595235503</v>
      </c>
      <c r="IG32" s="80">
        <v>9.3917348422587708</v>
      </c>
      <c r="IH32" s="80">
        <v>6.4162894268643802</v>
      </c>
      <c r="II32" s="80">
        <v>9.0051351555944592</v>
      </c>
      <c r="IJ32" s="80">
        <v>6.6531205219258203</v>
      </c>
      <c r="IK32" s="80">
        <v>4.3713729520956601</v>
      </c>
      <c r="IL32" s="80">
        <v>6.0522974070876803</v>
      </c>
      <c r="IM32" s="80">
        <v>7.5497905118612998</v>
      </c>
      <c r="IN32" s="80">
        <v>10.0431662926008</v>
      </c>
      <c r="IO32" s="80">
        <v>7.2273175954551201</v>
      </c>
      <c r="IP32" s="80">
        <v>7.2823979668581202</v>
      </c>
      <c r="IQ32" s="80">
        <v>9.0359953168078793</v>
      </c>
      <c r="IR32" s="80">
        <v>8.9399058288706197</v>
      </c>
      <c r="IS32" s="80">
        <v>8.3325469337721305</v>
      </c>
      <c r="IT32" s="80">
        <v>7.3945270222822099</v>
      </c>
      <c r="IU32" s="80">
        <v>9.4205335460666806</v>
      </c>
      <c r="IV32" s="80">
        <v>7.7320288135201096</v>
      </c>
      <c r="IW32" s="80">
        <v>7.1277631410579803</v>
      </c>
      <c r="IX32" s="80">
        <v>8.2811616743149905</v>
      </c>
      <c r="IY32" s="80">
        <v>7.4446841451707604</v>
      </c>
      <c r="IZ32" s="80">
        <v>7.3275781560552797</v>
      </c>
      <c r="JA32" s="80">
        <v>5.7969207691617903</v>
      </c>
      <c r="JB32" s="80">
        <v>8.1976863942946103</v>
      </c>
      <c r="JC32" s="80">
        <v>8.0477331713001394</v>
      </c>
      <c r="JD32" s="80">
        <v>8.5210339108178399</v>
      </c>
      <c r="JE32" s="80">
        <v>9.7091433677857992</v>
      </c>
      <c r="JF32" s="80">
        <v>6.8185197263641397</v>
      </c>
      <c r="JG32" s="80">
        <v>7.2906215860402099</v>
      </c>
      <c r="JH32" s="80">
        <v>6.6245165635236702</v>
      </c>
      <c r="JI32" s="80">
        <v>9.0007497138224402</v>
      </c>
      <c r="JJ32" s="80">
        <v>7.6856111609536004</v>
      </c>
      <c r="JK32" s="80">
        <v>8.6891498848730198</v>
      </c>
      <c r="JL32" s="80">
        <v>7.0194883357880604</v>
      </c>
      <c r="JM32" s="80">
        <v>8.1785172386631295</v>
      </c>
      <c r="JN32" s="80">
        <v>8.9370954152163602</v>
      </c>
      <c r="JO32" s="80">
        <v>7.1048709508309003</v>
      </c>
      <c r="JP32" s="80">
        <v>7.3429448798474199</v>
      </c>
      <c r="JQ32" s="80">
        <v>6.7884581726263296</v>
      </c>
      <c r="JR32" s="80">
        <v>4.8778611075537901</v>
      </c>
      <c r="JS32" s="80">
        <v>5.6996583391022897</v>
      </c>
      <c r="JT32" s="80">
        <v>6.4023952772601804</v>
      </c>
      <c r="JU32" s="80">
        <v>5.5817525141117903</v>
      </c>
      <c r="JV32" s="80">
        <v>5.0161860382308303</v>
      </c>
      <c r="JW32" s="80">
        <v>8.49422797656797</v>
      </c>
      <c r="JX32" s="80">
        <v>8.3884241634451797</v>
      </c>
      <c r="JY32" s="80">
        <v>6.9318797401492898</v>
      </c>
      <c r="JZ32" s="80">
        <v>7.8704674053754404</v>
      </c>
      <c r="KA32" s="80">
        <v>7.5475953144727299</v>
      </c>
      <c r="KB32" s="80">
        <v>6.5487611458067896</v>
      </c>
      <c r="KC32" s="80">
        <v>8.4736576432378907</v>
      </c>
      <c r="KD32" s="80">
        <v>8.3481268007379406</v>
      </c>
      <c r="KE32" s="80">
        <v>8.4169015222492494</v>
      </c>
      <c r="KF32" s="81">
        <v>10.375949963400499</v>
      </c>
      <c r="KG32" s="81">
        <v>9.2726536974512701</v>
      </c>
      <c r="KH32" s="81">
        <v>8.2256580826644896</v>
      </c>
      <c r="KI32" s="81">
        <v>7.7865859247116003</v>
      </c>
      <c r="KJ32" s="81">
        <v>9.3201020299482806</v>
      </c>
      <c r="KK32" s="81">
        <v>8.8975427387814499</v>
      </c>
      <c r="KL32" s="81">
        <v>8.9118028293608695</v>
      </c>
      <c r="KM32" s="81">
        <v>9.3126205315178296</v>
      </c>
      <c r="KN32" s="81">
        <v>10.120713276872101</v>
      </c>
      <c r="KO32" s="81">
        <v>9.3998840043908807</v>
      </c>
    </row>
    <row r="33" spans="1:303" s="77" customFormat="1" ht="18" customHeight="1">
      <c r="A33" s="78"/>
      <c r="B33" s="120" t="s">
        <v>174</v>
      </c>
      <c r="C33" s="91" t="s">
        <v>8</v>
      </c>
      <c r="D33" s="91" t="s">
        <v>8</v>
      </c>
      <c r="E33" s="91" t="s">
        <v>8</v>
      </c>
      <c r="F33" s="91" t="s">
        <v>8</v>
      </c>
      <c r="G33" s="91" t="s">
        <v>8</v>
      </c>
      <c r="H33" s="91" t="s">
        <v>8</v>
      </c>
      <c r="I33" s="91" t="s">
        <v>8</v>
      </c>
      <c r="J33" s="91" t="s">
        <v>8</v>
      </c>
      <c r="K33" s="91" t="s">
        <v>8</v>
      </c>
      <c r="L33" s="91" t="s">
        <v>8</v>
      </c>
      <c r="M33" s="91" t="s">
        <v>8</v>
      </c>
      <c r="N33" s="91" t="s">
        <v>8</v>
      </c>
      <c r="O33" s="91" t="s">
        <v>8</v>
      </c>
      <c r="P33" s="91" t="s">
        <v>8</v>
      </c>
      <c r="Q33" s="91" t="s">
        <v>8</v>
      </c>
      <c r="R33" s="91" t="s">
        <v>8</v>
      </c>
      <c r="S33" s="91" t="s">
        <v>8</v>
      </c>
      <c r="T33" s="91" t="s">
        <v>8</v>
      </c>
      <c r="U33" s="91" t="s">
        <v>8</v>
      </c>
      <c r="V33" s="91" t="s">
        <v>8</v>
      </c>
      <c r="W33" s="91" t="s">
        <v>8</v>
      </c>
      <c r="X33" s="91" t="s">
        <v>8</v>
      </c>
      <c r="Y33" s="91" t="s">
        <v>8</v>
      </c>
      <c r="Z33" s="91" t="s">
        <v>8</v>
      </c>
      <c r="AA33" s="91" t="s">
        <v>8</v>
      </c>
      <c r="AB33" s="91" t="s">
        <v>8</v>
      </c>
      <c r="AC33" s="91" t="s">
        <v>8</v>
      </c>
      <c r="AD33" s="91" t="s">
        <v>8</v>
      </c>
      <c r="AE33" s="91" t="s">
        <v>8</v>
      </c>
      <c r="AF33" s="91" t="s">
        <v>8</v>
      </c>
      <c r="AG33" s="91" t="s">
        <v>8</v>
      </c>
      <c r="AH33" s="91" t="s">
        <v>8</v>
      </c>
      <c r="AI33" s="91" t="s">
        <v>8</v>
      </c>
      <c r="AJ33" s="91" t="s">
        <v>8</v>
      </c>
      <c r="AK33" s="91" t="s">
        <v>8</v>
      </c>
      <c r="AL33" s="91" t="s">
        <v>8</v>
      </c>
      <c r="AM33" s="91" t="s">
        <v>8</v>
      </c>
      <c r="AN33" s="91" t="s">
        <v>8</v>
      </c>
      <c r="AO33" s="91" t="s">
        <v>8</v>
      </c>
      <c r="AP33" s="91" t="s">
        <v>8</v>
      </c>
      <c r="AQ33" s="91" t="s">
        <v>8</v>
      </c>
      <c r="AR33" s="91" t="s">
        <v>8</v>
      </c>
      <c r="AS33" s="80">
        <v>0</v>
      </c>
      <c r="AT33" s="80">
        <v>8.5645009999999999</v>
      </c>
      <c r="AU33" s="80">
        <v>12.871359999999999</v>
      </c>
      <c r="AV33" s="80">
        <v>9.7669599999999992</v>
      </c>
      <c r="AW33" s="80">
        <v>10.02619</v>
      </c>
      <c r="AX33" s="80">
        <v>12.75501</v>
      </c>
      <c r="AY33" s="80">
        <v>13.05597</v>
      </c>
      <c r="AZ33" s="80">
        <v>9.1789550000000002</v>
      </c>
      <c r="BA33" s="80">
        <v>13.206670000000001</v>
      </c>
      <c r="BB33" s="80">
        <v>8.5079309999999992</v>
      </c>
      <c r="BC33" s="80">
        <v>11.76431</v>
      </c>
      <c r="BD33" s="80">
        <v>8.7651939999999993</v>
      </c>
      <c r="BE33" s="80">
        <v>8.5942830000000008</v>
      </c>
      <c r="BF33" s="80">
        <v>8.1257750000000009</v>
      </c>
      <c r="BG33" s="80">
        <v>8.2017000000000007</v>
      </c>
      <c r="BH33" s="80">
        <v>11.397650000000001</v>
      </c>
      <c r="BI33" s="80">
        <v>9.2338880000000003</v>
      </c>
      <c r="BJ33" s="80">
        <v>14.16864</v>
      </c>
      <c r="BK33" s="80">
        <v>4.6298203039553742</v>
      </c>
      <c r="BL33" s="80">
        <v>6.0599102329297638</v>
      </c>
      <c r="BM33" s="80">
        <v>11.487923554314074</v>
      </c>
      <c r="BN33" s="80">
        <v>9.5414219002153295</v>
      </c>
      <c r="BO33" s="80">
        <v>14.829219178566394</v>
      </c>
      <c r="BP33" s="80">
        <v>13.13824813280049</v>
      </c>
      <c r="BQ33" s="80">
        <v>14.956467424383026</v>
      </c>
      <c r="BR33" s="80">
        <v>7.6276961861449024</v>
      </c>
      <c r="BS33" s="80">
        <v>8.6612589819947914</v>
      </c>
      <c r="BT33" s="80">
        <v>10.842866570792186</v>
      </c>
      <c r="BU33" s="80">
        <v>9.711628100769973</v>
      </c>
      <c r="BV33" s="80">
        <v>9.7401528215812494</v>
      </c>
      <c r="BW33" s="80">
        <v>11.372786932439539</v>
      </c>
      <c r="BX33" s="80">
        <v>8.6593119662224201</v>
      </c>
      <c r="BY33" s="80">
        <v>10.776091404543989</v>
      </c>
      <c r="BZ33" s="80">
        <v>7.7921753905083628</v>
      </c>
      <c r="CA33" s="80">
        <v>11.245987815859102</v>
      </c>
      <c r="CB33" s="80">
        <v>11.902095100263692</v>
      </c>
      <c r="CC33" s="80">
        <v>13.080521612665096</v>
      </c>
      <c r="CD33" s="80">
        <v>7.9776636055033103</v>
      </c>
      <c r="CE33" s="80">
        <v>8.5858726458737884</v>
      </c>
      <c r="CF33" s="80">
        <v>10.735616240644276</v>
      </c>
      <c r="CG33" s="80">
        <v>9.6087466727011037</v>
      </c>
      <c r="CH33" s="80">
        <v>11.510306782593267</v>
      </c>
      <c r="CI33" s="80">
        <v>11.478534780826131</v>
      </c>
      <c r="CJ33" s="80">
        <v>11.474055282269505</v>
      </c>
      <c r="CK33" s="80">
        <v>8.4909097526666208</v>
      </c>
      <c r="CL33" s="80">
        <v>9.5763966230493658</v>
      </c>
      <c r="CM33" s="80">
        <v>10.912596672727332</v>
      </c>
      <c r="CN33" s="80">
        <v>11.672014188769385</v>
      </c>
      <c r="CO33" s="80">
        <v>10.065488147185633</v>
      </c>
      <c r="CP33" s="80">
        <v>15.618860081490086</v>
      </c>
      <c r="CQ33" s="80">
        <v>16.471357118867342</v>
      </c>
      <c r="CR33" s="80">
        <v>17.633275746449879</v>
      </c>
      <c r="CS33" s="80">
        <v>11.800677594351834</v>
      </c>
      <c r="CT33" s="80">
        <v>13.457836161547107</v>
      </c>
      <c r="CU33" s="80">
        <v>11.679172110767686</v>
      </c>
      <c r="CV33" s="80">
        <v>9.8371635857867545</v>
      </c>
      <c r="CW33" s="80">
        <v>11.058701561611052</v>
      </c>
      <c r="CX33" s="80">
        <v>15.824214051309196</v>
      </c>
      <c r="CY33" s="80">
        <v>12.862499196102501</v>
      </c>
      <c r="CZ33" s="80">
        <v>7.8885056102167797</v>
      </c>
      <c r="DA33" s="80">
        <v>9.9021416269287332</v>
      </c>
      <c r="DB33" s="80">
        <v>8.2449404608812618</v>
      </c>
      <c r="DC33" s="80">
        <v>8.9518855500258088</v>
      </c>
      <c r="DD33" s="80">
        <v>12.080063097784393</v>
      </c>
      <c r="DE33" s="80">
        <v>11.132772315730605</v>
      </c>
      <c r="DF33" s="80">
        <v>10.873752610892193</v>
      </c>
      <c r="DG33" s="80">
        <v>8.4713475791440658</v>
      </c>
      <c r="DH33" s="80">
        <v>7.7506327537026705</v>
      </c>
      <c r="DI33" s="80">
        <v>12.790448740087864</v>
      </c>
      <c r="DJ33" s="80">
        <v>8.9251250354530018</v>
      </c>
      <c r="DK33" s="80">
        <v>12.239232904535942</v>
      </c>
      <c r="DL33" s="80">
        <v>9.1529606687486851</v>
      </c>
      <c r="DM33" s="80">
        <v>8.762600919666955</v>
      </c>
      <c r="DN33" s="80">
        <v>8.7639168953334128</v>
      </c>
      <c r="DO33" s="80">
        <v>11.500696170171993</v>
      </c>
      <c r="DP33" s="80">
        <v>13.791748378496674</v>
      </c>
      <c r="DQ33" s="80">
        <v>13.438313444022249</v>
      </c>
      <c r="DR33" s="80">
        <v>10.619714864871286</v>
      </c>
      <c r="DS33" s="80">
        <v>10.10035250394788</v>
      </c>
      <c r="DT33" s="80">
        <v>10.754997414708566</v>
      </c>
      <c r="DU33" s="80">
        <v>13.438465451567676</v>
      </c>
      <c r="DV33" s="80">
        <v>11.502797934115721</v>
      </c>
      <c r="DW33" s="80">
        <v>12.577461763386854</v>
      </c>
      <c r="DX33" s="80">
        <v>8.8273122206368821</v>
      </c>
      <c r="DY33" s="80">
        <v>9.3636478138153585</v>
      </c>
      <c r="DZ33" s="80">
        <v>6.9688070751064926</v>
      </c>
      <c r="EA33" s="80">
        <v>5.9201683881008709</v>
      </c>
      <c r="EB33" s="80">
        <v>9.9142661706349369</v>
      </c>
      <c r="EC33" s="80">
        <v>7.5551486075644441</v>
      </c>
      <c r="ED33" s="80">
        <v>13.257144137870668</v>
      </c>
      <c r="EE33" s="80">
        <v>8.4054796621139261</v>
      </c>
      <c r="EF33" s="80">
        <v>11.211558779131488</v>
      </c>
      <c r="EG33" s="80">
        <v>10.636941217472554</v>
      </c>
      <c r="EH33" s="80">
        <v>10.197580749459537</v>
      </c>
      <c r="EI33" s="80">
        <v>12.159435693341237</v>
      </c>
      <c r="EJ33" s="80">
        <v>8.3099488655297158</v>
      </c>
      <c r="EK33" s="80">
        <v>11.262400837128441</v>
      </c>
      <c r="EL33" s="80">
        <v>9.2262418296756206</v>
      </c>
      <c r="EM33" s="80">
        <v>7.0673606936593663</v>
      </c>
      <c r="EN33" s="80">
        <v>8.5408167219613436</v>
      </c>
      <c r="EO33" s="80">
        <v>9.3989325578835974</v>
      </c>
      <c r="EP33" s="80">
        <v>8.8581600559182672</v>
      </c>
      <c r="EQ33" s="80">
        <v>10.694761905179742</v>
      </c>
      <c r="ER33" s="80">
        <v>9.737308325991922</v>
      </c>
      <c r="ES33" s="80">
        <v>7.9653775516445453</v>
      </c>
      <c r="ET33" s="80">
        <v>6.5451835690615825</v>
      </c>
      <c r="EU33" s="80">
        <v>9.7969175244376352</v>
      </c>
      <c r="EV33" s="80">
        <v>9.3099482028280462</v>
      </c>
      <c r="EW33" s="80">
        <v>7.7490613497192173</v>
      </c>
      <c r="EX33" s="80">
        <v>7.5152677061511088</v>
      </c>
      <c r="EY33" s="80">
        <v>8.6116428053811873</v>
      </c>
      <c r="EZ33" s="80">
        <v>11.496957103842263</v>
      </c>
      <c r="FA33" s="80">
        <v>8.8144094774735748</v>
      </c>
      <c r="FB33" s="80">
        <v>8.5479381275921718</v>
      </c>
      <c r="FC33" s="80">
        <v>11.980852606545112</v>
      </c>
      <c r="FD33" s="80">
        <v>10.704039239009605</v>
      </c>
      <c r="FE33" s="80">
        <v>11.039894823334997</v>
      </c>
      <c r="FF33" s="80">
        <v>13.249874929970796</v>
      </c>
      <c r="FG33" s="80">
        <v>12.236447067698384</v>
      </c>
      <c r="FH33" s="80">
        <v>10.595581402868623</v>
      </c>
      <c r="FI33" s="80">
        <v>8.6026887826099152</v>
      </c>
      <c r="FJ33" s="80">
        <v>7.8273668811119803</v>
      </c>
      <c r="FK33" s="80">
        <v>15.350957101814791</v>
      </c>
      <c r="FL33" s="80">
        <v>8.588135062441852</v>
      </c>
      <c r="FM33" s="80">
        <v>11.311741417273929</v>
      </c>
      <c r="FN33" s="80">
        <v>8.0213585154131142</v>
      </c>
      <c r="FO33" s="80">
        <v>10.266505940605173</v>
      </c>
      <c r="FP33" s="80">
        <v>11.471734708984091</v>
      </c>
      <c r="FQ33" s="80">
        <v>13.470580004310856</v>
      </c>
      <c r="FR33" s="80">
        <v>14.197831923620644</v>
      </c>
      <c r="FS33" s="80">
        <v>10.522591978475415</v>
      </c>
      <c r="FT33" s="80">
        <v>7.7820425229417189</v>
      </c>
      <c r="FU33" s="80">
        <v>12.091190632826203</v>
      </c>
      <c r="FV33" s="80">
        <v>11.050533225966101</v>
      </c>
      <c r="FW33" s="80">
        <v>7.5514478960441789</v>
      </c>
      <c r="FX33" s="80">
        <v>11.154698640991285</v>
      </c>
      <c r="FY33" s="80">
        <v>8.5906333312261509</v>
      </c>
      <c r="FZ33" s="80">
        <v>9.0447346179648953</v>
      </c>
      <c r="GA33" s="80">
        <v>9.4183178128455545</v>
      </c>
      <c r="GB33" s="80">
        <v>8.3500888741661345</v>
      </c>
      <c r="GC33" s="80">
        <v>12.053732779653444</v>
      </c>
      <c r="GD33" s="80">
        <v>9.9772169488259728</v>
      </c>
      <c r="GE33" s="80">
        <v>12.412167787618886</v>
      </c>
      <c r="GF33" s="80">
        <v>9.1567613712823395</v>
      </c>
      <c r="GG33" s="80">
        <v>8.4142024879886694</v>
      </c>
      <c r="GH33" s="80">
        <v>7.3537831147544601</v>
      </c>
      <c r="GI33" s="80">
        <v>7.0383046643878346</v>
      </c>
      <c r="GJ33" s="80">
        <v>6.0397476795924741</v>
      </c>
      <c r="GK33" s="80">
        <v>10.246722727938227</v>
      </c>
      <c r="GL33" s="80">
        <v>7.3250732760859849</v>
      </c>
      <c r="GM33" s="80">
        <v>8.6765232180358343</v>
      </c>
      <c r="GN33" s="80">
        <v>8.9395206547352721</v>
      </c>
      <c r="GO33" s="80">
        <v>6.2460257056641337</v>
      </c>
      <c r="GP33" s="80">
        <v>7.9451391222696888</v>
      </c>
      <c r="GQ33" s="80">
        <v>11.394989204125263</v>
      </c>
      <c r="GR33" s="80">
        <v>8.7657786891992622</v>
      </c>
      <c r="GS33" s="80">
        <v>7.7687430885686624</v>
      </c>
      <c r="GT33" s="80">
        <v>9.2296640817546614</v>
      </c>
      <c r="GU33" s="80">
        <v>9.9196282750154996</v>
      </c>
      <c r="GV33" s="80">
        <v>10.118968463222089</v>
      </c>
      <c r="GW33" s="80">
        <v>9.0281734412867927</v>
      </c>
      <c r="GX33" s="80">
        <v>9.4461379265258163</v>
      </c>
      <c r="GY33" s="80">
        <v>9.2315095792099306</v>
      </c>
      <c r="GZ33" s="80">
        <v>9.7530029478695663</v>
      </c>
      <c r="HA33" s="80">
        <v>9.1726497712309083</v>
      </c>
      <c r="HB33" s="80">
        <v>12.074865879582312</v>
      </c>
      <c r="HC33" s="80">
        <v>15.254875217726893</v>
      </c>
      <c r="HD33" s="80">
        <v>11.481798984503433</v>
      </c>
      <c r="HE33" s="80">
        <v>12.540670778008614</v>
      </c>
      <c r="HF33" s="80">
        <v>10.843840696820314</v>
      </c>
      <c r="HG33" s="80">
        <v>11.689731935106705</v>
      </c>
      <c r="HH33" s="80">
        <v>15.354969472631231</v>
      </c>
      <c r="HI33" s="80">
        <v>13.202359309540801</v>
      </c>
      <c r="HJ33" s="80">
        <v>11.840927461587983</v>
      </c>
      <c r="HK33" s="80">
        <v>14.848764101906815</v>
      </c>
      <c r="HL33" s="80">
        <v>15.663169658710583</v>
      </c>
      <c r="HM33" s="80">
        <v>11.49662767156811</v>
      </c>
      <c r="HN33" s="80">
        <v>12.441208374463654</v>
      </c>
      <c r="HO33" s="80">
        <v>18.626719291678274</v>
      </c>
      <c r="HP33" s="80">
        <v>13.287955440930514</v>
      </c>
      <c r="HQ33" s="80">
        <v>15.315377383159548</v>
      </c>
      <c r="HR33" s="80">
        <v>13.1983</v>
      </c>
      <c r="HS33" s="80">
        <v>11.1004</v>
      </c>
      <c r="HT33" s="80">
        <v>8.8603357787830195</v>
      </c>
      <c r="HU33" s="80">
        <v>17.648615809578398</v>
      </c>
      <c r="HV33" s="80">
        <v>13.4883951928754</v>
      </c>
      <c r="HW33" s="80">
        <v>8.4430298922303599</v>
      </c>
      <c r="HX33" s="80">
        <v>7.9724824369641096</v>
      </c>
      <c r="HY33" s="80">
        <v>8.8315510140644893</v>
      </c>
      <c r="HZ33" s="80">
        <v>7.6686892613911803</v>
      </c>
      <c r="IA33" s="80">
        <v>8.6755167150564798</v>
      </c>
      <c r="IB33" s="80">
        <v>5.60930001902467</v>
      </c>
      <c r="IC33" s="80">
        <v>3.5945746256409299</v>
      </c>
      <c r="ID33" s="80">
        <v>5.2990195737774899</v>
      </c>
      <c r="IE33" s="80">
        <v>13.7416237178318</v>
      </c>
      <c r="IF33" s="80">
        <v>10.254606118183</v>
      </c>
      <c r="IG33" s="80">
        <v>8.3916378190948997</v>
      </c>
      <c r="IH33" s="80">
        <v>9.6019141866760496</v>
      </c>
      <c r="II33" s="80">
        <v>7.7048582173252704</v>
      </c>
      <c r="IJ33" s="80">
        <v>6.3384425168429201</v>
      </c>
      <c r="IK33" s="80">
        <v>8.5389026967673498</v>
      </c>
      <c r="IL33" s="80">
        <v>7.2515629477778498</v>
      </c>
      <c r="IM33" s="80">
        <v>10.186161635281101</v>
      </c>
      <c r="IN33" s="80">
        <v>7.7729544145660299</v>
      </c>
      <c r="IO33" s="80">
        <v>5.4159896658932896</v>
      </c>
      <c r="IP33" s="80">
        <v>7.0541380459073704</v>
      </c>
      <c r="IQ33" s="80">
        <v>5.1998551843341403</v>
      </c>
      <c r="IR33" s="80">
        <v>3.9395959593168599</v>
      </c>
      <c r="IS33" s="80">
        <v>5.52172382501508</v>
      </c>
      <c r="IT33" s="80">
        <v>9.8779892953878399</v>
      </c>
      <c r="IU33" s="80">
        <v>6.2686726610803101</v>
      </c>
      <c r="IV33" s="80">
        <v>6.6004042769517701</v>
      </c>
      <c r="IW33" s="80">
        <v>7.7126869192751002</v>
      </c>
      <c r="IX33" s="80">
        <v>9.6285552847002602</v>
      </c>
      <c r="IY33" s="80">
        <v>9.7699809342962993</v>
      </c>
      <c r="IZ33" s="80">
        <v>8.6176340207998603</v>
      </c>
      <c r="JA33" s="80">
        <v>7.6374035802117399</v>
      </c>
      <c r="JB33" s="80">
        <v>8.0563375069321808</v>
      </c>
      <c r="JC33" s="80">
        <v>5.9176832447674501</v>
      </c>
      <c r="JD33" s="80">
        <v>7.2979207010249301</v>
      </c>
      <c r="JE33" s="80">
        <v>7.1939604197932701</v>
      </c>
      <c r="JF33" s="80">
        <v>7.6533682661454598</v>
      </c>
      <c r="JG33" s="80">
        <v>8.5981633107739803</v>
      </c>
      <c r="JH33" s="80">
        <v>9.2853178763980804</v>
      </c>
      <c r="JI33" s="80">
        <v>9.0953625459327405</v>
      </c>
      <c r="JJ33" s="80">
        <v>16.079989528049701</v>
      </c>
      <c r="JK33" s="80">
        <v>15.757756396699399</v>
      </c>
      <c r="JL33" s="80">
        <v>12.2098473750554</v>
      </c>
      <c r="JM33" s="80">
        <v>8.2349026484130103</v>
      </c>
      <c r="JN33" s="80">
        <v>9.5614045585754504</v>
      </c>
      <c r="JO33" s="80">
        <v>11.0319876423882</v>
      </c>
      <c r="JP33" s="80">
        <v>10.0399291023621</v>
      </c>
      <c r="JQ33" s="80">
        <v>9.2213393891566096</v>
      </c>
      <c r="JR33" s="80">
        <v>7.1302732981425798</v>
      </c>
      <c r="JS33" s="80">
        <v>9.1673379940722004</v>
      </c>
      <c r="JT33" s="80">
        <v>8.79330390600534</v>
      </c>
      <c r="JU33" s="80">
        <v>10.7352323178707</v>
      </c>
      <c r="JV33" s="80">
        <v>6.2564313909157896</v>
      </c>
      <c r="JW33" s="80">
        <v>6.9925997077129596</v>
      </c>
      <c r="JX33" s="80">
        <v>6.7552438371166001</v>
      </c>
      <c r="JY33" s="80">
        <v>6.92104748218014</v>
      </c>
      <c r="JZ33" s="80">
        <v>7.46509320703385</v>
      </c>
      <c r="KA33" s="80">
        <v>6.5256753107247496</v>
      </c>
      <c r="KB33" s="80">
        <v>6.12186382783218</v>
      </c>
      <c r="KC33" s="80">
        <v>7.0165369405617399</v>
      </c>
      <c r="KD33" s="80">
        <v>7.5308173207412299</v>
      </c>
      <c r="KE33" s="80">
        <v>7.9286103238035803</v>
      </c>
      <c r="KF33" s="81">
        <v>10.374579941498</v>
      </c>
      <c r="KG33" s="81">
        <v>9.9813487235264908</v>
      </c>
      <c r="KH33" s="81">
        <v>11.0468119984266</v>
      </c>
      <c r="KI33" s="81">
        <v>10.939661475710301</v>
      </c>
      <c r="KJ33" s="81">
        <v>9.8653506566403308</v>
      </c>
      <c r="KK33" s="81">
        <v>8.5807212942063806</v>
      </c>
      <c r="KL33" s="81">
        <v>9.2706309603125305</v>
      </c>
      <c r="KM33" s="81">
        <v>8.19951974798993</v>
      </c>
      <c r="KN33" s="81">
        <v>8.1971714208707596</v>
      </c>
      <c r="KO33" s="81">
        <v>8.5052414459438204</v>
      </c>
    </row>
    <row r="34" spans="1:303" s="77" customFormat="1" ht="18" customHeight="1">
      <c r="A34" s="78"/>
      <c r="B34" s="120" t="s">
        <v>175</v>
      </c>
      <c r="C34" s="91" t="s">
        <v>8</v>
      </c>
      <c r="D34" s="91" t="s">
        <v>8</v>
      </c>
      <c r="E34" s="91" t="s">
        <v>8</v>
      </c>
      <c r="F34" s="91" t="s">
        <v>8</v>
      </c>
      <c r="G34" s="91" t="s">
        <v>8</v>
      </c>
      <c r="H34" s="91" t="s">
        <v>8</v>
      </c>
      <c r="I34" s="91" t="s">
        <v>8</v>
      </c>
      <c r="J34" s="91" t="s">
        <v>8</v>
      </c>
      <c r="K34" s="91" t="s">
        <v>8</v>
      </c>
      <c r="L34" s="91" t="s">
        <v>8</v>
      </c>
      <c r="M34" s="91" t="s">
        <v>8</v>
      </c>
      <c r="N34" s="91" t="s">
        <v>8</v>
      </c>
      <c r="O34" s="91" t="s">
        <v>8</v>
      </c>
      <c r="P34" s="91" t="s">
        <v>8</v>
      </c>
      <c r="Q34" s="91" t="s">
        <v>8</v>
      </c>
      <c r="R34" s="91" t="s">
        <v>8</v>
      </c>
      <c r="S34" s="91" t="s">
        <v>8</v>
      </c>
      <c r="T34" s="91" t="s">
        <v>8</v>
      </c>
      <c r="U34" s="91" t="s">
        <v>8</v>
      </c>
      <c r="V34" s="91" t="s">
        <v>8</v>
      </c>
      <c r="W34" s="91" t="s">
        <v>8</v>
      </c>
      <c r="X34" s="91" t="s">
        <v>8</v>
      </c>
      <c r="Y34" s="91" t="s">
        <v>8</v>
      </c>
      <c r="Z34" s="91" t="s">
        <v>8</v>
      </c>
      <c r="AA34" s="91" t="s">
        <v>8</v>
      </c>
      <c r="AB34" s="91" t="s">
        <v>8</v>
      </c>
      <c r="AC34" s="91" t="s">
        <v>8</v>
      </c>
      <c r="AD34" s="91" t="s">
        <v>8</v>
      </c>
      <c r="AE34" s="91" t="s">
        <v>8</v>
      </c>
      <c r="AF34" s="91" t="s">
        <v>8</v>
      </c>
      <c r="AG34" s="91" t="s">
        <v>8</v>
      </c>
      <c r="AH34" s="91" t="s">
        <v>8</v>
      </c>
      <c r="AI34" s="91" t="s">
        <v>8</v>
      </c>
      <c r="AJ34" s="91" t="s">
        <v>8</v>
      </c>
      <c r="AK34" s="91" t="s">
        <v>8</v>
      </c>
      <c r="AL34" s="91" t="s">
        <v>8</v>
      </c>
      <c r="AM34" s="91" t="s">
        <v>8</v>
      </c>
      <c r="AN34" s="91" t="s">
        <v>8</v>
      </c>
      <c r="AO34" s="91" t="s">
        <v>8</v>
      </c>
      <c r="AP34" s="91" t="s">
        <v>8</v>
      </c>
      <c r="AQ34" s="91" t="s">
        <v>8</v>
      </c>
      <c r="AR34" s="91" t="s">
        <v>8</v>
      </c>
      <c r="AS34" s="80">
        <v>6.8932289999999998</v>
      </c>
      <c r="AT34" s="80">
        <v>9.4827569999999994</v>
      </c>
      <c r="AU34" s="80">
        <v>8.1987249999999996</v>
      </c>
      <c r="AV34" s="80">
        <v>13.199159999999999</v>
      </c>
      <c r="AW34" s="80">
        <v>10.359719999999999</v>
      </c>
      <c r="AX34" s="80">
        <v>10.298769999999999</v>
      </c>
      <c r="AY34" s="80">
        <v>16.237100000000002</v>
      </c>
      <c r="AZ34" s="80">
        <v>15.37228</v>
      </c>
      <c r="BA34" s="80">
        <v>15.9613</v>
      </c>
      <c r="BB34" s="80">
        <v>17.484539999999999</v>
      </c>
      <c r="BC34" s="80">
        <v>23.514399999999998</v>
      </c>
      <c r="BD34" s="80">
        <v>22.53267</v>
      </c>
      <c r="BE34" s="80">
        <v>8.3112700000000004</v>
      </c>
      <c r="BF34" s="80">
        <v>12.650539999999999</v>
      </c>
      <c r="BG34" s="80">
        <v>17.18628</v>
      </c>
      <c r="BH34" s="80">
        <v>7.0644419999999997</v>
      </c>
      <c r="BI34" s="80">
        <v>6.2215590000000001</v>
      </c>
      <c r="BJ34" s="80">
        <v>5.4173840000000002</v>
      </c>
      <c r="BK34" s="80">
        <v>6.7919330727719718</v>
      </c>
      <c r="BL34" s="80">
        <v>6.9150585762372705</v>
      </c>
      <c r="BM34" s="80">
        <v>3.505561519621113</v>
      </c>
      <c r="BN34" s="80">
        <v>7.5058808367784513</v>
      </c>
      <c r="BO34" s="80">
        <v>14.079290175290133</v>
      </c>
      <c r="BP34" s="80">
        <v>7.8992667282313329</v>
      </c>
      <c r="BQ34" s="80">
        <v>5.0843598554333491</v>
      </c>
      <c r="BR34" s="80">
        <v>12.571739397410701</v>
      </c>
      <c r="BS34" s="80">
        <v>20.361388853636385</v>
      </c>
      <c r="BT34" s="80">
        <v>8.6980836377880291</v>
      </c>
      <c r="BU34" s="80">
        <v>8.4532148870671016</v>
      </c>
      <c r="BV34" s="80">
        <v>8.8038251988079228</v>
      </c>
      <c r="BW34" s="80">
        <v>4.3609877899922083</v>
      </c>
      <c r="BX34" s="80">
        <v>9.8702503671978512</v>
      </c>
      <c r="BY34" s="80">
        <v>12.452574111212916</v>
      </c>
      <c r="BZ34" s="80">
        <v>6.6441674267679858</v>
      </c>
      <c r="CA34" s="80">
        <v>11.634883796921851</v>
      </c>
      <c r="CB34" s="80">
        <v>8.9622779069777838</v>
      </c>
      <c r="CC34" s="80">
        <v>3.1811033937654902</v>
      </c>
      <c r="CD34" s="80">
        <v>9.4239490576577669</v>
      </c>
      <c r="CE34" s="80">
        <v>4.1459865034523649</v>
      </c>
      <c r="CF34" s="80">
        <v>6.6218838062397962</v>
      </c>
      <c r="CG34" s="80">
        <v>6.2523597490801563</v>
      </c>
      <c r="CH34" s="80">
        <v>6.5187295545416895</v>
      </c>
      <c r="CI34" s="80">
        <v>8.3102606676210176</v>
      </c>
      <c r="CJ34" s="80">
        <v>3.4264456947104214</v>
      </c>
      <c r="CK34" s="80">
        <v>4.0986197484180069</v>
      </c>
      <c r="CL34" s="80">
        <v>8.9643282660918775</v>
      </c>
      <c r="CM34" s="80">
        <v>16.569365936076132</v>
      </c>
      <c r="CN34" s="80">
        <v>11.175044283243917</v>
      </c>
      <c r="CO34" s="80">
        <v>3.9414389620313703</v>
      </c>
      <c r="CP34" s="80">
        <v>4.3149187412372658</v>
      </c>
      <c r="CQ34" s="80">
        <v>4.9169714658743739</v>
      </c>
      <c r="CR34" s="80">
        <v>6.3906287260411938</v>
      </c>
      <c r="CS34" s="80">
        <v>7.5122401865245418</v>
      </c>
      <c r="CT34" s="80">
        <v>4.6857520750784669</v>
      </c>
      <c r="CU34" s="80">
        <v>6.8878928826052306</v>
      </c>
      <c r="CV34" s="80">
        <v>8.7901023775844855</v>
      </c>
      <c r="CW34" s="80">
        <v>4.0377920790354072</v>
      </c>
      <c r="CX34" s="80">
        <v>4.3092884553533164</v>
      </c>
      <c r="CY34" s="80">
        <v>12.968740189928402</v>
      </c>
      <c r="CZ34" s="80">
        <v>9.1937592184991779</v>
      </c>
      <c r="DA34" s="80">
        <v>5.1225746756607444</v>
      </c>
      <c r="DB34" s="80">
        <v>7.1228697262540193</v>
      </c>
      <c r="DC34" s="80">
        <v>6.6828869620264895</v>
      </c>
      <c r="DD34" s="80">
        <v>7.831051606178975</v>
      </c>
      <c r="DE34" s="80">
        <v>6.546258130931033</v>
      </c>
      <c r="DF34" s="80">
        <v>6.5362256128080594</v>
      </c>
      <c r="DG34" s="80">
        <v>13.743681133410469</v>
      </c>
      <c r="DH34" s="80">
        <v>5.5300531074844992</v>
      </c>
      <c r="DI34" s="80">
        <v>12.95223106863973</v>
      </c>
      <c r="DJ34" s="80">
        <v>17.096671986916444</v>
      </c>
      <c r="DK34" s="80">
        <v>12.561448064511216</v>
      </c>
      <c r="DL34" s="80">
        <v>6.1483971136067277</v>
      </c>
      <c r="DM34" s="80">
        <v>10.041664094973275</v>
      </c>
      <c r="DN34" s="80">
        <v>7.9508944900723799</v>
      </c>
      <c r="DO34" s="80">
        <v>13.823003125467546</v>
      </c>
      <c r="DP34" s="80">
        <v>6.8396284762606534</v>
      </c>
      <c r="DQ34" s="80">
        <v>15.578101950376059</v>
      </c>
      <c r="DR34" s="80">
        <v>12.896496464061308</v>
      </c>
      <c r="DS34" s="80">
        <v>14.211423499037496</v>
      </c>
      <c r="DT34" s="80">
        <v>8.5658633631053362</v>
      </c>
      <c r="DU34" s="80">
        <v>5.6594436171965441</v>
      </c>
      <c r="DV34" s="80">
        <v>18.942219658736807</v>
      </c>
      <c r="DW34" s="80">
        <v>24.232093461118186</v>
      </c>
      <c r="DX34" s="80">
        <v>18.84567449361252</v>
      </c>
      <c r="DY34" s="80">
        <v>14.543854158771621</v>
      </c>
      <c r="DZ34" s="80">
        <v>6.5994389342349775</v>
      </c>
      <c r="EA34" s="80">
        <v>5.2672307602118371</v>
      </c>
      <c r="EB34" s="80">
        <v>6.5604034649780543</v>
      </c>
      <c r="EC34" s="80">
        <v>18.249988294376486</v>
      </c>
      <c r="ED34" s="80">
        <v>15.754804226408192</v>
      </c>
      <c r="EE34" s="80">
        <v>7.5854475812343338</v>
      </c>
      <c r="EF34" s="80">
        <v>19.005934111859943</v>
      </c>
      <c r="EG34" s="80">
        <v>8.2975678261033288</v>
      </c>
      <c r="EH34" s="80">
        <v>19.503465814631483</v>
      </c>
      <c r="EI34" s="80">
        <v>14.65682184477971</v>
      </c>
      <c r="EJ34" s="80">
        <v>7.2665647619377198</v>
      </c>
      <c r="EK34" s="80">
        <v>11.842880377097263</v>
      </c>
      <c r="EL34" s="80">
        <v>10.864133220460031</v>
      </c>
      <c r="EM34" s="80">
        <v>19.536570435258316</v>
      </c>
      <c r="EN34" s="80">
        <v>9.9823377865537957</v>
      </c>
      <c r="EO34" s="80">
        <v>13.848801570730096</v>
      </c>
      <c r="EP34" s="80">
        <v>13.025758478612936</v>
      </c>
      <c r="EQ34" s="80">
        <v>15.510168114946769</v>
      </c>
      <c r="ER34" s="80">
        <v>10.750610503009694</v>
      </c>
      <c r="ES34" s="80">
        <v>13.138428540706531</v>
      </c>
      <c r="ET34" s="80">
        <v>27.524352246615802</v>
      </c>
      <c r="EU34" s="80">
        <v>22.764155027500092</v>
      </c>
      <c r="EV34" s="80">
        <v>9.762558905752968</v>
      </c>
      <c r="EW34" s="80">
        <v>9.9392175212662348</v>
      </c>
      <c r="EX34" s="80">
        <v>15.978264600445685</v>
      </c>
      <c r="EY34" s="80">
        <v>23.618715670716504</v>
      </c>
      <c r="EZ34" s="80">
        <v>8.6202601745745362</v>
      </c>
      <c r="FA34" s="80">
        <v>14.971326226092952</v>
      </c>
      <c r="FB34" s="80">
        <v>27.616415174086008</v>
      </c>
      <c r="FC34" s="80">
        <v>7.0357616479166092</v>
      </c>
      <c r="FD34" s="80">
        <v>11.748999735199281</v>
      </c>
      <c r="FE34" s="80">
        <v>22.457653055355312</v>
      </c>
      <c r="FF34" s="80">
        <v>14.333456323530994</v>
      </c>
      <c r="FG34" s="80">
        <v>28.043745329989129</v>
      </c>
      <c r="FH34" s="80">
        <v>7.385618921392159</v>
      </c>
      <c r="FI34" s="80">
        <v>8.9055718089776992</v>
      </c>
      <c r="FJ34" s="80">
        <v>21.319537415268236</v>
      </c>
      <c r="FK34" s="80">
        <v>7.8397306533519897</v>
      </c>
      <c r="FL34" s="80">
        <v>12.010645389321121</v>
      </c>
      <c r="FM34" s="80">
        <v>9.9444201388934328</v>
      </c>
      <c r="FN34" s="80">
        <v>7.0825299806310014</v>
      </c>
      <c r="FO34" s="80">
        <v>6.5013635961331975</v>
      </c>
      <c r="FP34" s="80">
        <v>7.3546653357505374</v>
      </c>
      <c r="FQ34" s="80">
        <v>12.773612183501587</v>
      </c>
      <c r="FR34" s="80">
        <v>5.1150415297716538</v>
      </c>
      <c r="FS34" s="80">
        <v>16.232008348356679</v>
      </c>
      <c r="FT34" s="80">
        <v>4.3170107863755121</v>
      </c>
      <c r="FU34" s="80">
        <v>5.1625173529106547</v>
      </c>
      <c r="FV34" s="80">
        <v>11.206574344332747</v>
      </c>
      <c r="FW34" s="80">
        <v>8.6962582379814943</v>
      </c>
      <c r="FX34" s="80">
        <v>9.6399880827929909</v>
      </c>
      <c r="FY34" s="80">
        <v>13.302389929657096</v>
      </c>
      <c r="FZ34" s="80">
        <v>9.7438970135948431</v>
      </c>
      <c r="GA34" s="80">
        <v>10.254597326339148</v>
      </c>
      <c r="GB34" s="80">
        <v>10.928844958255352</v>
      </c>
      <c r="GC34" s="80">
        <v>11.391946869116849</v>
      </c>
      <c r="GD34" s="80">
        <v>14.276380370841332</v>
      </c>
      <c r="GE34" s="80">
        <v>13.685095850130086</v>
      </c>
      <c r="GF34" s="80">
        <v>8.47986955372882</v>
      </c>
      <c r="GG34" s="80">
        <v>10.539064204556347</v>
      </c>
      <c r="GH34" s="80">
        <v>15.370908516632568</v>
      </c>
      <c r="GI34" s="80">
        <v>13.336936207816361</v>
      </c>
      <c r="GJ34" s="80">
        <v>14.789363944672045</v>
      </c>
      <c r="GK34" s="80">
        <v>12.339665206924874</v>
      </c>
      <c r="GL34" s="80">
        <v>13.255000831148761</v>
      </c>
      <c r="GM34" s="80">
        <v>23.166897922398483</v>
      </c>
      <c r="GN34" s="80">
        <v>23.033836704969659</v>
      </c>
      <c r="GO34" s="80">
        <v>21.854527718575049</v>
      </c>
      <c r="GP34" s="80">
        <v>22.162300203025247</v>
      </c>
      <c r="GQ34" s="80">
        <v>23.300197926588343</v>
      </c>
      <c r="GR34" s="80">
        <v>18.538130653836411</v>
      </c>
      <c r="GS34" s="80">
        <v>22.072141719730379</v>
      </c>
      <c r="GT34" s="80">
        <v>21.42832324403015</v>
      </c>
      <c r="GU34" s="80">
        <v>12.902321308019591</v>
      </c>
      <c r="GV34" s="80">
        <v>12.063124421945888</v>
      </c>
      <c r="GW34" s="80">
        <v>14.528045818419685</v>
      </c>
      <c r="GX34" s="80">
        <v>11.724909924005738</v>
      </c>
      <c r="GY34" s="80">
        <v>14.988752629383272</v>
      </c>
      <c r="GZ34" s="80">
        <v>11.99235973657035</v>
      </c>
      <c r="HA34" s="80">
        <v>15.767378626343467</v>
      </c>
      <c r="HB34" s="80">
        <v>13.5907111592976</v>
      </c>
      <c r="HC34" s="80">
        <v>11.355647939385294</v>
      </c>
      <c r="HD34" s="80">
        <v>10.530967152366639</v>
      </c>
      <c r="HE34" s="80">
        <v>8.2992975860997067</v>
      </c>
      <c r="HF34" s="80">
        <v>8.10216891697279</v>
      </c>
      <c r="HG34" s="80">
        <v>10.122389137531032</v>
      </c>
      <c r="HH34" s="80">
        <v>9.4663850334532498</v>
      </c>
      <c r="HI34" s="80">
        <v>6.9932854824828583</v>
      </c>
      <c r="HJ34" s="80">
        <v>9.955722792084126</v>
      </c>
      <c r="HK34" s="80">
        <v>11.100127310540691</v>
      </c>
      <c r="HL34" s="80">
        <v>6.7740756522379053</v>
      </c>
      <c r="HM34" s="80">
        <v>9.9132924302102445</v>
      </c>
      <c r="HN34" s="80">
        <v>8.2415912759180898</v>
      </c>
      <c r="HO34" s="80">
        <v>15.296041642055089</v>
      </c>
      <c r="HP34" s="80">
        <v>10.69737069294308</v>
      </c>
      <c r="HQ34" s="80">
        <v>7.9093464057338903</v>
      </c>
      <c r="HR34" s="80">
        <v>14.6372</v>
      </c>
      <c r="HS34" s="80">
        <v>10.040800000000001</v>
      </c>
      <c r="HT34" s="80">
        <v>13.2951903074865</v>
      </c>
      <c r="HU34" s="80">
        <v>8.7701929174967503</v>
      </c>
      <c r="HV34" s="80">
        <v>12.910452978833799</v>
      </c>
      <c r="HW34" s="80">
        <v>7.3684462542428104</v>
      </c>
      <c r="HX34" s="80">
        <v>8.4205029008425605</v>
      </c>
      <c r="HY34" s="80">
        <v>5.9357005868980002</v>
      </c>
      <c r="HZ34" s="80">
        <v>4.7653260495616099</v>
      </c>
      <c r="IA34" s="80">
        <v>12.6697870062447</v>
      </c>
      <c r="IB34" s="80">
        <v>12.077987629772601</v>
      </c>
      <c r="IC34" s="80">
        <v>7.7142716748514299</v>
      </c>
      <c r="ID34" s="80">
        <v>14.249147237174199</v>
      </c>
      <c r="IE34" s="80">
        <v>14.6776424989049</v>
      </c>
      <c r="IF34" s="80">
        <v>9.9588490476363507</v>
      </c>
      <c r="IG34" s="80">
        <v>11.124669707715301</v>
      </c>
      <c r="IH34" s="80">
        <v>12.130104084447799</v>
      </c>
      <c r="II34" s="80">
        <v>14.7214225270495</v>
      </c>
      <c r="IJ34" s="80">
        <v>21.773827973989199</v>
      </c>
      <c r="IK34" s="80">
        <v>24.8740730173547</v>
      </c>
      <c r="IL34" s="80">
        <v>23.3768114671131</v>
      </c>
      <c r="IM34" s="80">
        <v>15.1736177486421</v>
      </c>
      <c r="IN34" s="80">
        <v>11.138838737523001</v>
      </c>
      <c r="IO34" s="80">
        <v>11.0030864020013</v>
      </c>
      <c r="IP34" s="80">
        <v>13.232476295326</v>
      </c>
      <c r="IQ34" s="80">
        <v>13.085334579128199</v>
      </c>
      <c r="IR34" s="80">
        <v>14.790368841390199</v>
      </c>
      <c r="IS34" s="80">
        <v>7.7518981484924003</v>
      </c>
      <c r="IT34" s="80">
        <v>11.903023523670299</v>
      </c>
      <c r="IU34" s="80">
        <v>11.316529646691</v>
      </c>
      <c r="IV34" s="80">
        <v>9.6481321035413892</v>
      </c>
      <c r="IW34" s="80">
        <v>14.537684636012999</v>
      </c>
      <c r="IX34" s="80">
        <v>11.490622696229099</v>
      </c>
      <c r="IY34" s="80">
        <v>13.4869177623679</v>
      </c>
      <c r="IZ34" s="80">
        <v>10.034598495123999</v>
      </c>
      <c r="JA34" s="80">
        <v>9.0553191267013808</v>
      </c>
      <c r="JB34" s="80">
        <v>10.2169436712686</v>
      </c>
      <c r="JC34" s="80">
        <v>13.3739567632981</v>
      </c>
      <c r="JD34" s="80">
        <v>8.40347591103178</v>
      </c>
      <c r="JE34" s="80">
        <v>11.544285686845001</v>
      </c>
      <c r="JF34" s="80">
        <v>11.697291937376701</v>
      </c>
      <c r="JG34" s="80">
        <v>12.5794904581283</v>
      </c>
      <c r="JH34" s="80">
        <v>14.338531179252101</v>
      </c>
      <c r="JI34" s="80">
        <v>13.2266531708231</v>
      </c>
      <c r="JJ34" s="80">
        <v>10.7238043472776</v>
      </c>
      <c r="JK34" s="80">
        <v>7.9252740650577698</v>
      </c>
      <c r="JL34" s="80">
        <v>6.1199483685625502</v>
      </c>
      <c r="JM34" s="80">
        <v>8.2042905848013401</v>
      </c>
      <c r="JN34" s="80">
        <v>7.1145366222845796</v>
      </c>
      <c r="JO34" s="80">
        <v>11.7933176385175</v>
      </c>
      <c r="JP34" s="80">
        <v>8.3653797399613801</v>
      </c>
      <c r="JQ34" s="80">
        <v>6.9178040481296099</v>
      </c>
      <c r="JR34" s="80">
        <v>7.8427883141771302</v>
      </c>
      <c r="JS34" s="80">
        <v>6.86605053489619</v>
      </c>
      <c r="JT34" s="80">
        <v>6.4642303554167304</v>
      </c>
      <c r="JU34" s="80">
        <v>7.9710234202793302</v>
      </c>
      <c r="JV34" s="80">
        <v>7.7608169946927701</v>
      </c>
      <c r="JW34" s="80">
        <v>10.7928484459116</v>
      </c>
      <c r="JX34" s="80">
        <v>8.4680253935815397</v>
      </c>
      <c r="JY34" s="80">
        <v>5.6071323035583402</v>
      </c>
      <c r="JZ34" s="80">
        <v>6.0475430454182701</v>
      </c>
      <c r="KA34" s="80">
        <v>6.5582656722921104</v>
      </c>
      <c r="KB34" s="80">
        <v>7.9406790508324097</v>
      </c>
      <c r="KC34" s="80">
        <v>6.8560891495248901</v>
      </c>
      <c r="KD34" s="80">
        <v>8.2216656041958291</v>
      </c>
      <c r="KE34" s="80">
        <v>10.239763118881299</v>
      </c>
      <c r="KF34" s="81">
        <v>5.7973938345028797</v>
      </c>
      <c r="KG34" s="81">
        <v>7.5507330726341797</v>
      </c>
      <c r="KH34" s="81">
        <v>8.6802586190725108</v>
      </c>
      <c r="KI34" s="81">
        <v>7.5248600759444404</v>
      </c>
      <c r="KJ34" s="81">
        <v>9.0884693949805495</v>
      </c>
      <c r="KK34" s="81">
        <v>10.8008985373045</v>
      </c>
      <c r="KL34" s="81">
        <v>8.9942711280136098</v>
      </c>
      <c r="KM34" s="81">
        <v>10.0246218355548</v>
      </c>
      <c r="KN34" s="81">
        <v>10.811313010409901</v>
      </c>
      <c r="KO34" s="81">
        <v>8.0220644638895795</v>
      </c>
    </row>
    <row r="35" spans="1:303" s="77" customFormat="1" ht="18" customHeight="1">
      <c r="A35" s="78"/>
      <c r="B35" s="120" t="s">
        <v>186</v>
      </c>
      <c r="C35" s="91">
        <v>30.743473950558613</v>
      </c>
      <c r="D35" s="91">
        <v>27.471616789845864</v>
      </c>
      <c r="E35" s="91">
        <v>29.330292722897187</v>
      </c>
      <c r="F35" s="91">
        <v>26.263399881617147</v>
      </c>
      <c r="G35" s="91">
        <v>25.951021917929097</v>
      </c>
      <c r="H35" s="91">
        <v>21.514871634535364</v>
      </c>
      <c r="I35" s="91">
        <v>25.50654246936675</v>
      </c>
      <c r="J35" s="91">
        <v>26.8298357681909</v>
      </c>
      <c r="K35" s="91">
        <v>33.144963911018365</v>
      </c>
      <c r="L35" s="91">
        <v>38.693098376626935</v>
      </c>
      <c r="M35" s="91">
        <v>39.715482890793396</v>
      </c>
      <c r="N35" s="91">
        <v>35.128230570588663</v>
      </c>
      <c r="O35" s="91">
        <v>36.319723403873965</v>
      </c>
      <c r="P35" s="91">
        <v>41.581532111555532</v>
      </c>
      <c r="Q35" s="91">
        <v>40.135455992333178</v>
      </c>
      <c r="R35" s="91">
        <v>39.51194868952448</v>
      </c>
      <c r="S35" s="91">
        <v>38.209454678002921</v>
      </c>
      <c r="T35" s="91">
        <v>39.897726804854905</v>
      </c>
      <c r="U35" s="91">
        <v>43.215735427363455</v>
      </c>
      <c r="V35" s="91">
        <v>43.287857218751697</v>
      </c>
      <c r="W35" s="91">
        <v>37.082824198263346</v>
      </c>
      <c r="X35" s="91">
        <v>36.775537261969234</v>
      </c>
      <c r="Y35" s="91">
        <v>28.680810605055125</v>
      </c>
      <c r="Z35" s="91">
        <v>36.1316135507467</v>
      </c>
      <c r="AA35" s="91">
        <v>42.523585248634269</v>
      </c>
      <c r="AB35" s="91">
        <v>44.957146135250717</v>
      </c>
      <c r="AC35" s="91">
        <v>43.490772986158028</v>
      </c>
      <c r="AD35" s="91">
        <v>41.926252998461806</v>
      </c>
      <c r="AE35" s="91">
        <v>34.4973865668671</v>
      </c>
      <c r="AF35" s="91">
        <v>38.454957033948403</v>
      </c>
      <c r="AG35" s="91">
        <v>42.023846586936813</v>
      </c>
      <c r="AH35" s="91">
        <v>36.588090480848535</v>
      </c>
      <c r="AI35" s="91">
        <v>39.210154662672217</v>
      </c>
      <c r="AJ35" s="91">
        <v>50.674668432438331</v>
      </c>
      <c r="AK35" s="91">
        <v>43.776734289811323</v>
      </c>
      <c r="AL35" s="91">
        <v>42.546844671451836</v>
      </c>
      <c r="AM35" s="91">
        <v>39.686062879752306</v>
      </c>
      <c r="AN35" s="91">
        <v>51.712389917231775</v>
      </c>
      <c r="AO35" s="91">
        <v>50.129055607700764</v>
      </c>
      <c r="AP35" s="91">
        <v>51.988734509167621</v>
      </c>
      <c r="AQ35" s="91">
        <v>45.755602077234521</v>
      </c>
      <c r="AR35" s="91">
        <v>38.900474008456179</v>
      </c>
      <c r="AS35" s="80">
        <v>48.645000000000003</v>
      </c>
      <c r="AT35" s="80">
        <v>44.875950000000003</v>
      </c>
      <c r="AU35" s="80">
        <v>44.323480000000004</v>
      </c>
      <c r="AV35" s="80">
        <v>45.976700000000001</v>
      </c>
      <c r="AW35" s="80">
        <v>46.418750000000003</v>
      </c>
      <c r="AX35" s="80">
        <v>45.097000000000001</v>
      </c>
      <c r="AY35" s="80">
        <v>43.187750000000001</v>
      </c>
      <c r="AZ35" s="80">
        <v>43.563549999999999</v>
      </c>
      <c r="BA35" s="80">
        <v>40.293239999999997</v>
      </c>
      <c r="BB35" s="80">
        <v>46.497410000000002</v>
      </c>
      <c r="BC35" s="80">
        <v>39.128970000000002</v>
      </c>
      <c r="BD35" s="80">
        <v>37.46593</v>
      </c>
      <c r="BE35" s="80">
        <v>46.73498</v>
      </c>
      <c r="BF35" s="80">
        <v>44.946930000000002</v>
      </c>
      <c r="BG35" s="80">
        <v>36.322650000000003</v>
      </c>
      <c r="BH35" s="80">
        <v>47.535319999999999</v>
      </c>
      <c r="BI35" s="80">
        <v>51.402209999999997</v>
      </c>
      <c r="BJ35" s="80">
        <v>50.282519999999998</v>
      </c>
      <c r="BK35" s="80">
        <v>36.515398727503154</v>
      </c>
      <c r="BL35" s="80">
        <v>49.170063208065514</v>
      </c>
      <c r="BM35" s="80">
        <v>54.394825267019442</v>
      </c>
      <c r="BN35" s="80">
        <v>54.701375743749225</v>
      </c>
      <c r="BO35" s="80">
        <v>47.048266035639358</v>
      </c>
      <c r="BP35" s="80">
        <v>47.465257447868709</v>
      </c>
      <c r="BQ35" s="80">
        <v>56.103336065802303</v>
      </c>
      <c r="BR35" s="80">
        <v>51.10793671310843</v>
      </c>
      <c r="BS35" s="80">
        <v>45.849833486852148</v>
      </c>
      <c r="BT35" s="80">
        <v>54.174286114447547</v>
      </c>
      <c r="BU35" s="80">
        <v>52.035138584210131</v>
      </c>
      <c r="BV35" s="80">
        <v>50.978186760788283</v>
      </c>
      <c r="BW35" s="80">
        <v>55.394535457997605</v>
      </c>
      <c r="BX35" s="80">
        <v>54.015617894750449</v>
      </c>
      <c r="BY35" s="80">
        <v>52.058243130623524</v>
      </c>
      <c r="BZ35" s="80">
        <v>42.39689612970075</v>
      </c>
      <c r="CA35" s="80">
        <v>52.260836705512645</v>
      </c>
      <c r="CB35" s="80">
        <v>54.822332878514999</v>
      </c>
      <c r="CC35" s="80">
        <v>57.71610486033385</v>
      </c>
      <c r="CD35" s="80">
        <v>52.926036604370495</v>
      </c>
      <c r="CE35" s="80">
        <v>61.561333110283122</v>
      </c>
      <c r="CF35" s="80">
        <v>55.272383482031472</v>
      </c>
      <c r="CG35" s="80">
        <v>49.433847627668584</v>
      </c>
      <c r="CH35" s="80">
        <v>50.580653245533554</v>
      </c>
      <c r="CI35" s="80">
        <v>50.725981670570121</v>
      </c>
      <c r="CJ35" s="80">
        <v>54.880071406332831</v>
      </c>
      <c r="CK35" s="80">
        <v>48.860488878776849</v>
      </c>
      <c r="CL35" s="80">
        <v>47.952345721980286</v>
      </c>
      <c r="CM35" s="80">
        <v>42.999084074891464</v>
      </c>
      <c r="CN35" s="80">
        <v>42.424710380321159</v>
      </c>
      <c r="CO35" s="80">
        <v>54.770902195988782</v>
      </c>
      <c r="CP35" s="80">
        <v>46.853948923640445</v>
      </c>
      <c r="CQ35" s="80">
        <v>46.388079073882402</v>
      </c>
      <c r="CR35" s="80">
        <v>42.951108751452551</v>
      </c>
      <c r="CS35" s="80">
        <v>45.292340384458839</v>
      </c>
      <c r="CT35" s="80">
        <v>45.956572800318106</v>
      </c>
      <c r="CU35" s="80">
        <v>44.124075967298467</v>
      </c>
      <c r="CV35" s="80">
        <v>46.326335861902599</v>
      </c>
      <c r="CW35" s="80">
        <v>52.657277490430531</v>
      </c>
      <c r="CX35" s="80">
        <v>46.122062348123464</v>
      </c>
      <c r="CY35" s="80">
        <v>45.883771004994628</v>
      </c>
      <c r="CZ35" s="80">
        <v>51.004323982891265</v>
      </c>
      <c r="DA35" s="80">
        <v>52.224513679806925</v>
      </c>
      <c r="DB35" s="80">
        <v>51.544106325531104</v>
      </c>
      <c r="DC35" s="80">
        <v>48.077185859370992</v>
      </c>
      <c r="DD35" s="80">
        <v>46.785736490040335</v>
      </c>
      <c r="DE35" s="80">
        <v>47.802903665652011</v>
      </c>
      <c r="DF35" s="80">
        <v>48.809652345544258</v>
      </c>
      <c r="DG35" s="80">
        <v>47.291777006864685</v>
      </c>
      <c r="DH35" s="80">
        <v>53.141989888725291</v>
      </c>
      <c r="DI35" s="80">
        <v>47.45151970789825</v>
      </c>
      <c r="DJ35" s="80">
        <v>45.927932796009699</v>
      </c>
      <c r="DK35" s="80">
        <v>47.418882606376513</v>
      </c>
      <c r="DL35" s="80">
        <v>51.390986449671452</v>
      </c>
      <c r="DM35" s="80">
        <v>54.348994589710522</v>
      </c>
      <c r="DN35" s="80">
        <v>50.53865105597729</v>
      </c>
      <c r="DO35" s="80">
        <v>43.946924501650003</v>
      </c>
      <c r="DP35" s="80">
        <v>48.885706852363874</v>
      </c>
      <c r="DQ35" s="80">
        <v>42.360922458134198</v>
      </c>
      <c r="DR35" s="80">
        <v>46.391545305259733</v>
      </c>
      <c r="DS35" s="80">
        <v>43.531822496693664</v>
      </c>
      <c r="DT35" s="80">
        <v>48.469565181215927</v>
      </c>
      <c r="DU35" s="80">
        <v>50.764068706895046</v>
      </c>
      <c r="DV35" s="80">
        <v>41.224212911160244</v>
      </c>
      <c r="DW35" s="80">
        <v>38.354864186637208</v>
      </c>
      <c r="DX35" s="80">
        <v>40.841278379650007</v>
      </c>
      <c r="DY35" s="80">
        <v>44.473971312592028</v>
      </c>
      <c r="DZ35" s="80">
        <v>48.072748995671255</v>
      </c>
      <c r="EA35" s="80">
        <v>53.179607220703559</v>
      </c>
      <c r="EB35" s="80">
        <v>49.473580643541474</v>
      </c>
      <c r="EC35" s="80">
        <v>43.323678347020063</v>
      </c>
      <c r="ED35" s="80">
        <v>39.666824025458489</v>
      </c>
      <c r="EE35" s="80">
        <v>45.621204601200681</v>
      </c>
      <c r="EF35" s="80">
        <v>37.560794352861485</v>
      </c>
      <c r="EG35" s="80">
        <v>48.420846762121911</v>
      </c>
      <c r="EH35" s="80">
        <v>38.927438223005275</v>
      </c>
      <c r="EI35" s="80">
        <v>43.405689875287841</v>
      </c>
      <c r="EJ35" s="80">
        <v>51.141064519836767</v>
      </c>
      <c r="EK35" s="80">
        <v>49.0530525688701</v>
      </c>
      <c r="EL35" s="80">
        <v>51.681707468467096</v>
      </c>
      <c r="EM35" s="80">
        <v>43.974883400975948</v>
      </c>
      <c r="EN35" s="80">
        <v>47.438555847202274</v>
      </c>
      <c r="EO35" s="80">
        <v>44.428900596449466</v>
      </c>
      <c r="EP35" s="80">
        <v>43.327005612325948</v>
      </c>
      <c r="EQ35" s="80">
        <v>34.189010817277726</v>
      </c>
      <c r="ER35" s="80">
        <v>45.163682456599169</v>
      </c>
      <c r="ES35" s="80">
        <v>48.147507787739649</v>
      </c>
      <c r="ET35" s="80">
        <v>34.675352227621964</v>
      </c>
      <c r="EU35" s="80">
        <v>43.246731460475239</v>
      </c>
      <c r="EV35" s="80">
        <v>48.99608128950149</v>
      </c>
      <c r="EW35" s="80">
        <v>45.850180878692463</v>
      </c>
      <c r="EX35" s="80">
        <v>46.346028172201272</v>
      </c>
      <c r="EY35" s="80">
        <v>35.953396572255436</v>
      </c>
      <c r="EZ35" s="80">
        <v>43.604603035747679</v>
      </c>
      <c r="FA35" s="80">
        <v>45.332301394187432</v>
      </c>
      <c r="FB35" s="80">
        <v>35.183250441338984</v>
      </c>
      <c r="FC35" s="80">
        <v>47.650560524569315</v>
      </c>
      <c r="FD35" s="80">
        <v>46.142082720146334</v>
      </c>
      <c r="FE35" s="80">
        <v>39.492633723433919</v>
      </c>
      <c r="FF35" s="80">
        <v>43.428694395089487</v>
      </c>
      <c r="FG35" s="80">
        <v>36.90183244582515</v>
      </c>
      <c r="FH35" s="80">
        <v>54.647630144958924</v>
      </c>
      <c r="FI35" s="80">
        <v>48.351967336610954</v>
      </c>
      <c r="FJ35" s="80">
        <v>43.505006098399527</v>
      </c>
      <c r="FK35" s="80">
        <v>46.497023197572652</v>
      </c>
      <c r="FL35" s="80">
        <v>46.734384462921355</v>
      </c>
      <c r="FM35" s="80">
        <v>43.241636519191374</v>
      </c>
      <c r="FN35" s="80">
        <v>48.430073003924946</v>
      </c>
      <c r="FO35" s="80">
        <v>49.123421606731235</v>
      </c>
      <c r="FP35" s="80">
        <v>46.660701824495796</v>
      </c>
      <c r="FQ35" s="80">
        <v>40.334115206823725</v>
      </c>
      <c r="FR35" s="80">
        <v>46.58235956925153</v>
      </c>
      <c r="FS35" s="80">
        <v>41.640809870323906</v>
      </c>
      <c r="FT35" s="80">
        <v>50.528799535702106</v>
      </c>
      <c r="FU35" s="80">
        <v>47.951049948902465</v>
      </c>
      <c r="FV35" s="80">
        <v>43.540508770350982</v>
      </c>
      <c r="FW35" s="80">
        <v>44.730626748212032</v>
      </c>
      <c r="FX35" s="80">
        <v>38.901517833084853</v>
      </c>
      <c r="FY35" s="80">
        <v>41.166186300553882</v>
      </c>
      <c r="FZ35" s="80">
        <v>39.931773026187841</v>
      </c>
      <c r="GA35" s="80">
        <v>41.73292996576329</v>
      </c>
      <c r="GB35" s="80">
        <v>43.516331206839851</v>
      </c>
      <c r="GC35" s="80">
        <v>42.281393450330476</v>
      </c>
      <c r="GD35" s="80">
        <v>41.370739290821071</v>
      </c>
      <c r="GE35" s="80">
        <v>42.426350836494592</v>
      </c>
      <c r="GF35" s="80">
        <v>46.135782839585396</v>
      </c>
      <c r="GG35" s="80">
        <v>49.482979586046312</v>
      </c>
      <c r="GH35" s="80">
        <v>41.608287482260252</v>
      </c>
      <c r="GI35" s="80">
        <v>43.362165293298297</v>
      </c>
      <c r="GJ35" s="80">
        <v>43.184997927371214</v>
      </c>
      <c r="GK35" s="80">
        <v>38.760298262668613</v>
      </c>
      <c r="GL35" s="80">
        <v>42.930453527184511</v>
      </c>
      <c r="GM35" s="80">
        <v>37.907933485461101</v>
      </c>
      <c r="GN35" s="80">
        <v>38.336455040322548</v>
      </c>
      <c r="GO35" s="80">
        <v>40.737536554602286</v>
      </c>
      <c r="GP35" s="80">
        <v>39.362916976006382</v>
      </c>
      <c r="GQ35" s="80">
        <v>35.623742966479938</v>
      </c>
      <c r="GR35" s="80">
        <v>39.260289882253758</v>
      </c>
      <c r="GS35" s="80">
        <v>41.4615115587209</v>
      </c>
      <c r="GT35" s="80">
        <v>40.783324203011297</v>
      </c>
      <c r="GU35" s="80">
        <v>43.058812848639086</v>
      </c>
      <c r="GV35" s="80">
        <v>45.181558604034798</v>
      </c>
      <c r="GW35" s="80">
        <v>40.395765132407817</v>
      </c>
      <c r="GX35" s="80">
        <v>42.01057414665955</v>
      </c>
      <c r="GY35" s="80">
        <v>40.03678161316526</v>
      </c>
      <c r="GZ35" s="80">
        <v>39.573296834144728</v>
      </c>
      <c r="HA35" s="80">
        <v>37.19722583965995</v>
      </c>
      <c r="HB35" s="80">
        <v>40.504638218647301</v>
      </c>
      <c r="HC35" s="80">
        <v>35.804354367768802</v>
      </c>
      <c r="HD35" s="80">
        <v>42.737413535040233</v>
      </c>
      <c r="HE35" s="80">
        <v>40.666776872528722</v>
      </c>
      <c r="HF35" s="80">
        <v>46.415053027617539</v>
      </c>
      <c r="HG35" s="80">
        <v>39.951352691331408</v>
      </c>
      <c r="HH35" s="80">
        <v>38.672602350165704</v>
      </c>
      <c r="HI35" s="80">
        <v>41.766004042942654</v>
      </c>
      <c r="HJ35" s="80">
        <v>42.191820129505324</v>
      </c>
      <c r="HK35" s="80">
        <v>38.654330909026299</v>
      </c>
      <c r="HL35" s="80">
        <v>39.034210446799563</v>
      </c>
      <c r="HM35" s="80">
        <v>35.22569936323611</v>
      </c>
      <c r="HN35" s="80">
        <v>37.689849622495544</v>
      </c>
      <c r="HO35" s="80">
        <v>36.457399244760715</v>
      </c>
      <c r="HP35" s="80">
        <v>44.493994062920926</v>
      </c>
      <c r="HQ35" s="80">
        <v>49.651824228453968</v>
      </c>
      <c r="HR35" s="80">
        <v>37.447800000000001</v>
      </c>
      <c r="HS35" s="80">
        <v>31.9755</v>
      </c>
      <c r="HT35" s="80">
        <v>38.4018804332663</v>
      </c>
      <c r="HU35" s="80">
        <v>43.679984652360503</v>
      </c>
      <c r="HV35" s="80">
        <v>47.676780389422497</v>
      </c>
      <c r="HW35" s="80">
        <v>53.802323460493099</v>
      </c>
      <c r="HX35" s="80">
        <v>55.9561146912148</v>
      </c>
      <c r="HY35" s="80">
        <v>58.8978296636107</v>
      </c>
      <c r="HZ35" s="80">
        <v>58.360320562732703</v>
      </c>
      <c r="IA35" s="80">
        <v>53.809687500016899</v>
      </c>
      <c r="IB35" s="80">
        <v>60.409031349263699</v>
      </c>
      <c r="IC35" s="80">
        <v>64.064172473010998</v>
      </c>
      <c r="ID35" s="80">
        <v>57.9240729257656</v>
      </c>
      <c r="IE35" s="80">
        <v>45.978622288358999</v>
      </c>
      <c r="IF35" s="80">
        <v>51.596159709010998</v>
      </c>
      <c r="IG35" s="80">
        <v>52.228484847618901</v>
      </c>
      <c r="IH35" s="80">
        <v>52.206220705085599</v>
      </c>
      <c r="II35" s="80">
        <v>52.087076806123797</v>
      </c>
      <c r="IJ35" s="80">
        <v>51.557777362940399</v>
      </c>
      <c r="IK35" s="80">
        <v>48.799763740269803</v>
      </c>
      <c r="IL35" s="80">
        <v>51.251227086259497</v>
      </c>
      <c r="IM35" s="80">
        <v>52.746072755483603</v>
      </c>
      <c r="IN35" s="80">
        <v>57.605967949662201</v>
      </c>
      <c r="IO35" s="80">
        <v>61.977421654348497</v>
      </c>
      <c r="IP35" s="80">
        <v>57.903625700118603</v>
      </c>
      <c r="IQ35" s="80">
        <v>57.808096602957399</v>
      </c>
      <c r="IR35" s="80">
        <v>57.0615564117236</v>
      </c>
      <c r="IS35" s="80">
        <v>60.6058591120591</v>
      </c>
      <c r="IT35" s="80">
        <v>51.352212943015097</v>
      </c>
      <c r="IU35" s="80">
        <v>54.123171624873997</v>
      </c>
      <c r="IV35" s="80">
        <v>55.758133736994303</v>
      </c>
      <c r="IW35" s="80">
        <v>51.139935819965302</v>
      </c>
      <c r="IX35" s="80">
        <v>51.474463481893402</v>
      </c>
      <c r="IY35" s="80">
        <v>52.057819524899102</v>
      </c>
      <c r="IZ35" s="80">
        <v>56.064960608311303</v>
      </c>
      <c r="JA35" s="80">
        <v>60.221384139897602</v>
      </c>
      <c r="JB35" s="80">
        <v>57.204772717969298</v>
      </c>
      <c r="JC35" s="80">
        <v>53.867188345120603</v>
      </c>
      <c r="JD35" s="80">
        <v>55.323895780135203</v>
      </c>
      <c r="JE35" s="80">
        <v>51.939457210927898</v>
      </c>
      <c r="JF35" s="80">
        <v>55.982184660676197</v>
      </c>
      <c r="JG35" s="80">
        <v>50.758336796581602</v>
      </c>
      <c r="JH35" s="80">
        <v>49.654947700305598</v>
      </c>
      <c r="JI35" s="80">
        <v>50.430687743231303</v>
      </c>
      <c r="JJ35" s="80">
        <v>44.895057532276503</v>
      </c>
      <c r="JK35" s="80">
        <v>44.950012722122302</v>
      </c>
      <c r="JL35" s="80">
        <v>49.289950589733301</v>
      </c>
      <c r="JM35" s="80">
        <v>53.428220815817298</v>
      </c>
      <c r="JN35" s="80">
        <v>50.779413916114898</v>
      </c>
      <c r="JO35" s="80">
        <v>45.323337566539301</v>
      </c>
      <c r="JP35" s="80">
        <v>49.401502427167998</v>
      </c>
      <c r="JQ35" s="80">
        <v>48.048497322613301</v>
      </c>
      <c r="JR35" s="80">
        <v>52.355075472056903</v>
      </c>
      <c r="JS35" s="80">
        <v>50.9710502870714</v>
      </c>
      <c r="JT35" s="80">
        <v>53.429320404507202</v>
      </c>
      <c r="JU35" s="80">
        <v>50.312795046454099</v>
      </c>
      <c r="JV35" s="80">
        <v>53.7892051338237</v>
      </c>
      <c r="JW35" s="80">
        <v>53.806443349210198</v>
      </c>
      <c r="JX35" s="80">
        <v>53.150328816048301</v>
      </c>
      <c r="JY35" s="80">
        <v>56.091503712574401</v>
      </c>
      <c r="JZ35" s="80">
        <v>55.642828240460403</v>
      </c>
      <c r="KA35" s="80">
        <v>52.355691163732097</v>
      </c>
      <c r="KB35" s="80">
        <v>53.9518430073514</v>
      </c>
      <c r="KC35" s="80">
        <v>51.512048800868101</v>
      </c>
      <c r="KD35" s="80">
        <v>51.649352013206801</v>
      </c>
      <c r="KE35" s="80">
        <v>50.283950223252901</v>
      </c>
      <c r="KF35" s="81">
        <v>47.826957631860999</v>
      </c>
      <c r="KG35" s="81">
        <v>48.783266181600197</v>
      </c>
      <c r="KH35" s="81">
        <v>47.333452421292499</v>
      </c>
      <c r="KI35" s="81">
        <v>45.012405495233999</v>
      </c>
      <c r="KJ35" s="81">
        <v>49.239284286779203</v>
      </c>
      <c r="KK35" s="81">
        <v>51.6746479235495</v>
      </c>
      <c r="KL35" s="81">
        <v>47.646917987929299</v>
      </c>
      <c r="KM35" s="81">
        <v>45.7973184399467</v>
      </c>
      <c r="KN35" s="81">
        <v>44.8862433599854</v>
      </c>
      <c r="KO35" s="81">
        <v>43.175049347219797</v>
      </c>
    </row>
    <row r="36" spans="1:303" s="77" customFormat="1" ht="18" customHeight="1">
      <c r="A36" s="78"/>
      <c r="B36" s="120" t="s">
        <v>187</v>
      </c>
      <c r="C36" s="91">
        <v>1.857811833570439</v>
      </c>
      <c r="D36" s="91">
        <v>1.4948272276470136</v>
      </c>
      <c r="E36" s="91">
        <v>2.2447036932789719</v>
      </c>
      <c r="F36" s="91">
        <v>1.0448178496854423</v>
      </c>
      <c r="G36" s="91">
        <v>1.0623517008502188</v>
      </c>
      <c r="H36" s="91">
        <v>1.1158096278545395</v>
      </c>
      <c r="I36" s="91">
        <v>0.92688674662218107</v>
      </c>
      <c r="J36" s="91">
        <v>2.8487231579449137</v>
      </c>
      <c r="K36" s="91">
        <v>1.9438438847080644</v>
      </c>
      <c r="L36" s="91">
        <v>2.4817362769668136</v>
      </c>
      <c r="M36" s="91">
        <v>1.9150005339297085</v>
      </c>
      <c r="N36" s="91">
        <v>1.6246013337584486</v>
      </c>
      <c r="O36" s="91">
        <v>2.6041591923808731</v>
      </c>
      <c r="P36" s="91">
        <v>2.424312331504419</v>
      </c>
      <c r="Q36" s="91">
        <v>3.6870708012159135</v>
      </c>
      <c r="R36" s="91">
        <v>1.9191804800880745</v>
      </c>
      <c r="S36" s="91">
        <v>1.5661112510239941</v>
      </c>
      <c r="T36" s="91">
        <v>1.9558638004495443</v>
      </c>
      <c r="U36" s="91">
        <v>2.5627485406449266</v>
      </c>
      <c r="V36" s="91">
        <v>1.4951994848283394</v>
      </c>
      <c r="W36" s="91">
        <v>2.4195302636581206</v>
      </c>
      <c r="X36" s="91">
        <v>2.2693884579383834</v>
      </c>
      <c r="Y36" s="91">
        <v>1.4134883065621273</v>
      </c>
      <c r="Z36" s="91">
        <v>2.1431489242777526</v>
      </c>
      <c r="AA36" s="91">
        <v>2.1403688496351077</v>
      </c>
      <c r="AB36" s="91">
        <v>3.6148322236472912</v>
      </c>
      <c r="AC36" s="91">
        <v>3.9911596895324335</v>
      </c>
      <c r="AD36" s="91">
        <v>4.1355382315665734</v>
      </c>
      <c r="AE36" s="91">
        <v>1.6654705716261742</v>
      </c>
      <c r="AF36" s="91">
        <v>1.2742254207333741</v>
      </c>
      <c r="AG36" s="91">
        <v>1.7956044502282633</v>
      </c>
      <c r="AH36" s="91">
        <v>2.6163641089130003</v>
      </c>
      <c r="AI36" s="91">
        <v>2.1013962219349223</v>
      </c>
      <c r="AJ36" s="91">
        <v>2.119719149327469</v>
      </c>
      <c r="AK36" s="91">
        <v>1.4171795204542093</v>
      </c>
      <c r="AL36" s="91">
        <v>1.248929387597048</v>
      </c>
      <c r="AM36" s="91">
        <v>1.3364672771692947</v>
      </c>
      <c r="AN36" s="91">
        <v>2.1746218348585544</v>
      </c>
      <c r="AO36" s="91">
        <v>1.619895315940135</v>
      </c>
      <c r="AP36" s="91">
        <v>1.7047792341494672</v>
      </c>
      <c r="AQ36" s="91">
        <v>0.70270602330386034</v>
      </c>
      <c r="AR36" s="91">
        <v>0.64516876083431807</v>
      </c>
      <c r="AS36" s="80">
        <v>1.727247</v>
      </c>
      <c r="AT36" s="80">
        <v>1.01935</v>
      </c>
      <c r="AU36" s="80">
        <v>1.2764599999999999</v>
      </c>
      <c r="AV36" s="80">
        <v>0.40858040000000001</v>
      </c>
      <c r="AW36" s="80">
        <v>1.1143209999999999</v>
      </c>
      <c r="AX36" s="80">
        <v>1.355567</v>
      </c>
      <c r="AY36" s="80">
        <v>0.34607719999999997</v>
      </c>
      <c r="AZ36" s="80">
        <v>0.79739199999999999</v>
      </c>
      <c r="BA36" s="80">
        <v>1.3972960000000001</v>
      </c>
      <c r="BB36" s="80">
        <v>0.30953950000000002</v>
      </c>
      <c r="BC36" s="80">
        <v>0.37590639999999997</v>
      </c>
      <c r="BD36" s="80">
        <v>1.095162</v>
      </c>
      <c r="BE36" s="80">
        <v>1.3014760000000001</v>
      </c>
      <c r="BF36" s="80">
        <v>0.41108539999999999</v>
      </c>
      <c r="BG36" s="80">
        <v>0.65552149999999998</v>
      </c>
      <c r="BH36" s="80">
        <v>0.65627559999999996</v>
      </c>
      <c r="BI36" s="80">
        <v>1.165227</v>
      </c>
      <c r="BJ36" s="80">
        <v>1.1012109999999999</v>
      </c>
      <c r="BK36" s="80">
        <v>0.8201920963612539</v>
      </c>
      <c r="BL36" s="80">
        <v>0.45597501421328562</v>
      </c>
      <c r="BM36" s="80">
        <v>0.4700217145259189</v>
      </c>
      <c r="BN36" s="80">
        <v>0.92663112719569618</v>
      </c>
      <c r="BO36" s="80">
        <v>0.63041374597006994</v>
      </c>
      <c r="BP36" s="80">
        <v>0.63798232015103284</v>
      </c>
      <c r="BQ36" s="80">
        <v>0.42023709812726362</v>
      </c>
      <c r="BR36" s="80">
        <v>0.56552648835148001</v>
      </c>
      <c r="BS36" s="80">
        <v>0.97241451330521478</v>
      </c>
      <c r="BT36" s="80">
        <v>0.58330680215977504</v>
      </c>
      <c r="BU36" s="80">
        <v>0.80539791100885361</v>
      </c>
      <c r="BV36" s="80">
        <v>1.5857090352058547</v>
      </c>
      <c r="BW36" s="80">
        <v>1.7354789391133414</v>
      </c>
      <c r="BX36" s="80">
        <v>1.3563842997607365</v>
      </c>
      <c r="BY36" s="80">
        <v>0.62006587766870491</v>
      </c>
      <c r="BZ36" s="80">
        <v>0.61125668686191748</v>
      </c>
      <c r="CA36" s="80">
        <v>0.9604884427231527</v>
      </c>
      <c r="CB36" s="80">
        <v>0.95230161421924264</v>
      </c>
      <c r="CC36" s="80">
        <v>0.94084639326901442</v>
      </c>
      <c r="CD36" s="80">
        <v>0.64701199561361533</v>
      </c>
      <c r="CE36" s="80">
        <v>0.30487318501609539</v>
      </c>
      <c r="CF36" s="80">
        <v>1.0303833590220302</v>
      </c>
      <c r="CG36" s="80">
        <v>0.72923031455208076</v>
      </c>
      <c r="CH36" s="80">
        <v>0.94131605927419604</v>
      </c>
      <c r="CI36" s="80">
        <v>0.68506226283925209</v>
      </c>
      <c r="CJ36" s="80">
        <v>0.56548204421123571</v>
      </c>
      <c r="CK36" s="80">
        <v>0.86611805765924055</v>
      </c>
      <c r="CL36" s="80">
        <v>0.62198316360364747</v>
      </c>
      <c r="CM36" s="80">
        <v>0.68094953640270872</v>
      </c>
      <c r="CN36" s="80">
        <v>0.97551214846465406</v>
      </c>
      <c r="CO36" s="80">
        <v>1.1970193981895758</v>
      </c>
      <c r="CP36" s="80">
        <v>1.3367691888732565</v>
      </c>
      <c r="CQ36" s="80">
        <v>1.6015125796129317</v>
      </c>
      <c r="CR36" s="80">
        <v>1.5216887792086631</v>
      </c>
      <c r="CS36" s="80">
        <v>3.1450829546162762</v>
      </c>
      <c r="CT36" s="80">
        <v>2.3048471918882667</v>
      </c>
      <c r="CU36" s="80">
        <v>1.5279114254402182</v>
      </c>
      <c r="CV36" s="80">
        <v>1.0236896661514072</v>
      </c>
      <c r="CW36" s="80">
        <v>1.3616004327449864</v>
      </c>
      <c r="CX36" s="80">
        <v>0.99315389606682081</v>
      </c>
      <c r="CY36" s="80">
        <v>0.93584946749354059</v>
      </c>
      <c r="CZ36" s="80">
        <v>1.4404916047535561</v>
      </c>
      <c r="DA36" s="80">
        <v>0.91851962940794285</v>
      </c>
      <c r="DB36" s="80">
        <v>1.1848939882934795</v>
      </c>
      <c r="DC36" s="80">
        <v>0.97516513105645763</v>
      </c>
      <c r="DD36" s="80">
        <v>0.57494550728823846</v>
      </c>
      <c r="DE36" s="80">
        <v>0.75064821057976849</v>
      </c>
      <c r="DF36" s="80">
        <v>0.52726344112830026</v>
      </c>
      <c r="DG36" s="80">
        <v>1.3102877474485319</v>
      </c>
      <c r="DH36" s="80">
        <v>0.77111195807898958</v>
      </c>
      <c r="DI36" s="80">
        <v>0.82589993910677573</v>
      </c>
      <c r="DJ36" s="80">
        <v>0.77967474930552894</v>
      </c>
      <c r="DK36" s="80">
        <v>0.69386425372001448</v>
      </c>
      <c r="DL36" s="80">
        <v>0.61932964981321692</v>
      </c>
      <c r="DM36" s="80">
        <v>0.77776874010040287</v>
      </c>
      <c r="DN36" s="80">
        <v>1.0049138033142868</v>
      </c>
      <c r="DO36" s="80">
        <v>0.5189499937300277</v>
      </c>
      <c r="DP36" s="80">
        <v>0.58507543439638021</v>
      </c>
      <c r="DQ36" s="80">
        <v>0.99501174875200304</v>
      </c>
      <c r="DR36" s="80">
        <v>0.94137820464567346</v>
      </c>
      <c r="DS36" s="80">
        <v>0.88800910985323278</v>
      </c>
      <c r="DT36" s="80">
        <v>1.0963536691444569</v>
      </c>
      <c r="DU36" s="80">
        <v>0.7264302798593345</v>
      </c>
      <c r="DV36" s="80">
        <v>0.779718425204319</v>
      </c>
      <c r="DW36" s="80">
        <v>0.89423382077961211</v>
      </c>
      <c r="DX36" s="80">
        <v>0.73932327063742076</v>
      </c>
      <c r="DY36" s="80">
        <v>0.55779009282314385</v>
      </c>
      <c r="DZ36" s="80">
        <v>1.176493564143497</v>
      </c>
      <c r="EA36" s="80">
        <v>1.6436671812128549</v>
      </c>
      <c r="EB36" s="80">
        <v>1.0804192304566793</v>
      </c>
      <c r="EC36" s="80">
        <v>0.47594746403856025</v>
      </c>
      <c r="ED36" s="80">
        <v>1.0932456546205906</v>
      </c>
      <c r="EE36" s="80">
        <v>0.92383167249998777</v>
      </c>
      <c r="EF36" s="80">
        <v>1.004424276618793</v>
      </c>
      <c r="EG36" s="80">
        <v>1.0311260614381403</v>
      </c>
      <c r="EH36" s="80">
        <v>0.94045036729935672</v>
      </c>
      <c r="EI36" s="80">
        <v>0.84814727287355363</v>
      </c>
      <c r="EJ36" s="80">
        <v>1.1978995793661757</v>
      </c>
      <c r="EK36" s="80">
        <v>0.98701162207769955</v>
      </c>
      <c r="EL36" s="80">
        <v>0.86504058387522365</v>
      </c>
      <c r="EM36" s="80">
        <v>0.74816473695114005</v>
      </c>
      <c r="EN36" s="80">
        <v>1.2963380488451179</v>
      </c>
      <c r="EO36" s="80">
        <v>1.0948000852412518</v>
      </c>
      <c r="EP36" s="80">
        <v>1.229924762770723</v>
      </c>
      <c r="EQ36" s="80">
        <v>0.81905099365927825</v>
      </c>
      <c r="ER36" s="80">
        <v>0.9191864197844648</v>
      </c>
      <c r="ES36" s="80">
        <v>1.5818574589076744</v>
      </c>
      <c r="ET36" s="80">
        <v>1.3432179238538138</v>
      </c>
      <c r="EU36" s="80">
        <v>1.0296563029031638</v>
      </c>
      <c r="EV36" s="80">
        <v>0.87981902330582451</v>
      </c>
      <c r="EW36" s="80">
        <v>0.89118736450346636</v>
      </c>
      <c r="EX36" s="80">
        <v>1.6509584824358996</v>
      </c>
      <c r="EY36" s="80">
        <v>1.8601949307183392</v>
      </c>
      <c r="EZ36" s="80">
        <v>1.4589698691668356</v>
      </c>
      <c r="FA36" s="80">
        <v>1.8568505378124156</v>
      </c>
      <c r="FB36" s="80">
        <v>0.6761861308806274</v>
      </c>
      <c r="FC36" s="80">
        <v>1.7889781827022155</v>
      </c>
      <c r="FD36" s="80">
        <v>1.4144570617772805</v>
      </c>
      <c r="FE36" s="80">
        <v>1.2644991504105318</v>
      </c>
      <c r="FF36" s="80">
        <v>1.1985026752042973</v>
      </c>
      <c r="FG36" s="80">
        <v>1.6479884120004746</v>
      </c>
      <c r="FH36" s="80">
        <v>2.9913681219812753</v>
      </c>
      <c r="FI36" s="80">
        <v>1.2385089585541778</v>
      </c>
      <c r="FJ36" s="80">
        <v>1.2481976236986718</v>
      </c>
      <c r="FK36" s="80">
        <v>0.85031402939799405</v>
      </c>
      <c r="FL36" s="80">
        <v>1.0913064808946744</v>
      </c>
      <c r="FM36" s="80">
        <v>1.4801846331483373</v>
      </c>
      <c r="FN36" s="80">
        <v>1.3995429183100205</v>
      </c>
      <c r="FO36" s="80">
        <v>1.9888154639467903</v>
      </c>
      <c r="FP36" s="80">
        <v>1.9214250781377895</v>
      </c>
      <c r="FQ36" s="80">
        <v>1.944847622312627</v>
      </c>
      <c r="FR36" s="80">
        <v>1.4971727298312916</v>
      </c>
      <c r="FS36" s="80">
        <v>1.4485565597671324</v>
      </c>
      <c r="FT36" s="80">
        <v>1.5718604232728413</v>
      </c>
      <c r="FU36" s="80">
        <v>1.8064727375432461</v>
      </c>
      <c r="FV36" s="80">
        <v>1.3259020657899425</v>
      </c>
      <c r="FW36" s="80">
        <v>1.481133048941681</v>
      </c>
      <c r="FX36" s="80">
        <v>2.1797817197318241</v>
      </c>
      <c r="FY36" s="80">
        <v>2.4390869168788991</v>
      </c>
      <c r="FZ36" s="80">
        <v>1.5406131319936849</v>
      </c>
      <c r="GA36" s="80">
        <v>1.8150211746428853</v>
      </c>
      <c r="GB36" s="80">
        <v>1.8702304746914724</v>
      </c>
      <c r="GC36" s="80">
        <v>1.5927239764998411</v>
      </c>
      <c r="GD36" s="80">
        <v>2.2232829227086324</v>
      </c>
      <c r="GE36" s="80">
        <v>2.619041020365513</v>
      </c>
      <c r="GF36" s="80">
        <v>2.8852168586349132</v>
      </c>
      <c r="GG36" s="80">
        <v>2.4559987473844149</v>
      </c>
      <c r="GH36" s="80">
        <v>2.236033043371223</v>
      </c>
      <c r="GI36" s="80">
        <v>2.0197329833368758</v>
      </c>
      <c r="GJ36" s="80">
        <v>3.1787375824040018</v>
      </c>
      <c r="GK36" s="80">
        <v>3.2344121653545241</v>
      </c>
      <c r="GL36" s="80">
        <v>3.6544881172174151</v>
      </c>
      <c r="GM36" s="80">
        <v>2.0234013189599174</v>
      </c>
      <c r="GN36" s="80">
        <v>2.5376556604617986</v>
      </c>
      <c r="GO36" s="80">
        <v>1.9763167227220757</v>
      </c>
      <c r="GP36" s="80">
        <v>2.3323099838056502</v>
      </c>
      <c r="GQ36" s="80">
        <v>2.1305751196353366</v>
      </c>
      <c r="GR36" s="80">
        <v>2.3570640195810082</v>
      </c>
      <c r="GS36" s="80">
        <v>1.9706759448020399</v>
      </c>
      <c r="GT36" s="80">
        <v>2.4527322194660051</v>
      </c>
      <c r="GU36" s="80">
        <v>1.44575047448031</v>
      </c>
      <c r="GV36" s="80">
        <v>3.0121973052306519</v>
      </c>
      <c r="GW36" s="80">
        <v>2.7460611563207058</v>
      </c>
      <c r="GX36" s="80">
        <v>2.4798878213886115</v>
      </c>
      <c r="GY36" s="80">
        <v>1.9521872144512527</v>
      </c>
      <c r="GZ36" s="80">
        <v>1.98706497856032</v>
      </c>
      <c r="HA36" s="80">
        <v>1.4095682398459703</v>
      </c>
      <c r="HB36" s="80">
        <v>1.6183498665790073</v>
      </c>
      <c r="HC36" s="80">
        <v>1.4138349501749159</v>
      </c>
      <c r="HD36" s="80">
        <v>2.852842294276039</v>
      </c>
      <c r="HE36" s="80">
        <v>0.94913619930249415</v>
      </c>
      <c r="HF36" s="80">
        <v>2.1660677741974164</v>
      </c>
      <c r="HG36" s="80">
        <v>2.2429106094317999</v>
      </c>
      <c r="HH36" s="80">
        <v>1.8154460158305044</v>
      </c>
      <c r="HI36" s="80">
        <v>2.9699645538276194</v>
      </c>
      <c r="HJ36" s="80">
        <v>2.0988619231175329</v>
      </c>
      <c r="HK36" s="80">
        <v>1.9802296950024505</v>
      </c>
      <c r="HL36" s="80">
        <v>1.0270904702798955</v>
      </c>
      <c r="HM36" s="80">
        <v>2.1390057799521927</v>
      </c>
      <c r="HN36" s="80">
        <v>2.4251332325520965</v>
      </c>
      <c r="HO36" s="80">
        <v>1.9734650028293541</v>
      </c>
      <c r="HP36" s="80">
        <v>2.5100448374125195</v>
      </c>
      <c r="HQ36" s="80">
        <v>2.3558914227221983</v>
      </c>
      <c r="HR36" s="80">
        <v>1.7037</v>
      </c>
      <c r="HS36" s="80">
        <v>4.0198900000000002</v>
      </c>
      <c r="HT36" s="80">
        <v>2.7963616885654101</v>
      </c>
      <c r="HU36" s="80">
        <v>2.2948714974750799</v>
      </c>
      <c r="HV36" s="80">
        <v>4.1142922789317096</v>
      </c>
      <c r="HW36" s="80">
        <v>1.7765908441334799</v>
      </c>
      <c r="HX36" s="80">
        <v>1.6295316135011499</v>
      </c>
      <c r="HY36" s="80">
        <v>2.2532740792285599</v>
      </c>
      <c r="HZ36" s="80">
        <v>2.8212268816670898</v>
      </c>
      <c r="IA36" s="80">
        <v>3.01079174187486</v>
      </c>
      <c r="IB36" s="80">
        <v>3.5653782082218699</v>
      </c>
      <c r="IC36" s="80">
        <v>2.2171287633241401</v>
      </c>
      <c r="ID36" s="80">
        <v>2.1490786559896802</v>
      </c>
      <c r="IE36" s="80">
        <v>1.8857451413869599</v>
      </c>
      <c r="IF36" s="80">
        <v>3.0823360984233199</v>
      </c>
      <c r="IG36" s="80">
        <v>3.6399624124721601</v>
      </c>
      <c r="IH36" s="80">
        <v>3.6089795414948398</v>
      </c>
      <c r="II36" s="80">
        <v>3.2602523294675501</v>
      </c>
      <c r="IJ36" s="80">
        <v>1.9216849833388301</v>
      </c>
      <c r="IK36" s="80">
        <v>1.8779589324513</v>
      </c>
      <c r="IL36" s="80">
        <v>1.91973212084338</v>
      </c>
      <c r="IM36" s="80">
        <v>1.9127130346757899</v>
      </c>
      <c r="IN36" s="80">
        <v>1.5914038399039001</v>
      </c>
      <c r="IO36" s="80">
        <v>1.5686448844166301</v>
      </c>
      <c r="IP36" s="80">
        <v>1.92262282103372</v>
      </c>
      <c r="IQ36" s="80">
        <v>2.2068786455034801</v>
      </c>
      <c r="IR36" s="80">
        <v>1.4776346864077901</v>
      </c>
      <c r="IS36" s="80">
        <v>2.3138164834329902</v>
      </c>
      <c r="IT36" s="80">
        <v>3.0690709178968301</v>
      </c>
      <c r="IU36" s="80">
        <v>2.4929268616171498</v>
      </c>
      <c r="IV36" s="80">
        <v>2.8727845945157102</v>
      </c>
      <c r="IW36" s="80">
        <v>2.2211640975995901</v>
      </c>
      <c r="IX36" s="80">
        <v>1.8882271269295099</v>
      </c>
      <c r="IY36" s="80">
        <v>1.74668468554497</v>
      </c>
      <c r="IZ36" s="80">
        <v>3.3675021571855299</v>
      </c>
      <c r="JA36" s="80">
        <v>2.2787269844762998</v>
      </c>
      <c r="JB36" s="80">
        <v>2.0500405914123299</v>
      </c>
      <c r="JC36" s="80">
        <v>2.1122938355878502</v>
      </c>
      <c r="JD36" s="80">
        <v>1.1938231377349799</v>
      </c>
      <c r="JE36" s="80">
        <v>1.6066412699544399</v>
      </c>
      <c r="JF36" s="80">
        <v>1.4630584573699801</v>
      </c>
      <c r="JG36" s="80">
        <v>1.7537974326597801</v>
      </c>
      <c r="JH36" s="80">
        <v>1.7820558932128501</v>
      </c>
      <c r="JI36" s="80">
        <v>1.0282289660828201</v>
      </c>
      <c r="JJ36" s="80">
        <v>1.6874437370942099</v>
      </c>
      <c r="JK36" s="80">
        <v>1.44912703256894</v>
      </c>
      <c r="JL36" s="80">
        <v>1.9388023564079999</v>
      </c>
      <c r="JM36" s="80">
        <v>1.4257279529234601</v>
      </c>
      <c r="JN36" s="80">
        <v>2.01204583353138</v>
      </c>
      <c r="JO36" s="80">
        <v>1.2695450267501001</v>
      </c>
      <c r="JP36" s="80">
        <v>2.2416099330417398</v>
      </c>
      <c r="JQ36" s="80">
        <v>1.9716761883315801</v>
      </c>
      <c r="JR36" s="80">
        <v>3.6936028000712402</v>
      </c>
      <c r="JS36" s="80">
        <v>2.89720925620006</v>
      </c>
      <c r="JT36" s="80">
        <v>2.98748260207705</v>
      </c>
      <c r="JU36" s="80">
        <v>2.3884611990933999</v>
      </c>
      <c r="JV36" s="80">
        <v>2.1591569495032701</v>
      </c>
      <c r="JW36" s="80">
        <v>1.7237997127193101</v>
      </c>
      <c r="JX36" s="80">
        <v>1.8315646375924099</v>
      </c>
      <c r="JY36" s="80">
        <v>1.87303834699449</v>
      </c>
      <c r="JZ36" s="80">
        <v>1.6653056548485199</v>
      </c>
      <c r="KA36" s="80">
        <v>1.86505972969636</v>
      </c>
      <c r="KB36" s="80">
        <v>2.2191813711067399</v>
      </c>
      <c r="KC36" s="80">
        <v>2.86398999397389</v>
      </c>
      <c r="KD36" s="80">
        <v>2.1314392567981999</v>
      </c>
      <c r="KE36" s="80">
        <v>2.4954316545550999</v>
      </c>
      <c r="KF36" s="81">
        <v>2.5020163666477901</v>
      </c>
      <c r="KG36" s="81">
        <v>2.1461757812253999</v>
      </c>
      <c r="KH36" s="81">
        <v>2.6024898195646502</v>
      </c>
      <c r="KI36" s="81">
        <v>2.1722547720839098</v>
      </c>
      <c r="KJ36" s="81">
        <v>1.66358453699688</v>
      </c>
      <c r="KK36" s="81">
        <v>1.7244824797989</v>
      </c>
      <c r="KL36" s="81">
        <v>1.8690387698009601</v>
      </c>
      <c r="KM36" s="81">
        <v>1.47240273753547</v>
      </c>
      <c r="KN36" s="81">
        <v>2.1221926205875299</v>
      </c>
      <c r="KO36" s="81">
        <v>2.74960959964009</v>
      </c>
    </row>
    <row r="37" spans="1:303" s="77" customFormat="1" ht="18" customHeight="1">
      <c r="A37" s="78"/>
      <c r="B37" s="120" t="s">
        <v>188</v>
      </c>
      <c r="C37" s="91" t="s">
        <v>8</v>
      </c>
      <c r="D37" s="91" t="s">
        <v>8</v>
      </c>
      <c r="E37" s="91" t="s">
        <v>8</v>
      </c>
      <c r="F37" s="91" t="s">
        <v>8</v>
      </c>
      <c r="G37" s="91" t="s">
        <v>8</v>
      </c>
      <c r="H37" s="91" t="s">
        <v>8</v>
      </c>
      <c r="I37" s="91" t="s">
        <v>8</v>
      </c>
      <c r="J37" s="91" t="s">
        <v>8</v>
      </c>
      <c r="K37" s="91" t="s">
        <v>8</v>
      </c>
      <c r="L37" s="91" t="s">
        <v>8</v>
      </c>
      <c r="M37" s="91" t="s">
        <v>8</v>
      </c>
      <c r="N37" s="91" t="s">
        <v>8</v>
      </c>
      <c r="O37" s="91" t="s">
        <v>8</v>
      </c>
      <c r="P37" s="91" t="s">
        <v>8</v>
      </c>
      <c r="Q37" s="91" t="s">
        <v>8</v>
      </c>
      <c r="R37" s="91" t="s">
        <v>8</v>
      </c>
      <c r="S37" s="91" t="s">
        <v>8</v>
      </c>
      <c r="T37" s="91" t="s">
        <v>8</v>
      </c>
      <c r="U37" s="91" t="s">
        <v>8</v>
      </c>
      <c r="V37" s="91" t="s">
        <v>8</v>
      </c>
      <c r="W37" s="91" t="s">
        <v>8</v>
      </c>
      <c r="X37" s="91" t="s">
        <v>8</v>
      </c>
      <c r="Y37" s="91" t="s">
        <v>8</v>
      </c>
      <c r="Z37" s="91" t="s">
        <v>8</v>
      </c>
      <c r="AA37" s="91" t="s">
        <v>8</v>
      </c>
      <c r="AB37" s="91" t="s">
        <v>8</v>
      </c>
      <c r="AC37" s="91" t="s">
        <v>8</v>
      </c>
      <c r="AD37" s="91" t="s">
        <v>8</v>
      </c>
      <c r="AE37" s="91" t="s">
        <v>8</v>
      </c>
      <c r="AF37" s="91" t="s">
        <v>8</v>
      </c>
      <c r="AG37" s="91" t="s">
        <v>8</v>
      </c>
      <c r="AH37" s="91" t="s">
        <v>8</v>
      </c>
      <c r="AI37" s="91" t="s">
        <v>8</v>
      </c>
      <c r="AJ37" s="91" t="s">
        <v>8</v>
      </c>
      <c r="AK37" s="91" t="s">
        <v>8</v>
      </c>
      <c r="AL37" s="91" t="s">
        <v>8</v>
      </c>
      <c r="AM37" s="91" t="s">
        <v>8</v>
      </c>
      <c r="AN37" s="91" t="s">
        <v>8</v>
      </c>
      <c r="AO37" s="91" t="s">
        <v>8</v>
      </c>
      <c r="AP37" s="91" t="s">
        <v>8</v>
      </c>
      <c r="AQ37" s="91" t="s">
        <v>8</v>
      </c>
      <c r="AR37" s="91" t="s">
        <v>8</v>
      </c>
      <c r="AS37" s="80">
        <v>2.5196670000000001</v>
      </c>
      <c r="AT37" s="80">
        <v>4.6383010000000002</v>
      </c>
      <c r="AU37" s="80">
        <v>9.262067</v>
      </c>
      <c r="AV37" s="80">
        <v>6.7645879999999998</v>
      </c>
      <c r="AW37" s="80">
        <v>6.9391959999999999</v>
      </c>
      <c r="AX37" s="80">
        <v>13.00662</v>
      </c>
      <c r="AY37" s="80">
        <v>6.8693479999999996</v>
      </c>
      <c r="AZ37" s="80">
        <v>7.8079900000000002</v>
      </c>
      <c r="BA37" s="80">
        <v>9.5285139999999995</v>
      </c>
      <c r="BB37" s="80">
        <v>7.9555069999999999</v>
      </c>
      <c r="BC37" s="80">
        <v>6.596641</v>
      </c>
      <c r="BD37" s="80">
        <v>13.901820000000001</v>
      </c>
      <c r="BE37" s="80">
        <v>12.631629999999999</v>
      </c>
      <c r="BF37" s="80">
        <v>9.6116220000000006</v>
      </c>
      <c r="BG37" s="80">
        <v>18.139410000000002</v>
      </c>
      <c r="BH37" s="80">
        <v>4.7364730000000002</v>
      </c>
      <c r="BI37" s="80">
        <v>5.3971879999999999</v>
      </c>
      <c r="BJ37" s="80">
        <v>7.6431370000000003</v>
      </c>
      <c r="BK37" s="80">
        <v>36.694085067772846</v>
      </c>
      <c r="BL37" s="80">
        <v>7.899391283365377</v>
      </c>
      <c r="BM37" s="80">
        <v>7.294614999659391</v>
      </c>
      <c r="BN37" s="80">
        <v>5.4366850058762939</v>
      </c>
      <c r="BO37" s="80">
        <v>5.0050441979118867</v>
      </c>
      <c r="BP37" s="80">
        <v>7.133002015636726</v>
      </c>
      <c r="BQ37" s="80">
        <v>3.5697505747213429</v>
      </c>
      <c r="BR37" s="80">
        <v>3.8242139535174391</v>
      </c>
      <c r="BS37" s="80">
        <v>4.1575028987391782</v>
      </c>
      <c r="BT37" s="80">
        <v>4.6473041185105028</v>
      </c>
      <c r="BU37" s="80">
        <v>4.4803121847250802</v>
      </c>
      <c r="BV37" s="80">
        <v>3.6892178449028266</v>
      </c>
      <c r="BW37" s="80">
        <v>3.2149188286816544</v>
      </c>
      <c r="BX37" s="80">
        <v>3.701991266252914</v>
      </c>
      <c r="BY37" s="80">
        <v>2.2463109097905001</v>
      </c>
      <c r="BZ37" s="80">
        <v>23.517806748519863</v>
      </c>
      <c r="CA37" s="80">
        <v>3.2708226754559111</v>
      </c>
      <c r="CB37" s="80">
        <v>4.1824695568971872</v>
      </c>
      <c r="CC37" s="80">
        <v>2.4506422201803488</v>
      </c>
      <c r="CD37" s="80">
        <v>7.3183407835279377</v>
      </c>
      <c r="CE37" s="80">
        <v>4.7851820762768424</v>
      </c>
      <c r="CF37" s="80">
        <v>3.425423908478372</v>
      </c>
      <c r="CG37" s="80">
        <v>4.5620013225188156</v>
      </c>
      <c r="CH37" s="80">
        <v>5.2569238611816207</v>
      </c>
      <c r="CI37" s="80">
        <v>4.5331260240830913</v>
      </c>
      <c r="CJ37" s="80">
        <v>2.3357877517991632</v>
      </c>
      <c r="CK37" s="80">
        <v>4.5498630129547104</v>
      </c>
      <c r="CL37" s="80">
        <v>2.7358010652665037</v>
      </c>
      <c r="CM37" s="80">
        <v>3.0365014435141653</v>
      </c>
      <c r="CN37" s="80">
        <v>5.6797310080693704</v>
      </c>
      <c r="CO37" s="80">
        <v>4.9968330524818159</v>
      </c>
      <c r="CP37" s="80">
        <v>4.6655622501412513</v>
      </c>
      <c r="CQ37" s="80">
        <v>5.5095763611077775</v>
      </c>
      <c r="CR37" s="80">
        <v>7.0953453703055374</v>
      </c>
      <c r="CS37" s="80">
        <v>6.1298979886123366</v>
      </c>
      <c r="CT37" s="80">
        <v>5.6050713393090854</v>
      </c>
      <c r="CU37" s="80">
        <v>6.0272851848774271</v>
      </c>
      <c r="CV37" s="80">
        <v>6.1918473717530729</v>
      </c>
      <c r="CW37" s="80">
        <v>3.3804558985890654</v>
      </c>
      <c r="CX37" s="80">
        <v>5.9384935492215112</v>
      </c>
      <c r="CY37" s="80">
        <v>3.591789249319524</v>
      </c>
      <c r="CZ37" s="80">
        <v>7.0289980666514928</v>
      </c>
      <c r="DA37" s="80">
        <v>3.8102749062229693</v>
      </c>
      <c r="DB37" s="80">
        <v>4.107381565530325</v>
      </c>
      <c r="DC37" s="80">
        <v>4.3579128501547553</v>
      </c>
      <c r="DD37" s="80">
        <v>3.4218326440938021</v>
      </c>
      <c r="DE37" s="80">
        <v>3.909903604080931</v>
      </c>
      <c r="DF37" s="80">
        <v>2.8654146970775658</v>
      </c>
      <c r="DG37" s="80">
        <v>5.4899222054592896</v>
      </c>
      <c r="DH37" s="80">
        <v>3.934052401816464</v>
      </c>
      <c r="DI37" s="80">
        <v>3.0988183985010593</v>
      </c>
      <c r="DJ37" s="80">
        <v>2.7532932794821114</v>
      </c>
      <c r="DK37" s="80">
        <v>2.0918754372882842</v>
      </c>
      <c r="DL37" s="80">
        <v>3.1286239919656933</v>
      </c>
      <c r="DM37" s="80">
        <v>2.0260424077502286</v>
      </c>
      <c r="DN37" s="80">
        <v>4.562303583875468</v>
      </c>
      <c r="DO37" s="80">
        <v>4.7000244109583091</v>
      </c>
      <c r="DP37" s="80">
        <v>4.1456769957576007</v>
      </c>
      <c r="DQ37" s="80">
        <v>3.7414581239520297</v>
      </c>
      <c r="DR37" s="80">
        <v>3.738362217805379</v>
      </c>
      <c r="DS37" s="80">
        <v>2.9640043466492778</v>
      </c>
      <c r="DT37" s="80">
        <v>2.8332457809438192</v>
      </c>
      <c r="DU37" s="80">
        <v>2.7427442960075004</v>
      </c>
      <c r="DV37" s="80">
        <v>3.3187916586163171</v>
      </c>
      <c r="DW37" s="80">
        <v>4.0731108578542248</v>
      </c>
      <c r="DX37" s="80">
        <v>4.668615683097384</v>
      </c>
      <c r="DY37" s="80">
        <v>4.62019627456365</v>
      </c>
      <c r="DZ37" s="80">
        <v>4.5625570205081125</v>
      </c>
      <c r="EA37" s="80">
        <v>5.0325293526711201</v>
      </c>
      <c r="EB37" s="80">
        <v>4.1348859724832332</v>
      </c>
      <c r="EC37" s="80">
        <v>4.2238009109298371</v>
      </c>
      <c r="ED37" s="80">
        <v>6.0282395169137208</v>
      </c>
      <c r="EE37" s="80">
        <v>8.6030334677755551</v>
      </c>
      <c r="EF37" s="80">
        <v>8.3727701886637274</v>
      </c>
      <c r="EG37" s="80">
        <v>6.0574026267146284</v>
      </c>
      <c r="EH37" s="80">
        <v>8.019423962042028</v>
      </c>
      <c r="EI37" s="80">
        <v>4.8027895718710258</v>
      </c>
      <c r="EJ37" s="80">
        <v>2.9275759603250635</v>
      </c>
      <c r="EK37" s="80">
        <v>3.690443539884968</v>
      </c>
      <c r="EL37" s="80">
        <v>3.7678635674021765</v>
      </c>
      <c r="EM37" s="80">
        <v>6.1525881496214829</v>
      </c>
      <c r="EN37" s="80">
        <v>5.8596476113098053</v>
      </c>
      <c r="EO37" s="80">
        <v>5.620220741298092</v>
      </c>
      <c r="EP37" s="80">
        <v>4.0496137061490174</v>
      </c>
      <c r="EQ37" s="80">
        <v>7.6672496467259599</v>
      </c>
      <c r="ER37" s="80">
        <v>8.9330345486939944</v>
      </c>
      <c r="ES37" s="80">
        <v>3.4853548644201973</v>
      </c>
      <c r="ET37" s="80">
        <v>3.6375980537540382</v>
      </c>
      <c r="EU37" s="80">
        <v>4.6521627348618955</v>
      </c>
      <c r="EV37" s="80">
        <v>3.3591800226235624</v>
      </c>
      <c r="EW37" s="80">
        <v>4.2977421807014888</v>
      </c>
      <c r="EX37" s="80">
        <v>5.0742747631998606</v>
      </c>
      <c r="EY37" s="80">
        <v>4.5565280218454465</v>
      </c>
      <c r="EZ37" s="80">
        <v>7.339177748667419</v>
      </c>
      <c r="FA37" s="80">
        <v>4.5160499796557527</v>
      </c>
      <c r="FB37" s="80">
        <v>8.2817765520342412</v>
      </c>
      <c r="FC37" s="80">
        <v>6.3317936462369353</v>
      </c>
      <c r="FD37" s="80">
        <v>6.4108983411830351</v>
      </c>
      <c r="FE37" s="80">
        <v>3.7789887577884569</v>
      </c>
      <c r="FF37" s="80">
        <v>3.2847828216462425</v>
      </c>
      <c r="FG37" s="80">
        <v>3.165667576576233</v>
      </c>
      <c r="FH37" s="80">
        <v>7.0478185068430399</v>
      </c>
      <c r="FI37" s="80">
        <v>5.6378106011462945</v>
      </c>
      <c r="FJ37" s="80">
        <v>4.4347113605871193</v>
      </c>
      <c r="FK37" s="80">
        <v>7.7976090773530586</v>
      </c>
      <c r="FL37" s="80">
        <v>5.5047271526802408</v>
      </c>
      <c r="FM37" s="80">
        <v>7.0334895308838945</v>
      </c>
      <c r="FN37" s="80">
        <v>7.1501818178289307</v>
      </c>
      <c r="FO37" s="80">
        <v>7.0216260711030776</v>
      </c>
      <c r="FP37" s="80">
        <v>7.4968281529280656</v>
      </c>
      <c r="FQ37" s="80">
        <v>5.7297309993469829</v>
      </c>
      <c r="FR37" s="80">
        <v>8.0499326017916903</v>
      </c>
      <c r="FS37" s="80">
        <v>8.3099888157000752</v>
      </c>
      <c r="FT37" s="80">
        <v>8.1882332911482028</v>
      </c>
      <c r="FU37" s="80">
        <v>7.5209462197016688</v>
      </c>
      <c r="FV37" s="80">
        <v>7.3757040292849352</v>
      </c>
      <c r="FW37" s="80">
        <v>9.0401345561139941</v>
      </c>
      <c r="FX37" s="80">
        <v>8.8563745822418838</v>
      </c>
      <c r="FY37" s="80">
        <v>5.5472377651847289</v>
      </c>
      <c r="FZ37" s="80">
        <v>7.467443056714826</v>
      </c>
      <c r="GA37" s="80">
        <v>7.5832612322090212</v>
      </c>
      <c r="GB37" s="80">
        <v>6.4299644761003609</v>
      </c>
      <c r="GC37" s="80">
        <v>6.9441072938961952</v>
      </c>
      <c r="GD37" s="80">
        <v>5.750840711068526</v>
      </c>
      <c r="GE37" s="80">
        <v>7.5952077091776076</v>
      </c>
      <c r="GF37" s="80">
        <v>5.6442118764144489</v>
      </c>
      <c r="GG37" s="80">
        <v>6.3472147856566794</v>
      </c>
      <c r="GH37" s="80">
        <v>5.8779573578425337</v>
      </c>
      <c r="GI37" s="80">
        <v>5.5476334973099002</v>
      </c>
      <c r="GJ37" s="80">
        <v>5.7207451728173302</v>
      </c>
      <c r="GK37" s="80">
        <v>6.8572613100328317</v>
      </c>
      <c r="GL37" s="80">
        <v>7.8907237057175141</v>
      </c>
      <c r="GM37" s="80">
        <v>6.9464444912879539</v>
      </c>
      <c r="GN37" s="80">
        <v>5.9308086292132511</v>
      </c>
      <c r="GO37" s="80">
        <v>6.3324846567466366</v>
      </c>
      <c r="GP37" s="80">
        <v>3.9537094708434055</v>
      </c>
      <c r="GQ37" s="80">
        <v>6.4504936359402185</v>
      </c>
      <c r="GR37" s="80">
        <v>7.8541456129317178</v>
      </c>
      <c r="GS37" s="80">
        <v>5.7096622216055897</v>
      </c>
      <c r="GT37" s="80">
        <v>4.8258221443873008</v>
      </c>
      <c r="GU37" s="80">
        <v>5.0995808368377515</v>
      </c>
      <c r="GV37" s="80">
        <v>4.7559579165211217</v>
      </c>
      <c r="GW37" s="80">
        <v>4.629749560154405</v>
      </c>
      <c r="GX37" s="80">
        <v>6.0659912395650348</v>
      </c>
      <c r="GY37" s="80">
        <v>6.0755406729743795</v>
      </c>
      <c r="GZ37" s="80">
        <v>8.5833858746545335</v>
      </c>
      <c r="HA37" s="80">
        <v>7.115984870214807</v>
      </c>
      <c r="HB37" s="80">
        <v>5.9763214021500577</v>
      </c>
      <c r="HC37" s="80">
        <v>8.9647619785740531</v>
      </c>
      <c r="HD37" s="80">
        <v>6.9380016754842604</v>
      </c>
      <c r="HE37" s="80">
        <v>4.9962884853948255</v>
      </c>
      <c r="HF37" s="80">
        <v>6.2976203326248577</v>
      </c>
      <c r="HG37" s="80">
        <v>6.5918140090123059</v>
      </c>
      <c r="HH37" s="80">
        <v>6.1931949006965024</v>
      </c>
      <c r="HI37" s="80">
        <v>6.6344084551462092</v>
      </c>
      <c r="HJ37" s="80">
        <v>6.2527265914986998</v>
      </c>
      <c r="HK37" s="80">
        <v>3.6954093161544299</v>
      </c>
      <c r="HL37" s="80">
        <v>8.5095366648243047</v>
      </c>
      <c r="HM37" s="80">
        <v>6.821856802542106</v>
      </c>
      <c r="HN37" s="80">
        <v>8.1791269268492997</v>
      </c>
      <c r="HO37" s="80">
        <v>6.5057808621357571</v>
      </c>
      <c r="HP37" s="80">
        <v>6.0353220379997801</v>
      </c>
      <c r="HQ37" s="80">
        <v>5.9116279946941344</v>
      </c>
      <c r="HR37" s="80">
        <v>11.4072</v>
      </c>
      <c r="HS37" s="80">
        <v>14.6706</v>
      </c>
      <c r="HT37" s="80">
        <v>17.264372074694201</v>
      </c>
      <c r="HU37" s="80">
        <v>8.7643296843369196</v>
      </c>
      <c r="HV37" s="80">
        <v>9.4458092991970801</v>
      </c>
      <c r="HW37" s="80">
        <v>16.286429578506802</v>
      </c>
      <c r="HX37" s="80">
        <v>14.098623480114</v>
      </c>
      <c r="HY37" s="80">
        <v>13.475551142252799</v>
      </c>
      <c r="HZ37" s="80">
        <v>12.1962944461213</v>
      </c>
      <c r="IA37" s="80">
        <v>7.5537817772701201</v>
      </c>
      <c r="IB37" s="80">
        <v>6.97249000346791</v>
      </c>
      <c r="IC37" s="80">
        <v>6.3259777348528399</v>
      </c>
      <c r="ID37" s="80">
        <v>7.0113300183411198</v>
      </c>
      <c r="IE37" s="80">
        <v>6.0739070563159201</v>
      </c>
      <c r="IF37" s="80">
        <v>7.9731459458387102</v>
      </c>
      <c r="IG37" s="80">
        <v>7.18830673910053</v>
      </c>
      <c r="IH37" s="80">
        <v>7.71824535665779</v>
      </c>
      <c r="II37" s="80">
        <v>6.5458294266811397</v>
      </c>
      <c r="IJ37" s="80">
        <v>5.4981527544455799</v>
      </c>
      <c r="IK37" s="80">
        <v>6.24441753956153</v>
      </c>
      <c r="IL37" s="80">
        <v>3.7669538379692802</v>
      </c>
      <c r="IM37" s="80">
        <v>7.8936516877524703</v>
      </c>
      <c r="IN37" s="80">
        <v>3.6115259806884001</v>
      </c>
      <c r="IO37" s="80">
        <v>4.4432217441507902</v>
      </c>
      <c r="IP37" s="80">
        <v>3.8077782471911199</v>
      </c>
      <c r="IQ37" s="80">
        <v>3.8363790709802799</v>
      </c>
      <c r="IR37" s="80">
        <v>3.4964475084327602</v>
      </c>
      <c r="IS37" s="80">
        <v>3.7924305880917299</v>
      </c>
      <c r="IT37" s="80">
        <v>4.7637932084322898</v>
      </c>
      <c r="IU37" s="80">
        <v>3.9745944043702899</v>
      </c>
      <c r="IV37" s="80">
        <v>5.3807347233118099</v>
      </c>
      <c r="IW37" s="80">
        <v>5.3918171058184301</v>
      </c>
      <c r="IX37" s="80">
        <v>5.4183589902649496</v>
      </c>
      <c r="IY37" s="80">
        <v>4.2619371211972998</v>
      </c>
      <c r="IZ37" s="80">
        <v>4.5920858032464</v>
      </c>
      <c r="JA37" s="80">
        <v>2.2798939524264199</v>
      </c>
      <c r="JB37" s="80">
        <v>3.6341569133553402</v>
      </c>
      <c r="JC37" s="80">
        <v>3.8413145825129198</v>
      </c>
      <c r="JD37" s="80">
        <v>4.5572845205846697</v>
      </c>
      <c r="JE37" s="80">
        <v>3.4388421271020699</v>
      </c>
      <c r="JF37" s="80">
        <v>3.4785481417484401</v>
      </c>
      <c r="JG37" s="80">
        <v>3.5086279141555399</v>
      </c>
      <c r="JH37" s="80">
        <v>4.09985067508123</v>
      </c>
      <c r="JI37" s="80">
        <v>3.6184753671472598</v>
      </c>
      <c r="JJ37" s="80">
        <v>3.6422161394309298</v>
      </c>
      <c r="JK37" s="80">
        <v>4.3403064344013798</v>
      </c>
      <c r="JL37" s="80">
        <v>3.8373954992847401</v>
      </c>
      <c r="JM37" s="80">
        <v>3.4282086958006999</v>
      </c>
      <c r="JN37" s="80">
        <v>3.84901423348271</v>
      </c>
      <c r="JO37" s="80">
        <v>3.7964993043253301</v>
      </c>
      <c r="JP37" s="80">
        <v>4.8935572916650498</v>
      </c>
      <c r="JQ37" s="80">
        <v>3.8877562177786298</v>
      </c>
      <c r="JR37" s="80">
        <v>5.0015724319189196</v>
      </c>
      <c r="JS37" s="80">
        <v>5.1824585673563597</v>
      </c>
      <c r="JT37" s="80">
        <v>3.7523669867298501</v>
      </c>
      <c r="JU37" s="80">
        <v>4.1040378960185997</v>
      </c>
      <c r="JV37" s="80">
        <v>4.90101327271804</v>
      </c>
      <c r="JW37" s="80">
        <v>3.0611527401427199</v>
      </c>
      <c r="JX37" s="80">
        <v>2.9058434560056701</v>
      </c>
      <c r="JY37" s="80">
        <v>3.2703227719860801</v>
      </c>
      <c r="JZ37" s="80">
        <v>4.1826862319627001</v>
      </c>
      <c r="KA37" s="80">
        <v>5.8389456065044003</v>
      </c>
      <c r="KB37" s="80">
        <v>4.1544901869870099</v>
      </c>
      <c r="KC37" s="80">
        <v>5.41658978493306</v>
      </c>
      <c r="KD37" s="80">
        <v>4.0271365493697999</v>
      </c>
      <c r="KE37" s="80">
        <v>5.9327111514873598</v>
      </c>
      <c r="KF37" s="81">
        <v>6.6619035602560199</v>
      </c>
      <c r="KG37" s="81">
        <v>5.06049240804448</v>
      </c>
      <c r="KH37" s="81">
        <v>5.7993410366150497</v>
      </c>
      <c r="KI37" s="81">
        <v>5.0875464870563398</v>
      </c>
      <c r="KJ37" s="81">
        <v>5.3493471783334501</v>
      </c>
      <c r="KK37" s="81">
        <v>5.4791062584293</v>
      </c>
      <c r="KL37" s="81">
        <v>6.4495455090126503</v>
      </c>
      <c r="KM37" s="81">
        <v>4.5386239783115903</v>
      </c>
      <c r="KN37" s="81">
        <v>5.1521800556537896</v>
      </c>
      <c r="KO37" s="81">
        <v>6.1464945325598697</v>
      </c>
    </row>
    <row r="38" spans="1:303" s="72" customFormat="1" ht="30" customHeight="1">
      <c r="A38" s="124" t="s">
        <v>176</v>
      </c>
      <c r="B38" s="124"/>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125"/>
      <c r="BV38" s="125"/>
      <c r="BW38" s="125"/>
      <c r="BX38" s="125"/>
      <c r="BY38" s="125"/>
      <c r="BZ38" s="125"/>
      <c r="CA38" s="125"/>
      <c r="CB38" s="125"/>
      <c r="CC38" s="125"/>
      <c r="CD38" s="125"/>
      <c r="CE38" s="125"/>
      <c r="CF38" s="125"/>
      <c r="CG38" s="125"/>
      <c r="CH38" s="125"/>
      <c r="CI38" s="125"/>
      <c r="CJ38" s="125"/>
      <c r="CK38" s="125"/>
      <c r="CL38" s="125"/>
      <c r="CM38" s="125"/>
      <c r="CN38" s="125"/>
      <c r="CO38" s="125"/>
      <c r="CP38" s="125"/>
      <c r="CQ38" s="125"/>
      <c r="CR38" s="125"/>
      <c r="CS38" s="125"/>
      <c r="CT38" s="125"/>
      <c r="CU38" s="125"/>
      <c r="CV38" s="125"/>
      <c r="CW38" s="125"/>
      <c r="CX38" s="125"/>
      <c r="CY38" s="125"/>
      <c r="CZ38" s="125"/>
      <c r="DA38" s="125"/>
      <c r="DB38" s="125"/>
      <c r="DC38" s="125"/>
      <c r="DD38" s="125"/>
      <c r="DE38" s="125"/>
      <c r="DF38" s="125"/>
      <c r="DG38" s="125"/>
      <c r="DH38" s="125"/>
      <c r="DI38" s="125"/>
      <c r="DJ38" s="125"/>
      <c r="DK38" s="125"/>
      <c r="DL38" s="125"/>
      <c r="DM38" s="125"/>
      <c r="DN38" s="125"/>
      <c r="DO38" s="125"/>
      <c r="DP38" s="125"/>
      <c r="DQ38" s="125"/>
      <c r="DR38" s="125"/>
      <c r="DS38" s="125"/>
      <c r="DT38" s="125"/>
      <c r="DU38" s="125"/>
      <c r="DV38" s="125"/>
      <c r="DW38" s="125"/>
      <c r="DX38" s="125"/>
      <c r="DY38" s="125"/>
      <c r="DZ38" s="125"/>
      <c r="EA38" s="125"/>
      <c r="EB38" s="125"/>
      <c r="EC38" s="125"/>
      <c r="ED38" s="125"/>
      <c r="EE38" s="125"/>
      <c r="EF38" s="125"/>
      <c r="EG38" s="125"/>
      <c r="EH38" s="125"/>
      <c r="EI38" s="125"/>
      <c r="EJ38" s="125"/>
      <c r="EK38" s="125"/>
      <c r="EL38" s="125"/>
      <c r="EM38" s="125"/>
      <c r="EN38" s="125"/>
      <c r="EO38" s="125"/>
      <c r="EP38" s="125"/>
      <c r="EQ38" s="125"/>
      <c r="ER38" s="125"/>
      <c r="ES38" s="125"/>
      <c r="ET38" s="125"/>
      <c r="EU38" s="125"/>
      <c r="EV38" s="125"/>
      <c r="EW38" s="125"/>
      <c r="EX38" s="125"/>
      <c r="EY38" s="125"/>
      <c r="EZ38" s="125"/>
      <c r="FA38" s="125"/>
      <c r="FB38" s="125"/>
      <c r="FC38" s="125"/>
      <c r="FD38" s="125"/>
      <c r="FE38" s="125"/>
      <c r="FF38" s="125"/>
      <c r="FG38" s="125"/>
      <c r="FH38" s="125"/>
      <c r="FI38" s="125"/>
      <c r="FJ38" s="125"/>
      <c r="FK38" s="125"/>
      <c r="FL38" s="125"/>
      <c r="FM38" s="125"/>
      <c r="FN38" s="125"/>
      <c r="FO38" s="125"/>
      <c r="FP38" s="125"/>
      <c r="FQ38" s="125"/>
      <c r="FR38" s="125"/>
      <c r="FS38" s="125"/>
      <c r="FT38" s="125"/>
      <c r="FU38" s="125"/>
      <c r="FV38" s="125"/>
      <c r="FW38" s="125"/>
      <c r="FX38" s="125"/>
      <c r="FY38" s="125"/>
      <c r="FZ38" s="125"/>
      <c r="GA38" s="125"/>
      <c r="GB38" s="125"/>
      <c r="GC38" s="125"/>
      <c r="GD38" s="125"/>
      <c r="GE38" s="125"/>
      <c r="GF38" s="125"/>
      <c r="GG38" s="125"/>
      <c r="GH38" s="125"/>
      <c r="GI38" s="125"/>
      <c r="GJ38" s="125"/>
      <c r="GK38" s="125"/>
      <c r="GL38" s="125"/>
      <c r="GM38" s="125"/>
      <c r="GN38" s="125"/>
      <c r="GO38" s="125"/>
      <c r="GP38" s="125"/>
      <c r="GQ38" s="125"/>
      <c r="GR38" s="125"/>
      <c r="GS38" s="125"/>
      <c r="GT38" s="125"/>
      <c r="GU38" s="125"/>
      <c r="GV38" s="125"/>
      <c r="GW38" s="125"/>
      <c r="GX38" s="125"/>
      <c r="GY38" s="125"/>
      <c r="GZ38" s="125"/>
      <c r="HA38" s="125"/>
      <c r="HB38" s="125"/>
      <c r="HC38" s="125"/>
      <c r="HD38" s="125"/>
      <c r="HE38" s="125"/>
      <c r="HF38" s="125"/>
      <c r="HG38" s="125"/>
      <c r="HH38" s="125"/>
      <c r="HI38" s="125"/>
      <c r="HJ38" s="125"/>
      <c r="HK38" s="125"/>
      <c r="HL38" s="125"/>
      <c r="HM38" s="125"/>
      <c r="HN38" s="125"/>
      <c r="HO38" s="125"/>
      <c r="HP38" s="125"/>
      <c r="HQ38" s="125"/>
      <c r="HR38" s="125"/>
      <c r="HS38" s="125"/>
      <c r="HT38" s="125"/>
      <c r="HU38" s="125"/>
      <c r="HV38" s="125"/>
      <c r="HW38" s="125"/>
      <c r="HX38" s="125"/>
      <c r="HY38" s="125"/>
      <c r="HZ38" s="125"/>
      <c r="IA38" s="125"/>
      <c r="IB38" s="125"/>
      <c r="IC38" s="125"/>
      <c r="ID38" s="125"/>
      <c r="IE38" s="125"/>
      <c r="IF38" s="125"/>
      <c r="IG38" s="125"/>
      <c r="IH38" s="125"/>
      <c r="II38" s="125"/>
      <c r="IJ38" s="125"/>
      <c r="IK38" s="125"/>
      <c r="IL38" s="125"/>
      <c r="IM38" s="125"/>
      <c r="IN38" s="125"/>
      <c r="IO38" s="125"/>
      <c r="IP38" s="125"/>
      <c r="IQ38" s="125"/>
      <c r="IR38" s="125"/>
      <c r="IS38" s="125"/>
      <c r="IT38" s="125"/>
      <c r="IU38" s="125"/>
      <c r="IV38" s="125"/>
      <c r="IW38" s="125"/>
      <c r="IX38" s="125"/>
      <c r="IY38" s="125"/>
      <c r="IZ38" s="125"/>
      <c r="JA38" s="125"/>
      <c r="JB38" s="125"/>
      <c r="JC38" s="125"/>
      <c r="JD38" s="125"/>
      <c r="JE38" s="125"/>
      <c r="JF38" s="125"/>
      <c r="JG38" s="125"/>
      <c r="JH38" s="125"/>
      <c r="JI38" s="125"/>
      <c r="JJ38" s="125"/>
      <c r="JK38" s="125"/>
      <c r="JL38" s="125"/>
      <c r="JM38" s="125"/>
      <c r="JN38" s="125"/>
      <c r="JO38" s="125"/>
      <c r="JP38" s="125"/>
      <c r="JQ38" s="125"/>
      <c r="JR38" s="125"/>
      <c r="JS38" s="125"/>
      <c r="JT38" s="125"/>
      <c r="JU38" s="125"/>
      <c r="JV38" s="125"/>
      <c r="JW38" s="125"/>
      <c r="JX38" s="125"/>
      <c r="JY38" s="125"/>
      <c r="JZ38" s="125"/>
      <c r="KA38" s="125"/>
      <c r="KB38" s="125"/>
      <c r="KC38" s="125"/>
      <c r="KD38" s="125"/>
      <c r="KE38" s="125"/>
      <c r="KF38" s="217"/>
      <c r="KG38" s="217"/>
      <c r="KH38" s="217"/>
      <c r="KI38" s="217"/>
      <c r="KJ38" s="217"/>
      <c r="KK38" s="217"/>
      <c r="KL38" s="217"/>
      <c r="KM38" s="217"/>
      <c r="KN38" s="217"/>
      <c r="KO38" s="217"/>
    </row>
    <row r="39" spans="1:303" s="98" customFormat="1" ht="18" customHeight="1">
      <c r="A39" s="121" t="s">
        <v>177</v>
      </c>
      <c r="B39" s="121"/>
      <c r="C39" s="122" t="s">
        <v>8</v>
      </c>
      <c r="D39" s="122" t="s">
        <v>8</v>
      </c>
      <c r="E39" s="122" t="s">
        <v>8</v>
      </c>
      <c r="F39" s="122" t="s">
        <v>8</v>
      </c>
      <c r="G39" s="122" t="s">
        <v>8</v>
      </c>
      <c r="H39" s="122" t="s">
        <v>8</v>
      </c>
      <c r="I39" s="122" t="s">
        <v>8</v>
      </c>
      <c r="J39" s="122" t="s">
        <v>8</v>
      </c>
      <c r="K39" s="122" t="s">
        <v>8</v>
      </c>
      <c r="L39" s="122" t="s">
        <v>8</v>
      </c>
      <c r="M39" s="122" t="s">
        <v>8</v>
      </c>
      <c r="N39" s="122" t="s">
        <v>8</v>
      </c>
      <c r="O39" s="122" t="s">
        <v>8</v>
      </c>
      <c r="P39" s="122" t="s">
        <v>8</v>
      </c>
      <c r="Q39" s="122" t="s">
        <v>8</v>
      </c>
      <c r="R39" s="122" t="s">
        <v>8</v>
      </c>
      <c r="S39" s="122" t="s">
        <v>8</v>
      </c>
      <c r="T39" s="122" t="s">
        <v>8</v>
      </c>
      <c r="U39" s="122" t="s">
        <v>8</v>
      </c>
      <c r="V39" s="122" t="s">
        <v>8</v>
      </c>
      <c r="W39" s="122" t="s">
        <v>8</v>
      </c>
      <c r="X39" s="122" t="s">
        <v>8</v>
      </c>
      <c r="Y39" s="122" t="s">
        <v>8</v>
      </c>
      <c r="Z39" s="122" t="s">
        <v>8</v>
      </c>
      <c r="AA39" s="122" t="s">
        <v>8</v>
      </c>
      <c r="AB39" s="122" t="s">
        <v>8</v>
      </c>
      <c r="AC39" s="122" t="s">
        <v>8</v>
      </c>
      <c r="AD39" s="122" t="s">
        <v>8</v>
      </c>
      <c r="AE39" s="122" t="s">
        <v>8</v>
      </c>
      <c r="AF39" s="122" t="s">
        <v>8</v>
      </c>
      <c r="AG39" s="122" t="s">
        <v>8</v>
      </c>
      <c r="AH39" s="122" t="s">
        <v>8</v>
      </c>
      <c r="AI39" s="122" t="s">
        <v>8</v>
      </c>
      <c r="AJ39" s="122" t="s">
        <v>8</v>
      </c>
      <c r="AK39" s="122" t="s">
        <v>8</v>
      </c>
      <c r="AL39" s="122" t="s">
        <v>8</v>
      </c>
      <c r="AM39" s="122" t="s">
        <v>8</v>
      </c>
      <c r="AN39" s="122" t="s">
        <v>8</v>
      </c>
      <c r="AO39" s="122" t="s">
        <v>8</v>
      </c>
      <c r="AP39" s="122" t="s">
        <v>8</v>
      </c>
      <c r="AQ39" s="122" t="s">
        <v>8</v>
      </c>
      <c r="AR39" s="122" t="s">
        <v>8</v>
      </c>
      <c r="AS39" s="123">
        <v>0.63331291750356</v>
      </c>
      <c r="AT39" s="123">
        <v>0.95416399203803992</v>
      </c>
      <c r="AU39" s="123">
        <v>0.76748794709897994</v>
      </c>
      <c r="AV39" s="123">
        <v>0.70390448968127994</v>
      </c>
      <c r="AW39" s="123">
        <v>0.69975383518571999</v>
      </c>
      <c r="AX39" s="123">
        <v>0.66597389248535988</v>
      </c>
      <c r="AY39" s="123">
        <v>0.69526626133959002</v>
      </c>
      <c r="AZ39" s="123">
        <v>0.66381472208639991</v>
      </c>
      <c r="BA39" s="123">
        <v>0.78854162950170015</v>
      </c>
      <c r="BB39" s="123">
        <v>0.61828322799122992</v>
      </c>
      <c r="BC39" s="123">
        <v>0.89673514489645989</v>
      </c>
      <c r="BD39" s="123">
        <v>0.77927485006848007</v>
      </c>
      <c r="BE39" s="123">
        <v>0.87328965201357012</v>
      </c>
      <c r="BF39" s="123">
        <v>0.98810124511083997</v>
      </c>
      <c r="BG39" s="123">
        <v>0.77774860942199997</v>
      </c>
      <c r="BH39" s="123">
        <v>0.85153259553218996</v>
      </c>
      <c r="BI39" s="123">
        <v>0.81288931631819006</v>
      </c>
      <c r="BJ39" s="123">
        <v>0.69224755615059996</v>
      </c>
      <c r="BK39" s="123">
        <v>0.4287127658246252</v>
      </c>
      <c r="BL39" s="123">
        <v>0.80381118489537062</v>
      </c>
      <c r="BM39" s="123">
        <v>0.70844944209944938</v>
      </c>
      <c r="BN39" s="123">
        <v>0.67303618943136867</v>
      </c>
      <c r="BO39" s="123">
        <v>0.89461883883758431</v>
      </c>
      <c r="BP39" s="123">
        <v>0.96131532874180592</v>
      </c>
      <c r="BQ39" s="123">
        <v>0.74523710269879229</v>
      </c>
      <c r="BR39" s="123">
        <v>0.87657318450013955</v>
      </c>
      <c r="BS39" s="123">
        <v>0.73505474118950354</v>
      </c>
      <c r="BT39" s="123">
        <v>0.76760742143384442</v>
      </c>
      <c r="BU39" s="123">
        <v>0.73424025596120324</v>
      </c>
      <c r="BV39" s="123">
        <v>0.78294978831707984</v>
      </c>
      <c r="BW39" s="123">
        <v>0.84406914093003271</v>
      </c>
      <c r="BX39" s="123">
        <v>0.71021223862526062</v>
      </c>
      <c r="BY39" s="123">
        <v>0.79669883625448878</v>
      </c>
      <c r="BZ39" s="123">
        <v>0.77920480238855927</v>
      </c>
      <c r="CA39" s="123">
        <v>0.80875790883970744</v>
      </c>
      <c r="CB39" s="123">
        <v>0.82748570419586553</v>
      </c>
      <c r="CC39" s="123">
        <v>0.97446009002983336</v>
      </c>
      <c r="CD39" s="123">
        <v>0.90558592202303623</v>
      </c>
      <c r="CE39" s="123">
        <v>0.8074764542898748</v>
      </c>
      <c r="CF39" s="123">
        <v>0.83840212053261254</v>
      </c>
      <c r="CG39" s="123">
        <v>0.91505581435572625</v>
      </c>
      <c r="CH39" s="123">
        <v>0.92448243027380883</v>
      </c>
      <c r="CI39" s="123">
        <v>0.81016117756335615</v>
      </c>
      <c r="CJ39" s="123">
        <v>0.83303781303846747</v>
      </c>
      <c r="CK39" s="123">
        <v>1.0064095851088861</v>
      </c>
      <c r="CL39" s="123">
        <v>0.92843266669203406</v>
      </c>
      <c r="CM39" s="123">
        <v>0.83643066581762893</v>
      </c>
      <c r="CN39" s="123">
        <v>0.86448200872738457</v>
      </c>
      <c r="CO39" s="123">
        <v>0.70304239722805495</v>
      </c>
      <c r="CP39" s="123">
        <v>1.1240037627403205</v>
      </c>
      <c r="CQ39" s="123">
        <v>0.94597999179168879</v>
      </c>
      <c r="CR39" s="123">
        <v>0.77824084063093557</v>
      </c>
      <c r="CS39" s="123">
        <v>0.59020669192762121</v>
      </c>
      <c r="CT39" s="123">
        <v>0.72140707823963568</v>
      </c>
      <c r="CU39" s="123">
        <v>0.8114545158352785</v>
      </c>
      <c r="CV39" s="123">
        <v>0.71076628898896466</v>
      </c>
      <c r="CW39" s="123">
        <v>0.65103839499920058</v>
      </c>
      <c r="CX39" s="123">
        <v>0.87421606343665104</v>
      </c>
      <c r="CY39" s="123">
        <v>0.83542972040529417</v>
      </c>
      <c r="CZ39" s="123">
        <v>0.58205301023672074</v>
      </c>
      <c r="DA39" s="123">
        <v>0.72904957446422092</v>
      </c>
      <c r="DB39" s="123">
        <v>0.8579304094661977</v>
      </c>
      <c r="DC39" s="123">
        <v>0.9117322018576669</v>
      </c>
      <c r="DD39" s="123">
        <v>0.93321291938365192</v>
      </c>
      <c r="DE39" s="123">
        <v>0.78398026024706458</v>
      </c>
      <c r="DF39" s="123">
        <v>0.91184532581171063</v>
      </c>
      <c r="DG39" s="123">
        <v>0.75225339065349539</v>
      </c>
      <c r="DH39" s="123">
        <v>0.76370951235040052</v>
      </c>
      <c r="DI39" s="123">
        <v>0.79696381911713643</v>
      </c>
      <c r="DJ39" s="123">
        <v>0.72832781936929092</v>
      </c>
      <c r="DK39" s="123">
        <v>0.9944422563552453</v>
      </c>
      <c r="DL39" s="123">
        <v>1.0110863869528466</v>
      </c>
      <c r="DM39" s="123">
        <v>0.64591511174271932</v>
      </c>
      <c r="DN39" s="123">
        <v>0.9533069167258551</v>
      </c>
      <c r="DO39" s="123">
        <v>0.89832797866368175</v>
      </c>
      <c r="DP39" s="123">
        <v>0.92029709884441746</v>
      </c>
      <c r="DQ39" s="123">
        <v>0.86342670741260719</v>
      </c>
      <c r="DR39" s="123">
        <v>0.81017763538373233</v>
      </c>
      <c r="DS39" s="123">
        <v>0.89446450776516273</v>
      </c>
      <c r="DT39" s="123">
        <v>0.7805538410856655</v>
      </c>
      <c r="DU39" s="123">
        <v>0.83666333852348407</v>
      </c>
      <c r="DV39" s="123">
        <v>0.7751757491272252</v>
      </c>
      <c r="DW39" s="123">
        <v>0.93117661051449196</v>
      </c>
      <c r="DX39" s="123">
        <v>0.99166550840620771</v>
      </c>
      <c r="DY39" s="123">
        <v>0.82894560427889019</v>
      </c>
      <c r="DZ39" s="123">
        <v>1.0390716021675401</v>
      </c>
      <c r="EA39" s="123">
        <v>0.72706556518508092</v>
      </c>
      <c r="EB39" s="123">
        <v>0.81453252141475796</v>
      </c>
      <c r="EC39" s="123">
        <v>0.73961561329138015</v>
      </c>
      <c r="ED39" s="123">
        <v>0.88727446643951524</v>
      </c>
      <c r="EE39" s="123">
        <v>0.80369974816400225</v>
      </c>
      <c r="EF39" s="123">
        <v>0.73255147872489257</v>
      </c>
      <c r="EG39" s="123">
        <v>0.71519554402524665</v>
      </c>
      <c r="EH39" s="123">
        <v>0.65639342356742691</v>
      </c>
      <c r="EI39" s="123">
        <v>0.78004828824234329</v>
      </c>
      <c r="EJ39" s="123">
        <v>0.70955943173346914</v>
      </c>
      <c r="EK39" s="123">
        <v>0.63328978659956159</v>
      </c>
      <c r="EL39" s="123">
        <v>0.74010403515601064</v>
      </c>
      <c r="EM39" s="123">
        <v>0.72800433499498551</v>
      </c>
      <c r="EN39" s="123">
        <v>0.78950907507050438</v>
      </c>
      <c r="EO39" s="123">
        <v>0.65689976579031939</v>
      </c>
      <c r="EP39" s="123">
        <v>0.86327877933162867</v>
      </c>
      <c r="EQ39" s="123">
        <v>0.9242185957359238</v>
      </c>
      <c r="ER39" s="123">
        <v>0.6123887121830881</v>
      </c>
      <c r="ES39" s="123">
        <v>0.70832099441542051</v>
      </c>
      <c r="ET39" s="123">
        <v>0.69511245313675041</v>
      </c>
      <c r="EU39" s="123">
        <v>0.64213441458117348</v>
      </c>
      <c r="EV39" s="123">
        <v>0.75022254518613207</v>
      </c>
      <c r="EW39" s="123">
        <v>0.73476420153371202</v>
      </c>
      <c r="EX39" s="123">
        <v>0.74286832770977707</v>
      </c>
      <c r="EY39" s="123">
        <v>0.75375853460685949</v>
      </c>
      <c r="EZ39" s="123">
        <v>0.68449887676319043</v>
      </c>
      <c r="FA39" s="123">
        <v>0.56379240884536963</v>
      </c>
      <c r="FB39" s="123">
        <v>0.59782526752026233</v>
      </c>
      <c r="FC39" s="123">
        <v>0.64940411432294198</v>
      </c>
      <c r="FD39" s="123">
        <v>0.68017510119958269</v>
      </c>
      <c r="FE39" s="123">
        <v>0.70414452555544238</v>
      </c>
      <c r="FF39" s="123">
        <v>0.70097721502141208</v>
      </c>
      <c r="FG39" s="123">
        <v>0.77432897729096573</v>
      </c>
      <c r="FH39" s="123">
        <v>0.54245172017630372</v>
      </c>
      <c r="FI39" s="123">
        <v>0.62999935466350832</v>
      </c>
      <c r="FJ39" s="123">
        <v>0.70466952879081279</v>
      </c>
      <c r="FK39" s="123">
        <v>0.80542722490068774</v>
      </c>
      <c r="FL39" s="123">
        <v>0.62407806675117183</v>
      </c>
      <c r="FM39" s="123">
        <v>0.70792606778394829</v>
      </c>
      <c r="FN39" s="123">
        <v>0.59134634181434009</v>
      </c>
      <c r="FO39" s="123">
        <v>0.61862105704030979</v>
      </c>
      <c r="FP39" s="123">
        <v>0.64611203229870395</v>
      </c>
      <c r="FQ39" s="123">
        <v>0.71820407444544754</v>
      </c>
      <c r="FR39" s="123">
        <v>0.7134716680769031</v>
      </c>
      <c r="FS39" s="123">
        <v>0.7432738611138151</v>
      </c>
      <c r="FT39" s="123">
        <v>0.62411346933656364</v>
      </c>
      <c r="FU39" s="123">
        <v>0.6738250396817792</v>
      </c>
      <c r="FV39" s="123">
        <v>0.84699871533321258</v>
      </c>
      <c r="FW39" s="123">
        <v>0.74517625571263912</v>
      </c>
      <c r="FX39" s="123">
        <v>0.763888317992375</v>
      </c>
      <c r="FY39" s="123">
        <v>0.66598342338558192</v>
      </c>
      <c r="FZ39" s="123">
        <v>0.73269570705415299</v>
      </c>
      <c r="GA39" s="123">
        <v>0.80976552646897482</v>
      </c>
      <c r="GB39" s="123">
        <v>0.67390004685293303</v>
      </c>
      <c r="GC39" s="123">
        <v>0.72278351408759445</v>
      </c>
      <c r="GD39" s="123">
        <v>0.68738027406311175</v>
      </c>
      <c r="GE39" s="123">
        <v>0.77264662720385813</v>
      </c>
      <c r="GF39" s="123">
        <v>0.71812613621781363</v>
      </c>
      <c r="GG39" s="123">
        <v>0.5482295258221157</v>
      </c>
      <c r="GH39" s="123">
        <v>0.87481454063096942</v>
      </c>
      <c r="GI39" s="123">
        <v>0.74230990964748633</v>
      </c>
      <c r="GJ39" s="123">
        <v>0.64242981165307833</v>
      </c>
      <c r="GK39" s="123">
        <v>0.66410116107689454</v>
      </c>
      <c r="GL39" s="123">
        <v>0.5123794157822168</v>
      </c>
      <c r="GM39" s="123">
        <v>0.62572448464001829</v>
      </c>
      <c r="GN39" s="123">
        <v>0.51302127800147945</v>
      </c>
      <c r="GO39" s="123">
        <v>0.4919123586458693</v>
      </c>
      <c r="GP39" s="123">
        <v>0.60323517225884327</v>
      </c>
      <c r="GQ39" s="123">
        <v>0.72068101569963405</v>
      </c>
      <c r="GR39" s="123">
        <v>0.64798646449329955</v>
      </c>
      <c r="GS39" s="123">
        <v>0.58528984748620971</v>
      </c>
      <c r="GT39" s="123">
        <v>0.73832522639933051</v>
      </c>
      <c r="GU39" s="123">
        <v>0.71043761005827277</v>
      </c>
      <c r="GV39" s="123">
        <v>0.62278334963872095</v>
      </c>
      <c r="GW39" s="123">
        <v>0.5873463258391588</v>
      </c>
      <c r="GX39" s="123">
        <v>0.60947229942830505</v>
      </c>
      <c r="GY39" s="123">
        <v>0.61948448573777204</v>
      </c>
      <c r="GZ39" s="123">
        <v>0.56777264074270928</v>
      </c>
      <c r="HA39" s="123">
        <v>0.65466080045099106</v>
      </c>
      <c r="HB39" s="123">
        <v>0.57555005827103012</v>
      </c>
      <c r="HC39" s="123">
        <v>0.75048864248099689</v>
      </c>
      <c r="HD39" s="123">
        <v>0.62522693151614828</v>
      </c>
      <c r="HE39" s="123">
        <v>0.82479604538090368</v>
      </c>
      <c r="HF39" s="123">
        <v>0.78766860850965559</v>
      </c>
      <c r="HG39" s="123">
        <v>0.76792221939309913</v>
      </c>
      <c r="HH39" s="123">
        <v>0.79640397999949586</v>
      </c>
      <c r="HI39" s="123">
        <v>0.63311632270618812</v>
      </c>
      <c r="HJ39" s="123">
        <v>0.60306633816181532</v>
      </c>
      <c r="HK39" s="123">
        <v>0.74391418888903516</v>
      </c>
      <c r="HL39" s="123">
        <v>0.7579761891247746</v>
      </c>
      <c r="HM39" s="123">
        <v>0.79579310218099242</v>
      </c>
      <c r="HN39" s="123">
        <v>0.67725794404381101</v>
      </c>
      <c r="HO39" s="123">
        <v>0.72608393293563445</v>
      </c>
      <c r="HP39" s="123">
        <v>0.53927461962623724</v>
      </c>
      <c r="HQ39" s="123">
        <v>0.46651803893830962</v>
      </c>
      <c r="HR39" s="123">
        <v>0.61703295191999996</v>
      </c>
      <c r="HS39" s="123">
        <v>0.38499869366000006</v>
      </c>
      <c r="HT39" s="123">
        <v>0.18782455932556694</v>
      </c>
      <c r="HU39" s="123">
        <v>0.22703193606533292</v>
      </c>
      <c r="HV39" s="123">
        <v>0.16754476913454261</v>
      </c>
      <c r="HW39" s="123">
        <v>0.13939467423627952</v>
      </c>
      <c r="HX39" s="123">
        <v>0.17614762807412196</v>
      </c>
      <c r="HY39" s="123">
        <v>0.16584418732774447</v>
      </c>
      <c r="HZ39" s="123">
        <v>0.1942554510293748</v>
      </c>
      <c r="IA39" s="123">
        <v>0.25973226877594685</v>
      </c>
      <c r="IB39" s="123">
        <v>0.18935628948723912</v>
      </c>
      <c r="IC39" s="123">
        <v>0.23627859088055614</v>
      </c>
      <c r="ID39" s="123">
        <v>0.2865413056590318</v>
      </c>
      <c r="IE39" s="123">
        <v>0.51937843957875507</v>
      </c>
      <c r="IF39" s="123">
        <v>0.38793463451199506</v>
      </c>
      <c r="IG39" s="123">
        <v>0.31264893877050093</v>
      </c>
      <c r="IH39" s="123">
        <v>0.30856971059467558</v>
      </c>
      <c r="II39" s="123">
        <v>0.35220201022926084</v>
      </c>
      <c r="IJ39" s="123">
        <v>0.29133175627127605</v>
      </c>
      <c r="IK39" s="123">
        <v>0.28390445783262108</v>
      </c>
      <c r="IL39" s="123">
        <v>0.31242266617531977</v>
      </c>
      <c r="IM39" s="123">
        <v>0.44694362543246557</v>
      </c>
      <c r="IN39" s="123">
        <v>0.4938341643089767</v>
      </c>
      <c r="IO39" s="123">
        <v>0.36762462136713026</v>
      </c>
      <c r="IP39" s="123">
        <v>0.54457434301365093</v>
      </c>
      <c r="IQ39" s="123">
        <v>0.45080366952166201</v>
      </c>
      <c r="IR39" s="123">
        <v>0.44237110170565985</v>
      </c>
      <c r="IS39" s="123">
        <v>0.37014495871227832</v>
      </c>
      <c r="IT39" s="123">
        <v>0.55192479954988727</v>
      </c>
      <c r="IU39" s="123">
        <v>0.52765106745380552</v>
      </c>
      <c r="IV39" s="123">
        <v>0.44488490097147926</v>
      </c>
      <c r="IW39" s="123">
        <v>0.43806694711272265</v>
      </c>
      <c r="IX39" s="123">
        <v>0.52689064097298077</v>
      </c>
      <c r="IY39" s="123">
        <v>0.56011677747658817</v>
      </c>
      <c r="IZ39" s="123">
        <v>0.47669856541524203</v>
      </c>
      <c r="JA39" s="123">
        <v>0.45832663379399818</v>
      </c>
      <c r="JB39" s="123">
        <v>0.60214349060209627</v>
      </c>
      <c r="JC39" s="123">
        <v>0.48701303289956988</v>
      </c>
      <c r="JD39" s="123">
        <v>0.51302401344129267</v>
      </c>
      <c r="JE39" s="123">
        <v>0.50292762586025763</v>
      </c>
      <c r="JF39" s="123">
        <v>0.43516315308985332</v>
      </c>
      <c r="JG39" s="123">
        <v>0.57595779302696903</v>
      </c>
      <c r="JH39" s="123">
        <v>0.47856017103324106</v>
      </c>
      <c r="JI39" s="123">
        <v>0.49398779846350044</v>
      </c>
      <c r="JJ39" s="123">
        <v>0.6715913429921766</v>
      </c>
      <c r="JK39" s="123">
        <v>0.77973761906980799</v>
      </c>
      <c r="JL39" s="123">
        <v>0.74459767397709753</v>
      </c>
      <c r="JM39" s="123">
        <v>0.54801249561896059</v>
      </c>
      <c r="JN39" s="123">
        <v>0.70305308129064525</v>
      </c>
      <c r="JO39" s="123">
        <v>0.62389754425795163</v>
      </c>
      <c r="JP39" s="123">
        <v>0.51420384135995933</v>
      </c>
      <c r="JQ39" s="123">
        <v>0.50797000011336468</v>
      </c>
      <c r="JR39" s="123">
        <v>0.38267739937302475</v>
      </c>
      <c r="JS39" s="123">
        <v>0.49098793315625899</v>
      </c>
      <c r="JT39" s="123">
        <v>0.41789343499880788</v>
      </c>
      <c r="JU39" s="123">
        <v>0.46539874998311709</v>
      </c>
      <c r="JV39" s="123">
        <v>0.39485679030231391</v>
      </c>
      <c r="JW39" s="123">
        <v>0.4857563898002511</v>
      </c>
      <c r="JX39" s="123">
        <v>0.56166108674938675</v>
      </c>
      <c r="JY39" s="123">
        <v>0.56930285209208875</v>
      </c>
      <c r="JZ39" s="123">
        <v>0.60483671946567019</v>
      </c>
      <c r="KA39" s="123">
        <v>0.60910857199129187</v>
      </c>
      <c r="KB39" s="123">
        <v>0.56817190391592021</v>
      </c>
      <c r="KC39" s="123">
        <v>0.49949214540967263</v>
      </c>
      <c r="KD39" s="123">
        <v>0.64477450040447015</v>
      </c>
      <c r="KE39" s="123">
        <v>0.59356908965893451</v>
      </c>
      <c r="KF39" s="218">
        <v>0.69446478613116303</v>
      </c>
      <c r="KG39" s="218">
        <v>0.66382576440506269</v>
      </c>
      <c r="KH39" s="218">
        <v>0.60197813165510627</v>
      </c>
      <c r="KI39" s="218">
        <v>0.77741037869693119</v>
      </c>
      <c r="KJ39" s="218">
        <v>0.6382922112896775</v>
      </c>
      <c r="KK39" s="218">
        <v>0.59373891121234978</v>
      </c>
      <c r="KL39" s="218">
        <v>0.8450698541489885</v>
      </c>
      <c r="KM39" s="218">
        <v>0.69021934658336181</v>
      </c>
      <c r="KN39" s="218">
        <v>0.63742201419228905</v>
      </c>
      <c r="KO39" s="218">
        <v>0.6138548436971617</v>
      </c>
      <c r="KP39" s="126"/>
      <c r="KQ39" s="126"/>
    </row>
    <row r="40" spans="1:303" s="102" customFormat="1" ht="21.75" customHeight="1">
      <c r="A40" s="99"/>
      <c r="B40" s="100"/>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c r="BC40" s="101"/>
      <c r="BD40" s="101"/>
      <c r="BE40" s="101"/>
      <c r="BF40" s="101"/>
      <c r="BG40" s="101"/>
      <c r="BH40" s="101"/>
      <c r="BI40" s="101"/>
      <c r="BJ40" s="101"/>
      <c r="BK40" s="101"/>
      <c r="BL40" s="101"/>
      <c r="BM40" s="101"/>
      <c r="BN40" s="101"/>
      <c r="BO40" s="101"/>
      <c r="BP40" s="101"/>
      <c r="BQ40" s="101"/>
      <c r="BR40" s="101"/>
      <c r="BS40" s="101"/>
      <c r="BT40" s="101"/>
      <c r="BU40" s="101"/>
      <c r="BV40" s="101"/>
      <c r="BW40" s="101"/>
      <c r="BX40" s="101"/>
      <c r="BY40" s="101"/>
      <c r="BZ40" s="101"/>
      <c r="CA40" s="101"/>
      <c r="CB40" s="101"/>
      <c r="CC40" s="101"/>
      <c r="CD40" s="101"/>
      <c r="CE40" s="101"/>
      <c r="CF40" s="101"/>
      <c r="CG40" s="101"/>
      <c r="CH40" s="101"/>
      <c r="CI40" s="101"/>
      <c r="CJ40" s="101"/>
      <c r="CK40" s="101"/>
      <c r="CL40" s="101"/>
      <c r="CM40" s="101"/>
      <c r="CN40" s="101"/>
      <c r="CO40" s="101"/>
      <c r="CP40" s="101"/>
      <c r="CQ40" s="101"/>
      <c r="CR40" s="101"/>
      <c r="CS40" s="101"/>
      <c r="CT40" s="101"/>
      <c r="CU40" s="101"/>
      <c r="CV40" s="101"/>
      <c r="CW40" s="101"/>
      <c r="CX40" s="101"/>
      <c r="CY40" s="101"/>
      <c r="CZ40" s="101"/>
      <c r="DA40" s="101"/>
      <c r="DB40" s="101"/>
      <c r="DC40" s="101"/>
      <c r="DD40" s="101"/>
      <c r="DE40" s="101"/>
      <c r="DF40" s="101"/>
      <c r="DG40" s="101"/>
      <c r="DH40" s="101"/>
      <c r="DI40" s="101"/>
      <c r="DJ40" s="101"/>
      <c r="DK40" s="101"/>
      <c r="DL40" s="101"/>
      <c r="DM40" s="101"/>
      <c r="DN40" s="101"/>
      <c r="DO40" s="101"/>
      <c r="DP40" s="101"/>
      <c r="DQ40" s="101"/>
      <c r="DR40" s="101"/>
      <c r="DS40" s="101"/>
      <c r="DT40" s="101"/>
      <c r="DU40" s="101"/>
      <c r="DV40" s="101"/>
      <c r="DW40" s="101"/>
      <c r="DX40" s="101"/>
      <c r="DY40" s="101"/>
      <c r="DZ40" s="101"/>
      <c r="EA40" s="101"/>
      <c r="EB40" s="101"/>
      <c r="EC40" s="101"/>
      <c r="ED40" s="101"/>
      <c r="EE40" s="101"/>
      <c r="EF40" s="101"/>
      <c r="EG40" s="101"/>
      <c r="EH40" s="101"/>
      <c r="EI40" s="101"/>
      <c r="EJ40" s="101"/>
      <c r="EK40" s="101"/>
      <c r="EL40" s="101"/>
      <c r="EM40" s="101"/>
      <c r="EN40" s="101"/>
      <c r="EO40" s="101"/>
      <c r="EP40" s="101"/>
      <c r="EQ40" s="101"/>
      <c r="ER40" s="101"/>
      <c r="ES40" s="101"/>
      <c r="ET40" s="101"/>
      <c r="EU40" s="101"/>
      <c r="EV40" s="101"/>
      <c r="EW40" s="101"/>
      <c r="EX40" s="101"/>
      <c r="EY40" s="101"/>
      <c r="EZ40" s="101"/>
      <c r="FA40" s="101"/>
      <c r="FB40" s="101"/>
      <c r="FC40" s="101"/>
      <c r="FD40" s="101"/>
      <c r="FE40" s="101"/>
      <c r="FF40" s="101"/>
      <c r="FG40" s="101"/>
      <c r="FH40" s="101"/>
      <c r="FI40" s="101"/>
      <c r="FJ40" s="101"/>
      <c r="FK40" s="101"/>
      <c r="FL40" s="101"/>
      <c r="FM40" s="101"/>
      <c r="FN40" s="101"/>
      <c r="FO40" s="101"/>
      <c r="FP40" s="101"/>
      <c r="FQ40" s="101"/>
      <c r="FR40" s="101"/>
      <c r="FS40" s="101"/>
      <c r="FT40" s="101"/>
      <c r="FU40" s="101"/>
      <c r="FV40" s="101"/>
      <c r="FW40" s="101"/>
      <c r="FX40" s="101"/>
      <c r="FY40" s="101"/>
      <c r="FZ40" s="101"/>
      <c r="GA40" s="101"/>
      <c r="GB40" s="101"/>
      <c r="GC40" s="101"/>
      <c r="GD40" s="101"/>
      <c r="GE40" s="101"/>
      <c r="GF40" s="101"/>
      <c r="GG40" s="101"/>
      <c r="GH40" s="101"/>
      <c r="GI40" s="101"/>
      <c r="GJ40" s="101"/>
      <c r="GK40" s="101"/>
      <c r="GL40" s="101"/>
      <c r="GM40" s="101"/>
      <c r="GN40" s="101"/>
      <c r="GO40" s="101"/>
      <c r="GP40" s="101"/>
      <c r="GQ40" s="101"/>
      <c r="GR40" s="101"/>
      <c r="GS40" s="101"/>
      <c r="GT40" s="101"/>
      <c r="GU40" s="101"/>
      <c r="GV40" s="101"/>
      <c r="GW40" s="101"/>
      <c r="GX40" s="101"/>
      <c r="GY40" s="101"/>
      <c r="GZ40" s="101"/>
      <c r="HA40" s="101"/>
      <c r="HB40" s="101"/>
      <c r="HC40" s="101"/>
      <c r="HD40" s="101"/>
      <c r="HE40" s="101"/>
      <c r="HF40" s="101"/>
      <c r="HG40" s="101"/>
      <c r="HH40" s="101"/>
      <c r="HI40" s="101"/>
      <c r="HJ40" s="101"/>
      <c r="HK40" s="101"/>
      <c r="HL40" s="101"/>
      <c r="HM40" s="101"/>
      <c r="HN40" s="101"/>
      <c r="HO40" s="101"/>
      <c r="HP40" s="101"/>
      <c r="HQ40" s="101"/>
      <c r="HR40" s="101"/>
      <c r="HS40" s="101"/>
      <c r="HT40" s="101"/>
      <c r="HU40" s="101"/>
      <c r="HV40" s="101"/>
      <c r="HW40" s="101"/>
      <c r="HX40" s="101"/>
      <c r="HY40" s="101"/>
      <c r="HZ40" s="101"/>
      <c r="IA40" s="101"/>
      <c r="IB40" s="101"/>
      <c r="IC40" s="101"/>
      <c r="ID40" s="101"/>
      <c r="IE40" s="101"/>
      <c r="IF40" s="101"/>
      <c r="IG40" s="101"/>
      <c r="IH40" s="101"/>
      <c r="II40" s="101"/>
      <c r="IJ40" s="101"/>
      <c r="IK40" s="101"/>
      <c r="IL40" s="101"/>
      <c r="IM40" s="101"/>
      <c r="IN40" s="101"/>
      <c r="IO40" s="101"/>
      <c r="IP40" s="101"/>
      <c r="IQ40" s="101"/>
      <c r="IR40" s="101"/>
      <c r="IS40" s="101"/>
      <c r="IT40" s="101"/>
      <c r="IU40" s="101"/>
      <c r="IV40" s="101"/>
      <c r="IW40" s="101"/>
      <c r="IX40" s="101"/>
      <c r="IY40" s="101"/>
      <c r="IZ40" s="101"/>
      <c r="JA40" s="101"/>
      <c r="JB40" s="101"/>
      <c r="JC40" s="101"/>
      <c r="JD40" s="101"/>
      <c r="JE40" s="101"/>
      <c r="JF40" s="101"/>
      <c r="JG40" s="101"/>
      <c r="JH40" s="101"/>
      <c r="JI40" s="101"/>
      <c r="JJ40" s="101"/>
      <c r="JK40" s="101"/>
      <c r="JL40" s="101"/>
      <c r="JM40" s="101"/>
      <c r="JN40" s="101"/>
      <c r="JO40" s="101"/>
      <c r="JP40" s="101"/>
      <c r="JQ40" s="101"/>
      <c r="JR40" s="101"/>
      <c r="JS40" s="101"/>
      <c r="JT40" s="101"/>
      <c r="JU40" s="101"/>
      <c r="JV40" s="101"/>
      <c r="JW40" s="101"/>
      <c r="JX40" s="101"/>
      <c r="JY40" s="101"/>
      <c r="JZ40" s="101"/>
      <c r="KA40" s="101"/>
      <c r="KB40" s="101"/>
      <c r="KC40" s="101"/>
      <c r="KD40" s="101"/>
      <c r="KE40" s="101"/>
      <c r="KF40" s="101"/>
      <c r="KG40" s="101"/>
      <c r="KH40" s="101"/>
      <c r="KI40" s="101"/>
      <c r="KJ40" s="101"/>
      <c r="KK40" s="101"/>
      <c r="KL40" s="101"/>
      <c r="KM40" s="101"/>
      <c r="KN40" s="101"/>
      <c r="KO40" s="101"/>
      <c r="KP40" s="127"/>
      <c r="KQ40" s="127"/>
    </row>
    <row r="41" spans="1:303" s="107" customFormat="1" ht="11.25">
      <c r="A41" s="103" t="s">
        <v>9</v>
      </c>
      <c r="B41" s="104"/>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c r="BI41" s="105"/>
      <c r="BJ41" s="105"/>
      <c r="BK41" s="105"/>
      <c r="BL41" s="105"/>
      <c r="BM41" s="105"/>
      <c r="BN41" s="105"/>
      <c r="BO41" s="105"/>
      <c r="BP41" s="105"/>
      <c r="BQ41" s="105"/>
      <c r="BR41" s="105"/>
      <c r="BS41" s="105"/>
      <c r="BT41" s="105"/>
      <c r="BU41" s="105"/>
      <c r="BV41" s="105"/>
      <c r="BW41" s="105"/>
      <c r="BX41" s="105"/>
      <c r="BY41" s="105"/>
      <c r="BZ41" s="105"/>
      <c r="CA41" s="105"/>
      <c r="CB41" s="106"/>
      <c r="CC41" s="106"/>
      <c r="CD41" s="106"/>
      <c r="CE41" s="106"/>
      <c r="CF41" s="106"/>
      <c r="CG41" s="105"/>
      <c r="CH41" s="105"/>
      <c r="CI41" s="105"/>
      <c r="CJ41" s="105"/>
      <c r="CK41" s="105"/>
      <c r="CL41" s="105"/>
      <c r="CM41" s="105"/>
      <c r="CN41" s="105"/>
      <c r="CO41" s="105"/>
      <c r="CP41" s="105"/>
      <c r="CQ41" s="105"/>
      <c r="CR41" s="105"/>
      <c r="CS41" s="105"/>
      <c r="CT41" s="105"/>
      <c r="CU41" s="105"/>
      <c r="CV41" s="105"/>
      <c r="CW41" s="105"/>
      <c r="CX41" s="105"/>
      <c r="CY41" s="105"/>
      <c r="CZ41" s="105"/>
      <c r="DA41" s="105"/>
      <c r="DB41" s="105"/>
      <c r="DC41" s="105"/>
      <c r="DD41" s="105"/>
      <c r="DE41" s="105"/>
      <c r="DF41" s="105"/>
      <c r="DG41" s="105"/>
      <c r="DH41" s="105"/>
      <c r="DI41" s="105"/>
      <c r="DJ41" s="105"/>
      <c r="DK41" s="105"/>
      <c r="DL41" s="105"/>
      <c r="DM41" s="105"/>
      <c r="DN41" s="105"/>
      <c r="DO41" s="105"/>
      <c r="DP41" s="105"/>
      <c r="DQ41" s="105"/>
      <c r="DR41" s="105"/>
      <c r="DS41" s="105"/>
      <c r="DT41" s="105"/>
      <c r="DU41" s="105"/>
      <c r="DV41" s="105"/>
      <c r="DW41" s="105"/>
      <c r="DX41" s="105"/>
      <c r="DY41" s="105"/>
      <c r="DZ41" s="105"/>
      <c r="EA41" s="105"/>
      <c r="EB41" s="105"/>
      <c r="EC41" s="105"/>
      <c r="ED41" s="105"/>
      <c r="EE41" s="105"/>
      <c r="EF41" s="105"/>
      <c r="EG41" s="105"/>
      <c r="EH41" s="105"/>
      <c r="EI41" s="105"/>
      <c r="EJ41" s="105"/>
      <c r="EK41" s="105"/>
      <c r="EL41" s="105"/>
      <c r="EM41" s="105"/>
      <c r="EN41" s="105"/>
      <c r="EO41" s="105"/>
      <c r="EP41" s="105"/>
      <c r="EQ41" s="105"/>
      <c r="ER41" s="105"/>
      <c r="ES41" s="105"/>
      <c r="ET41" s="105"/>
      <c r="EU41" s="105"/>
      <c r="EV41" s="105"/>
      <c r="EW41" s="105"/>
      <c r="EX41" s="105"/>
      <c r="EY41" s="105"/>
      <c r="EZ41" s="105"/>
      <c r="FA41" s="105"/>
      <c r="FB41" s="105"/>
      <c r="FC41" s="105"/>
      <c r="FD41" s="105"/>
      <c r="FE41" s="105"/>
      <c r="FF41" s="105"/>
      <c r="FG41" s="105"/>
      <c r="FH41" s="105"/>
      <c r="FI41" s="105"/>
      <c r="FJ41" s="105"/>
      <c r="FK41" s="105"/>
      <c r="FL41" s="105"/>
      <c r="FM41" s="105"/>
      <c r="FN41" s="105"/>
      <c r="FO41" s="105"/>
      <c r="FP41" s="105"/>
      <c r="FQ41" s="105"/>
      <c r="FR41" s="105"/>
      <c r="FS41" s="105"/>
      <c r="FT41" s="105"/>
      <c r="FU41" s="105"/>
      <c r="FV41" s="105"/>
      <c r="FW41" s="105"/>
      <c r="FX41" s="105"/>
      <c r="FY41" s="105"/>
      <c r="FZ41" s="105"/>
      <c r="GA41" s="105"/>
      <c r="GB41" s="105"/>
      <c r="GC41" s="105"/>
      <c r="GD41" s="105"/>
      <c r="GE41" s="105"/>
      <c r="GF41" s="105"/>
      <c r="GG41" s="105"/>
      <c r="GH41" s="105"/>
      <c r="GI41" s="105"/>
      <c r="GJ41" s="105"/>
      <c r="GK41" s="105"/>
      <c r="GL41" s="105"/>
      <c r="GM41" s="105"/>
      <c r="GN41" s="105"/>
      <c r="GO41" s="105"/>
      <c r="GP41" s="105"/>
      <c r="GQ41" s="105"/>
      <c r="GR41" s="105"/>
      <c r="GS41" s="105"/>
      <c r="GT41" s="105"/>
      <c r="GU41" s="105"/>
      <c r="GV41" s="105"/>
      <c r="GW41" s="105"/>
      <c r="GX41" s="105"/>
      <c r="GY41" s="105"/>
      <c r="GZ41" s="105"/>
      <c r="HA41" s="105"/>
      <c r="HB41" s="105"/>
      <c r="HC41" s="105"/>
      <c r="HD41" s="105"/>
      <c r="HE41" s="105"/>
      <c r="HF41" s="105"/>
      <c r="HG41" s="105"/>
      <c r="HH41" s="105"/>
      <c r="HI41" s="105"/>
      <c r="HJ41" s="105"/>
      <c r="HK41" s="105"/>
      <c r="HL41" s="105"/>
      <c r="HM41" s="105"/>
      <c r="HN41" s="105"/>
      <c r="HO41" s="105"/>
      <c r="HP41" s="105"/>
      <c r="HQ41" s="105"/>
      <c r="HR41" s="105"/>
      <c r="HS41" s="105"/>
      <c r="HT41" s="105"/>
      <c r="HU41" s="105"/>
      <c r="HV41" s="105"/>
      <c r="HW41" s="105"/>
      <c r="HX41" s="105"/>
      <c r="HY41" s="105"/>
      <c r="HZ41" s="105"/>
      <c r="IA41" s="105"/>
      <c r="IB41" s="105"/>
      <c r="IC41" s="105"/>
      <c r="ID41" s="105"/>
      <c r="IE41" s="105"/>
      <c r="IF41" s="105"/>
      <c r="IG41" s="105"/>
      <c r="IH41" s="105"/>
      <c r="II41" s="105"/>
      <c r="IJ41" s="105"/>
      <c r="IK41" s="105"/>
      <c r="IL41" s="105"/>
      <c r="IM41" s="105"/>
      <c r="IN41" s="105"/>
      <c r="IO41" s="105"/>
      <c r="IP41" s="105"/>
      <c r="IQ41" s="105"/>
      <c r="IR41" s="105"/>
      <c r="IS41" s="105"/>
      <c r="IT41" s="105"/>
      <c r="IU41" s="105"/>
      <c r="IV41" s="105"/>
      <c r="IW41" s="105"/>
      <c r="IX41" s="105"/>
      <c r="IY41" s="105"/>
      <c r="IZ41" s="105"/>
      <c r="JA41" s="105"/>
      <c r="JB41" s="105"/>
      <c r="JC41" s="105"/>
      <c r="JD41" s="105"/>
      <c r="JE41" s="105"/>
      <c r="JF41" s="105"/>
      <c r="JG41" s="105"/>
      <c r="JH41" s="105"/>
      <c r="JI41" s="105"/>
      <c r="JJ41" s="105"/>
      <c r="JK41" s="105"/>
      <c r="JL41" s="105"/>
      <c r="JM41" s="105"/>
      <c r="JN41" s="105"/>
      <c r="JO41" s="105"/>
      <c r="JP41" s="105"/>
      <c r="JQ41" s="105"/>
      <c r="JR41" s="105"/>
      <c r="JS41" s="105"/>
      <c r="JT41" s="105"/>
      <c r="JU41" s="105"/>
      <c r="JV41" s="105"/>
      <c r="JW41" s="105"/>
      <c r="JX41" s="105"/>
      <c r="JY41" s="105"/>
      <c r="JZ41" s="105"/>
      <c r="KA41" s="105"/>
      <c r="KB41" s="105"/>
      <c r="KC41" s="105"/>
      <c r="KD41" s="105"/>
      <c r="KE41" s="105"/>
      <c r="KF41" s="219"/>
      <c r="KG41" s="219"/>
      <c r="KH41" s="219"/>
      <c r="KI41" s="219"/>
      <c r="KJ41" s="219"/>
      <c r="KK41" s="219"/>
      <c r="KL41" s="219"/>
      <c r="KM41" s="219"/>
      <c r="KN41" s="219"/>
      <c r="KO41" s="219"/>
      <c r="KP41" s="128"/>
      <c r="KQ41" s="128"/>
    </row>
    <row r="42" spans="1:303" s="107" customFormat="1" ht="11.25">
      <c r="A42" s="108" t="s">
        <v>178</v>
      </c>
      <c r="B42" s="109"/>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c r="BI42" s="105"/>
      <c r="BJ42" s="105"/>
      <c r="BK42" s="105"/>
      <c r="BL42" s="105"/>
      <c r="BM42" s="105"/>
      <c r="BN42" s="105"/>
      <c r="BO42" s="105"/>
      <c r="BP42" s="105"/>
      <c r="BQ42" s="105"/>
      <c r="BR42" s="105"/>
      <c r="BS42" s="105"/>
      <c r="BT42" s="105"/>
      <c r="BU42" s="105"/>
      <c r="BV42" s="105"/>
      <c r="BW42" s="105"/>
      <c r="BX42" s="105"/>
      <c r="BY42" s="105"/>
      <c r="BZ42" s="105"/>
      <c r="CA42" s="105"/>
      <c r="CB42" s="105"/>
      <c r="CC42" s="105"/>
      <c r="CD42" s="105"/>
      <c r="CE42" s="105"/>
      <c r="CF42" s="105"/>
      <c r="CG42" s="105"/>
      <c r="CH42" s="105"/>
      <c r="CI42" s="105"/>
      <c r="CJ42" s="105"/>
      <c r="CK42" s="105"/>
      <c r="CL42" s="105"/>
      <c r="CM42" s="105"/>
      <c r="CN42" s="105"/>
      <c r="CO42" s="105"/>
      <c r="CP42" s="105"/>
      <c r="CQ42" s="105"/>
      <c r="CR42" s="105"/>
      <c r="CS42" s="105"/>
      <c r="CT42" s="105"/>
      <c r="CU42" s="105"/>
      <c r="CV42" s="105"/>
      <c r="CW42" s="105"/>
      <c r="CX42" s="105"/>
      <c r="CY42" s="105"/>
      <c r="CZ42" s="105"/>
      <c r="DA42" s="105"/>
      <c r="DB42" s="105"/>
      <c r="DC42" s="105"/>
      <c r="DD42" s="105"/>
      <c r="DE42" s="105"/>
      <c r="DF42" s="105"/>
      <c r="DG42" s="105"/>
      <c r="DH42" s="105"/>
      <c r="DI42" s="105"/>
      <c r="DJ42" s="105"/>
      <c r="DK42" s="105"/>
      <c r="DL42" s="105"/>
      <c r="DM42" s="105"/>
      <c r="DN42" s="105"/>
      <c r="DO42" s="105"/>
      <c r="DP42" s="105"/>
      <c r="DQ42" s="105"/>
      <c r="DR42" s="105"/>
      <c r="DS42" s="105"/>
      <c r="DT42" s="105"/>
      <c r="DU42" s="105"/>
      <c r="DV42" s="105"/>
      <c r="DW42" s="105"/>
      <c r="DX42" s="105"/>
      <c r="DY42" s="105"/>
      <c r="DZ42" s="105"/>
      <c r="EA42" s="105"/>
      <c r="EB42" s="105"/>
      <c r="EC42" s="105"/>
      <c r="ED42" s="105"/>
      <c r="EE42" s="105"/>
      <c r="EF42" s="105"/>
      <c r="EG42" s="105"/>
      <c r="EH42" s="105"/>
      <c r="EI42" s="105"/>
      <c r="EJ42" s="105"/>
      <c r="EK42" s="105"/>
      <c r="EL42" s="105"/>
      <c r="EM42" s="105"/>
      <c r="EN42" s="105"/>
      <c r="EO42" s="105"/>
      <c r="EP42" s="105"/>
      <c r="EQ42" s="105"/>
      <c r="ER42" s="105"/>
      <c r="ES42" s="105"/>
      <c r="ET42" s="105"/>
      <c r="EU42" s="105"/>
      <c r="EV42" s="105"/>
      <c r="EW42" s="105"/>
      <c r="EX42" s="105"/>
      <c r="EY42" s="105"/>
      <c r="EZ42" s="105"/>
      <c r="FA42" s="105"/>
      <c r="FB42" s="105"/>
      <c r="FC42" s="105"/>
      <c r="FD42" s="105"/>
      <c r="FE42" s="105"/>
      <c r="FF42" s="105"/>
      <c r="FG42" s="105"/>
      <c r="FH42" s="105"/>
      <c r="FI42" s="105"/>
      <c r="FJ42" s="105"/>
      <c r="FK42" s="105"/>
      <c r="FL42" s="105"/>
      <c r="FM42" s="105"/>
      <c r="FN42" s="105"/>
      <c r="FO42" s="105"/>
      <c r="FP42" s="105"/>
      <c r="FQ42" s="105"/>
      <c r="FR42" s="105"/>
      <c r="FS42" s="105"/>
      <c r="FT42" s="105"/>
      <c r="FU42" s="105"/>
      <c r="FV42" s="105"/>
      <c r="FW42" s="105"/>
      <c r="FX42" s="105"/>
      <c r="FY42" s="105"/>
      <c r="FZ42" s="105"/>
      <c r="GA42" s="105"/>
      <c r="GB42" s="105"/>
      <c r="GC42" s="105"/>
      <c r="GD42" s="105"/>
      <c r="GE42" s="105"/>
      <c r="GF42" s="105"/>
      <c r="GG42" s="105"/>
      <c r="GH42" s="105"/>
      <c r="GI42" s="105"/>
      <c r="GJ42" s="105"/>
      <c r="GK42" s="105"/>
      <c r="GL42" s="105"/>
      <c r="GM42" s="105"/>
      <c r="GN42" s="105"/>
      <c r="GO42" s="105"/>
      <c r="GP42" s="105"/>
      <c r="GQ42" s="105"/>
      <c r="GR42" s="105"/>
      <c r="GS42" s="105"/>
      <c r="GT42" s="105"/>
      <c r="GU42" s="105"/>
      <c r="GV42" s="105"/>
      <c r="GW42" s="105"/>
      <c r="GX42" s="105"/>
      <c r="GY42" s="105"/>
      <c r="GZ42" s="105"/>
      <c r="HA42" s="105"/>
      <c r="HB42" s="105"/>
      <c r="HC42" s="105"/>
      <c r="HD42" s="105"/>
      <c r="HE42" s="105"/>
      <c r="HF42" s="105"/>
      <c r="HG42" s="105"/>
      <c r="HH42" s="105"/>
      <c r="HI42" s="105"/>
      <c r="HJ42" s="105"/>
      <c r="HK42" s="105"/>
      <c r="HL42" s="105"/>
      <c r="HM42" s="105"/>
      <c r="HN42" s="105"/>
      <c r="HO42" s="105"/>
      <c r="HP42" s="105"/>
      <c r="HQ42" s="105"/>
      <c r="HR42" s="105"/>
      <c r="HS42" s="105"/>
      <c r="HT42" s="105"/>
      <c r="HU42" s="105"/>
      <c r="HV42" s="105"/>
      <c r="HW42" s="105"/>
      <c r="HX42" s="105"/>
      <c r="HY42" s="105"/>
      <c r="HZ42" s="105"/>
      <c r="IA42" s="105"/>
      <c r="IB42" s="105"/>
      <c r="IC42" s="105"/>
      <c r="ID42" s="105"/>
      <c r="IE42" s="105"/>
      <c r="IF42" s="105"/>
      <c r="IG42" s="105"/>
      <c r="IH42" s="105"/>
      <c r="II42" s="105"/>
      <c r="IJ42" s="105"/>
      <c r="IK42" s="105"/>
      <c r="IL42" s="105"/>
      <c r="IM42" s="105"/>
      <c r="IN42" s="105"/>
      <c r="IO42" s="105"/>
      <c r="IP42" s="105"/>
      <c r="IQ42" s="105"/>
      <c r="IR42" s="105"/>
      <c r="IS42" s="105"/>
      <c r="IT42" s="105"/>
      <c r="IU42" s="105"/>
      <c r="IV42" s="105"/>
      <c r="IW42" s="105"/>
      <c r="IX42" s="105"/>
      <c r="IY42" s="105"/>
      <c r="IZ42" s="105"/>
      <c r="JA42" s="105"/>
      <c r="JB42" s="105"/>
      <c r="JC42" s="105"/>
      <c r="JD42" s="105"/>
      <c r="JE42" s="105"/>
      <c r="JF42" s="105"/>
      <c r="JG42" s="105"/>
      <c r="JH42" s="105"/>
      <c r="JI42" s="105"/>
      <c r="JJ42" s="105"/>
      <c r="JK42" s="105"/>
      <c r="JL42" s="105"/>
      <c r="JM42" s="105"/>
      <c r="JN42" s="105"/>
      <c r="JO42" s="105"/>
      <c r="JP42" s="105"/>
      <c r="JQ42" s="105"/>
      <c r="JR42" s="105"/>
      <c r="JS42" s="105"/>
      <c r="JT42" s="105"/>
      <c r="JU42" s="105"/>
      <c r="JV42" s="105"/>
      <c r="JW42" s="105"/>
      <c r="JX42" s="105"/>
      <c r="JY42" s="105"/>
      <c r="JZ42" s="105"/>
      <c r="KA42" s="105"/>
      <c r="KB42" s="105"/>
      <c r="KC42" s="105"/>
      <c r="KD42" s="105"/>
      <c r="KE42" s="105"/>
      <c r="KF42" s="219"/>
      <c r="KG42" s="219"/>
      <c r="KH42" s="219"/>
      <c r="KI42" s="219"/>
      <c r="KJ42" s="219"/>
      <c r="KK42" s="219"/>
      <c r="KL42" s="219"/>
      <c r="KM42" s="219"/>
      <c r="KN42" s="219"/>
      <c r="KO42" s="219"/>
      <c r="KP42" s="128"/>
      <c r="KQ42" s="128"/>
    </row>
    <row r="43" spans="1:303" s="107" customFormat="1" ht="11.25">
      <c r="A43" s="108" t="s">
        <v>179</v>
      </c>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c r="BI43" s="105"/>
      <c r="BJ43" s="105"/>
      <c r="BK43" s="105"/>
      <c r="BL43" s="105"/>
      <c r="BM43" s="105"/>
      <c r="BN43" s="105"/>
      <c r="BO43" s="105"/>
      <c r="BP43" s="105"/>
      <c r="BQ43" s="105"/>
      <c r="BR43" s="105"/>
      <c r="BS43" s="105"/>
      <c r="BT43" s="105"/>
      <c r="BU43" s="105"/>
      <c r="BV43" s="105"/>
      <c r="BW43" s="105"/>
      <c r="BX43" s="105"/>
      <c r="BY43" s="105"/>
      <c r="BZ43" s="105"/>
      <c r="CA43" s="105"/>
      <c r="CB43" s="105"/>
      <c r="CC43" s="105"/>
      <c r="CD43" s="105"/>
      <c r="CE43" s="105"/>
      <c r="CF43" s="105"/>
      <c r="CG43" s="105"/>
      <c r="CH43" s="105"/>
      <c r="CI43" s="105"/>
      <c r="CJ43" s="105"/>
      <c r="CK43" s="105"/>
      <c r="CL43" s="105"/>
      <c r="CM43" s="105"/>
      <c r="CN43" s="105"/>
      <c r="CO43" s="105"/>
      <c r="CP43" s="105"/>
      <c r="CQ43" s="105"/>
      <c r="CR43" s="105"/>
      <c r="CS43" s="105"/>
      <c r="CT43" s="105"/>
      <c r="CU43" s="105"/>
      <c r="CV43" s="105"/>
      <c r="CW43" s="105"/>
      <c r="CX43" s="105"/>
      <c r="CY43" s="105"/>
      <c r="CZ43" s="105"/>
      <c r="DA43" s="105"/>
      <c r="DB43" s="105"/>
      <c r="DC43" s="105"/>
      <c r="DD43" s="105"/>
      <c r="DE43" s="105"/>
      <c r="DF43" s="105"/>
      <c r="DG43" s="105"/>
      <c r="DH43" s="105"/>
      <c r="DI43" s="105"/>
      <c r="DJ43" s="105"/>
      <c r="DK43" s="105"/>
      <c r="DL43" s="105"/>
      <c r="DM43" s="105"/>
      <c r="DN43" s="105"/>
      <c r="DO43" s="105"/>
      <c r="DP43" s="105"/>
      <c r="DQ43" s="105"/>
      <c r="DR43" s="105"/>
      <c r="DS43" s="105"/>
      <c r="DT43" s="105"/>
      <c r="DU43" s="105"/>
      <c r="DV43" s="105"/>
      <c r="DW43" s="105"/>
      <c r="DX43" s="105"/>
      <c r="DY43" s="105"/>
      <c r="DZ43" s="105"/>
      <c r="EA43" s="105"/>
      <c r="EB43" s="105"/>
      <c r="EC43" s="105"/>
      <c r="ED43" s="105"/>
      <c r="EE43" s="105"/>
      <c r="EF43" s="105"/>
      <c r="EG43" s="105"/>
      <c r="EH43" s="105"/>
      <c r="EI43" s="105"/>
      <c r="EJ43" s="105"/>
      <c r="EK43" s="105"/>
      <c r="EL43" s="105"/>
      <c r="EM43" s="105"/>
      <c r="EN43" s="105"/>
      <c r="EO43" s="105"/>
      <c r="EP43" s="105"/>
      <c r="EQ43" s="105"/>
      <c r="ER43" s="105"/>
      <c r="ES43" s="105"/>
      <c r="ET43" s="105"/>
      <c r="EU43" s="105"/>
      <c r="EV43" s="105"/>
      <c r="EW43" s="105"/>
      <c r="EX43" s="105"/>
      <c r="EY43" s="105"/>
      <c r="EZ43" s="105"/>
      <c r="FA43" s="105"/>
      <c r="FB43" s="105"/>
      <c r="FC43" s="105"/>
      <c r="FD43" s="105"/>
      <c r="FE43" s="105"/>
      <c r="FF43" s="105"/>
      <c r="FG43" s="105"/>
      <c r="FH43" s="105"/>
      <c r="FI43" s="105"/>
      <c r="FJ43" s="105"/>
      <c r="FK43" s="105"/>
      <c r="FL43" s="105"/>
      <c r="FM43" s="105"/>
      <c r="FN43" s="105"/>
      <c r="FO43" s="105"/>
      <c r="FP43" s="105"/>
      <c r="FQ43" s="105"/>
      <c r="FR43" s="105"/>
      <c r="FS43" s="105"/>
      <c r="FT43" s="105"/>
      <c r="FU43" s="105"/>
      <c r="FV43" s="105"/>
      <c r="FW43" s="105"/>
      <c r="FX43" s="105"/>
      <c r="FY43" s="105"/>
      <c r="FZ43" s="105"/>
      <c r="GA43" s="105"/>
      <c r="GB43" s="105"/>
      <c r="GC43" s="105"/>
      <c r="GD43" s="105"/>
      <c r="GE43" s="105"/>
      <c r="GF43" s="105"/>
      <c r="GG43" s="105"/>
      <c r="GH43" s="105"/>
      <c r="GI43" s="105"/>
      <c r="GJ43" s="105"/>
      <c r="GK43" s="105"/>
      <c r="GL43" s="105"/>
      <c r="GM43" s="105"/>
      <c r="GN43" s="105"/>
      <c r="GO43" s="105"/>
      <c r="GP43" s="105"/>
      <c r="GQ43" s="105"/>
      <c r="GR43" s="105"/>
      <c r="GS43" s="105"/>
      <c r="GT43" s="105"/>
      <c r="GU43" s="105"/>
      <c r="GV43" s="105"/>
      <c r="GW43" s="105"/>
      <c r="GX43" s="105"/>
      <c r="GY43" s="105"/>
      <c r="GZ43" s="105"/>
      <c r="HA43" s="105"/>
      <c r="HB43" s="105"/>
      <c r="HC43" s="105"/>
      <c r="HD43" s="105"/>
      <c r="HE43" s="105"/>
      <c r="HF43" s="105"/>
      <c r="HG43" s="105"/>
      <c r="HH43" s="105"/>
      <c r="HI43" s="105"/>
      <c r="HJ43" s="105"/>
      <c r="HK43" s="105"/>
      <c r="HL43" s="105"/>
      <c r="HM43" s="105"/>
      <c r="HN43" s="105"/>
      <c r="HO43" s="105"/>
      <c r="HP43" s="105"/>
      <c r="HQ43" s="105"/>
      <c r="HR43" s="105"/>
      <c r="HS43" s="105"/>
      <c r="HT43" s="105"/>
      <c r="HU43" s="105"/>
      <c r="HV43" s="105"/>
      <c r="HW43" s="105"/>
      <c r="HX43" s="105"/>
      <c r="HY43" s="105"/>
      <c r="HZ43" s="105"/>
      <c r="IA43" s="105"/>
      <c r="IB43" s="105"/>
      <c r="IC43" s="105"/>
      <c r="ID43" s="105"/>
      <c r="IE43" s="105"/>
      <c r="IF43" s="105"/>
      <c r="IG43" s="105"/>
      <c r="IH43" s="105"/>
      <c r="II43" s="105"/>
      <c r="IJ43" s="105"/>
      <c r="IK43" s="105"/>
      <c r="IL43" s="105"/>
      <c r="IM43" s="105"/>
      <c r="IN43" s="105"/>
      <c r="IO43" s="105"/>
      <c r="IP43" s="105"/>
      <c r="IQ43" s="105"/>
      <c r="IR43" s="105"/>
      <c r="IS43" s="105"/>
      <c r="IT43" s="105"/>
      <c r="IU43" s="105"/>
      <c r="IV43" s="105"/>
      <c r="IW43" s="105"/>
      <c r="IX43" s="105"/>
      <c r="IY43" s="105"/>
      <c r="IZ43" s="105"/>
      <c r="JA43" s="105"/>
      <c r="JB43" s="105"/>
      <c r="JC43" s="105"/>
      <c r="JD43" s="105"/>
      <c r="JE43" s="105"/>
      <c r="JF43" s="105"/>
      <c r="JG43" s="105"/>
      <c r="JH43" s="105"/>
      <c r="JI43" s="105"/>
      <c r="JJ43" s="105"/>
      <c r="JK43" s="105"/>
      <c r="JL43" s="105"/>
      <c r="JM43" s="105"/>
      <c r="JN43" s="105"/>
      <c r="JO43" s="105"/>
      <c r="JP43" s="105"/>
      <c r="JQ43" s="105"/>
      <c r="JR43" s="105"/>
      <c r="JS43" s="105"/>
      <c r="JT43" s="105"/>
      <c r="JU43" s="105"/>
      <c r="JV43" s="105"/>
      <c r="JW43" s="105"/>
      <c r="JX43" s="105"/>
      <c r="JY43" s="105"/>
      <c r="JZ43" s="105"/>
      <c r="KA43" s="105"/>
      <c r="KB43" s="105"/>
      <c r="KC43" s="105"/>
      <c r="KD43" s="105"/>
      <c r="KE43" s="105"/>
      <c r="KF43" s="219"/>
      <c r="KG43" s="219"/>
      <c r="KH43" s="219"/>
      <c r="KI43" s="219"/>
      <c r="KJ43" s="219"/>
      <c r="KK43" s="219"/>
      <c r="KL43" s="219"/>
      <c r="KM43" s="219"/>
      <c r="KN43" s="219"/>
      <c r="KO43" s="219"/>
      <c r="KP43" s="128"/>
      <c r="KQ43" s="128"/>
    </row>
    <row r="44" spans="1:303" s="107" customFormat="1" ht="11.25">
      <c r="A44" s="108" t="s">
        <v>180</v>
      </c>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c r="BI44" s="105"/>
      <c r="BJ44" s="105"/>
      <c r="BK44" s="105"/>
      <c r="BL44" s="105"/>
      <c r="BM44" s="105"/>
      <c r="BN44" s="105"/>
      <c r="BO44" s="105"/>
      <c r="BP44" s="105"/>
      <c r="BQ44" s="105"/>
      <c r="BR44" s="105"/>
      <c r="BS44" s="105"/>
      <c r="BT44" s="105"/>
      <c r="BU44" s="105"/>
      <c r="BV44" s="105"/>
      <c r="BW44" s="105"/>
      <c r="BX44" s="105"/>
      <c r="BY44" s="105"/>
      <c r="BZ44" s="105"/>
      <c r="CA44" s="105"/>
      <c r="CB44" s="105"/>
      <c r="CC44" s="105"/>
      <c r="CD44" s="105"/>
      <c r="CE44" s="105"/>
      <c r="CF44" s="105"/>
      <c r="CG44" s="105"/>
      <c r="CH44" s="105"/>
      <c r="CI44" s="105"/>
      <c r="CJ44" s="105"/>
      <c r="CK44" s="105"/>
      <c r="CL44" s="105"/>
      <c r="CM44" s="105"/>
      <c r="CN44" s="105"/>
      <c r="CO44" s="105"/>
      <c r="CP44" s="105"/>
      <c r="CQ44" s="105"/>
      <c r="CR44" s="105"/>
      <c r="CS44" s="105"/>
      <c r="CT44" s="105"/>
      <c r="CU44" s="105"/>
      <c r="CV44" s="105"/>
      <c r="CW44" s="105"/>
      <c r="CX44" s="105"/>
      <c r="CY44" s="105"/>
      <c r="CZ44" s="105"/>
      <c r="DA44" s="105"/>
      <c r="DB44" s="105"/>
      <c r="DC44" s="105"/>
      <c r="DD44" s="105"/>
      <c r="DE44" s="105"/>
      <c r="DF44" s="105"/>
      <c r="DG44" s="105"/>
      <c r="DH44" s="105"/>
      <c r="DI44" s="105"/>
      <c r="DJ44" s="105"/>
      <c r="DK44" s="105"/>
      <c r="DL44" s="105"/>
      <c r="DM44" s="105"/>
      <c r="DN44" s="105"/>
      <c r="DO44" s="105"/>
      <c r="DP44" s="105"/>
      <c r="DQ44" s="105"/>
      <c r="DR44" s="105"/>
      <c r="DS44" s="105"/>
      <c r="DT44" s="105"/>
      <c r="DU44" s="105"/>
      <c r="DV44" s="105"/>
      <c r="DW44" s="105"/>
      <c r="DX44" s="105"/>
      <c r="DY44" s="105"/>
      <c r="DZ44" s="105"/>
      <c r="EA44" s="105"/>
      <c r="EB44" s="105"/>
      <c r="EC44" s="105"/>
      <c r="ED44" s="105"/>
      <c r="EE44" s="105"/>
      <c r="EF44" s="105"/>
      <c r="EG44" s="105"/>
      <c r="EH44" s="105"/>
      <c r="EI44" s="105"/>
      <c r="EJ44" s="105"/>
      <c r="EK44" s="105"/>
      <c r="EL44" s="105"/>
      <c r="EM44" s="105"/>
      <c r="EN44" s="105"/>
      <c r="EO44" s="105"/>
      <c r="EP44" s="105"/>
      <c r="EQ44" s="105"/>
      <c r="ER44" s="105"/>
      <c r="ES44" s="105"/>
      <c r="ET44" s="105"/>
      <c r="EU44" s="105"/>
      <c r="EV44" s="105"/>
      <c r="EW44" s="105"/>
      <c r="EX44" s="105"/>
      <c r="EY44" s="105"/>
      <c r="EZ44" s="105"/>
      <c r="FA44" s="105"/>
      <c r="FB44" s="105"/>
      <c r="FC44" s="105"/>
      <c r="FD44" s="105"/>
      <c r="FE44" s="105"/>
      <c r="FF44" s="105"/>
      <c r="FG44" s="105"/>
      <c r="FH44" s="105"/>
      <c r="FI44" s="105"/>
      <c r="FJ44" s="105"/>
      <c r="FK44" s="105"/>
      <c r="FL44" s="105"/>
      <c r="FM44" s="105"/>
      <c r="FN44" s="105"/>
      <c r="FO44" s="105"/>
      <c r="FP44" s="105"/>
      <c r="FQ44" s="105"/>
      <c r="FR44" s="105"/>
      <c r="FS44" s="105"/>
      <c r="FT44" s="105"/>
      <c r="FU44" s="105"/>
      <c r="FV44" s="105"/>
      <c r="FW44" s="105"/>
      <c r="FX44" s="105"/>
      <c r="FY44" s="105"/>
      <c r="FZ44" s="105"/>
      <c r="GA44" s="105"/>
      <c r="GB44" s="105"/>
      <c r="GC44" s="105"/>
      <c r="GD44" s="105"/>
      <c r="GE44" s="105"/>
      <c r="GF44" s="105"/>
      <c r="GG44" s="105"/>
      <c r="GH44" s="105"/>
      <c r="GI44" s="105"/>
      <c r="GJ44" s="105"/>
      <c r="GK44" s="105"/>
      <c r="GL44" s="105"/>
      <c r="GM44" s="105"/>
      <c r="GN44" s="105"/>
      <c r="GO44" s="105"/>
      <c r="GP44" s="105"/>
      <c r="GQ44" s="105"/>
      <c r="GR44" s="105"/>
      <c r="GS44" s="105"/>
      <c r="GT44" s="105"/>
      <c r="GU44" s="105"/>
      <c r="GV44" s="105"/>
      <c r="GW44" s="105"/>
      <c r="GX44" s="105"/>
      <c r="GY44" s="105"/>
      <c r="GZ44" s="105"/>
      <c r="HA44" s="105"/>
      <c r="HB44" s="105"/>
      <c r="HC44" s="105"/>
      <c r="HD44" s="105"/>
      <c r="HE44" s="105"/>
      <c r="HF44" s="105"/>
      <c r="HG44" s="105"/>
      <c r="HH44" s="105"/>
      <c r="HI44" s="105"/>
      <c r="HJ44" s="105"/>
      <c r="HK44" s="105"/>
      <c r="HL44" s="105"/>
      <c r="HM44" s="105"/>
      <c r="HN44" s="105"/>
      <c r="HO44" s="105"/>
      <c r="HP44" s="105"/>
      <c r="HQ44" s="105"/>
      <c r="HR44" s="105"/>
      <c r="HS44" s="105"/>
      <c r="HT44" s="105"/>
      <c r="HU44" s="105"/>
      <c r="HV44" s="105"/>
      <c r="HW44" s="105"/>
      <c r="HX44" s="105"/>
      <c r="HY44" s="105"/>
      <c r="HZ44" s="105"/>
      <c r="IA44" s="105"/>
      <c r="IB44" s="105"/>
      <c r="IC44" s="105"/>
      <c r="ID44" s="105"/>
      <c r="IE44" s="105"/>
      <c r="IF44" s="105"/>
      <c r="IG44" s="105"/>
      <c r="IH44" s="105"/>
      <c r="II44" s="105"/>
      <c r="IJ44" s="105"/>
      <c r="IK44" s="105"/>
      <c r="IL44" s="105"/>
      <c r="IM44" s="105"/>
      <c r="IN44" s="105"/>
      <c r="IO44" s="105"/>
      <c r="IP44" s="105"/>
      <c r="IQ44" s="105"/>
      <c r="IR44" s="105"/>
      <c r="IS44" s="105"/>
      <c r="IT44" s="105"/>
      <c r="IU44" s="105"/>
      <c r="IV44" s="105"/>
      <c r="IW44" s="105"/>
      <c r="IX44" s="105"/>
      <c r="IY44" s="105"/>
      <c r="IZ44" s="105"/>
      <c r="JA44" s="105"/>
      <c r="JB44" s="105"/>
      <c r="JC44" s="105"/>
      <c r="JD44" s="105"/>
      <c r="JE44" s="105"/>
      <c r="JF44" s="105"/>
      <c r="JG44" s="105"/>
      <c r="JH44" s="105"/>
      <c r="JI44" s="105"/>
      <c r="JJ44" s="105"/>
      <c r="JK44" s="105"/>
      <c r="JL44" s="105"/>
      <c r="JM44" s="105"/>
      <c r="JN44" s="105"/>
      <c r="JO44" s="105"/>
      <c r="JP44" s="105"/>
      <c r="JQ44" s="105"/>
      <c r="JR44" s="105"/>
      <c r="JS44" s="105"/>
      <c r="JT44" s="105"/>
      <c r="JU44" s="105"/>
      <c r="JV44" s="105"/>
      <c r="JW44" s="105"/>
      <c r="JX44" s="105"/>
      <c r="JY44" s="105"/>
      <c r="JZ44" s="105"/>
      <c r="KA44" s="105"/>
      <c r="KB44" s="105"/>
      <c r="KC44" s="105"/>
      <c r="KD44" s="105"/>
      <c r="KE44" s="105"/>
      <c r="KF44" s="219"/>
      <c r="KG44" s="219"/>
      <c r="KH44" s="219"/>
      <c r="KI44" s="219"/>
      <c r="KJ44" s="219"/>
      <c r="KK44" s="219"/>
      <c r="KL44" s="219"/>
      <c r="KM44" s="219"/>
      <c r="KN44" s="219"/>
      <c r="KO44" s="219"/>
      <c r="KP44" s="128"/>
      <c r="KQ44" s="128"/>
    </row>
    <row r="45" spans="1:303" s="107" customFormat="1" ht="11.25">
      <c r="A45" s="108" t="s">
        <v>181</v>
      </c>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c r="BI45" s="105"/>
      <c r="BJ45" s="105"/>
      <c r="BK45" s="105"/>
      <c r="BL45" s="105"/>
      <c r="BM45" s="105"/>
      <c r="BN45" s="105"/>
      <c r="BO45" s="105"/>
      <c r="BP45" s="105"/>
      <c r="BQ45" s="105"/>
      <c r="BR45" s="105"/>
      <c r="BS45" s="105"/>
      <c r="BT45" s="105"/>
      <c r="BU45" s="105"/>
      <c r="BV45" s="105"/>
      <c r="BW45" s="105"/>
      <c r="BX45" s="105"/>
      <c r="BY45" s="105"/>
      <c r="BZ45" s="105"/>
      <c r="CA45" s="105"/>
      <c r="CB45" s="105"/>
      <c r="CC45" s="105"/>
      <c r="CD45" s="105"/>
      <c r="CE45" s="105"/>
      <c r="CF45" s="105"/>
      <c r="CG45" s="105"/>
      <c r="CH45" s="105"/>
      <c r="CI45" s="105"/>
      <c r="CJ45" s="105"/>
      <c r="CK45" s="105"/>
      <c r="CL45" s="105"/>
      <c r="CM45" s="105"/>
      <c r="CN45" s="105"/>
      <c r="CO45" s="105"/>
      <c r="CP45" s="105"/>
      <c r="CQ45" s="105"/>
      <c r="CR45" s="105"/>
      <c r="CS45" s="105"/>
      <c r="CT45" s="105"/>
      <c r="CU45" s="105"/>
      <c r="CV45" s="105"/>
      <c r="CW45" s="105"/>
      <c r="CX45" s="105"/>
      <c r="CY45" s="105"/>
      <c r="CZ45" s="105"/>
      <c r="DA45" s="105"/>
      <c r="DB45" s="105"/>
      <c r="DC45" s="105"/>
      <c r="DD45" s="105"/>
      <c r="DE45" s="105"/>
      <c r="DF45" s="105"/>
      <c r="DG45" s="105"/>
      <c r="DH45" s="105"/>
      <c r="DI45" s="105"/>
      <c r="DJ45" s="105"/>
      <c r="DK45" s="105"/>
      <c r="DL45" s="105"/>
      <c r="DM45" s="105"/>
      <c r="DN45" s="105"/>
      <c r="DO45" s="105"/>
      <c r="DP45" s="105"/>
      <c r="DQ45" s="105"/>
      <c r="DR45" s="105"/>
      <c r="DS45" s="105"/>
      <c r="DT45" s="105"/>
      <c r="DU45" s="105"/>
      <c r="DV45" s="105"/>
      <c r="DW45" s="105"/>
      <c r="DX45" s="105"/>
      <c r="DY45" s="105"/>
      <c r="DZ45" s="105"/>
      <c r="EA45" s="105"/>
      <c r="EB45" s="105"/>
      <c r="EC45" s="105"/>
      <c r="ED45" s="105"/>
      <c r="EE45" s="105"/>
      <c r="EF45" s="105"/>
      <c r="EG45" s="105"/>
      <c r="EH45" s="105"/>
      <c r="EI45" s="105"/>
      <c r="EJ45" s="105"/>
      <c r="EK45" s="105"/>
      <c r="EL45" s="105"/>
      <c r="EM45" s="105"/>
      <c r="EN45" s="105"/>
      <c r="EO45" s="105"/>
      <c r="EP45" s="105"/>
      <c r="EQ45" s="105"/>
      <c r="ER45" s="105"/>
      <c r="ES45" s="105"/>
      <c r="ET45" s="105"/>
      <c r="EU45" s="105"/>
      <c r="EV45" s="105"/>
      <c r="EW45" s="105"/>
      <c r="EX45" s="105"/>
      <c r="EY45" s="105"/>
      <c r="EZ45" s="105"/>
      <c r="FA45" s="105"/>
      <c r="FB45" s="105"/>
      <c r="FC45" s="105"/>
      <c r="FD45" s="105"/>
      <c r="FE45" s="105"/>
      <c r="FF45" s="105"/>
      <c r="FG45" s="105"/>
      <c r="FH45" s="105"/>
      <c r="FI45" s="105"/>
      <c r="FJ45" s="105"/>
      <c r="FK45" s="105"/>
      <c r="FL45" s="105"/>
      <c r="FM45" s="105"/>
      <c r="FN45" s="105"/>
      <c r="FO45" s="105"/>
      <c r="FP45" s="105"/>
      <c r="FQ45" s="105"/>
      <c r="FR45" s="105"/>
      <c r="FS45" s="105"/>
      <c r="FT45" s="105"/>
      <c r="FU45" s="105"/>
      <c r="FV45" s="105"/>
      <c r="FW45" s="105"/>
      <c r="FX45" s="105"/>
      <c r="FY45" s="105"/>
      <c r="FZ45" s="105"/>
      <c r="GA45" s="105"/>
      <c r="GB45" s="105"/>
      <c r="GC45" s="105"/>
      <c r="GD45" s="105"/>
      <c r="GE45" s="105"/>
      <c r="GF45" s="105"/>
      <c r="GG45" s="105"/>
      <c r="GH45" s="105"/>
      <c r="GI45" s="105"/>
      <c r="GJ45" s="105"/>
      <c r="GK45" s="105"/>
      <c r="GL45" s="105"/>
      <c r="GM45" s="105"/>
      <c r="GN45" s="105"/>
      <c r="GO45" s="105"/>
      <c r="GP45" s="105"/>
      <c r="GQ45" s="105"/>
      <c r="GR45" s="105"/>
      <c r="GS45" s="105"/>
      <c r="GT45" s="105"/>
      <c r="GU45" s="105"/>
      <c r="GV45" s="105"/>
      <c r="GW45" s="105"/>
      <c r="GX45" s="105"/>
      <c r="GY45" s="105"/>
      <c r="GZ45" s="105"/>
      <c r="HA45" s="105"/>
      <c r="HB45" s="105"/>
      <c r="HC45" s="105"/>
      <c r="HD45" s="105"/>
      <c r="HE45" s="105"/>
      <c r="HF45" s="105"/>
      <c r="HG45" s="105"/>
      <c r="HH45" s="105"/>
      <c r="HI45" s="105"/>
      <c r="HJ45" s="105"/>
      <c r="HK45" s="105"/>
      <c r="HL45" s="105"/>
      <c r="HM45" s="105"/>
      <c r="HN45" s="105"/>
      <c r="HO45" s="105"/>
      <c r="HP45" s="105"/>
      <c r="HQ45" s="105"/>
      <c r="HR45" s="105"/>
      <c r="HS45" s="105"/>
      <c r="HT45" s="105"/>
      <c r="HU45" s="105"/>
      <c r="HV45" s="105"/>
      <c r="HW45" s="105"/>
      <c r="HX45" s="105"/>
      <c r="HY45" s="105"/>
      <c r="HZ45" s="105"/>
      <c r="IA45" s="105"/>
      <c r="IB45" s="105"/>
      <c r="IC45" s="105"/>
      <c r="ID45" s="105"/>
      <c r="IE45" s="105"/>
      <c r="IF45" s="105"/>
      <c r="IG45" s="105"/>
      <c r="IH45" s="105"/>
      <c r="II45" s="105"/>
      <c r="IJ45" s="105"/>
      <c r="IK45" s="105"/>
      <c r="IL45" s="105"/>
      <c r="IM45" s="105"/>
      <c r="IN45" s="105"/>
      <c r="IO45" s="105"/>
      <c r="IP45" s="105"/>
      <c r="IQ45" s="105"/>
      <c r="IR45" s="105"/>
      <c r="IS45" s="105"/>
      <c r="IT45" s="105"/>
      <c r="IU45" s="105"/>
      <c r="IV45" s="105"/>
      <c r="IW45" s="105"/>
      <c r="IX45" s="105"/>
      <c r="IY45" s="105"/>
      <c r="IZ45" s="105"/>
      <c r="JA45" s="105"/>
      <c r="JB45" s="105"/>
      <c r="JC45" s="105"/>
      <c r="JD45" s="105"/>
      <c r="JE45" s="105"/>
      <c r="JF45" s="105"/>
      <c r="JG45" s="105"/>
      <c r="JH45" s="105"/>
      <c r="JI45" s="105"/>
      <c r="JJ45" s="105"/>
      <c r="JK45" s="105"/>
      <c r="JL45" s="105"/>
      <c r="JM45" s="105"/>
      <c r="JN45" s="105"/>
      <c r="JO45" s="105"/>
      <c r="JP45" s="105"/>
      <c r="JQ45" s="105"/>
      <c r="JR45" s="105"/>
      <c r="JS45" s="105"/>
      <c r="JT45" s="105"/>
      <c r="JU45" s="105"/>
      <c r="JV45" s="105"/>
      <c r="JW45" s="105"/>
      <c r="JX45" s="105"/>
      <c r="JY45" s="105"/>
      <c r="JZ45" s="105"/>
      <c r="KA45" s="105"/>
      <c r="KB45" s="105"/>
      <c r="KC45" s="105"/>
      <c r="KD45" s="105"/>
      <c r="KE45" s="105"/>
      <c r="KF45" s="219"/>
      <c r="KG45" s="219"/>
      <c r="KH45" s="219"/>
      <c r="KI45" s="219"/>
      <c r="KJ45" s="219"/>
      <c r="KK45" s="219"/>
      <c r="KL45" s="219"/>
      <c r="KM45" s="219"/>
      <c r="KN45" s="219"/>
      <c r="KO45" s="219"/>
      <c r="KP45" s="128"/>
      <c r="KQ45" s="128"/>
    </row>
    <row r="46" spans="1:303" s="107" customFormat="1" ht="11.25">
      <c r="A46" s="108" t="s">
        <v>182</v>
      </c>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c r="BI46" s="105"/>
      <c r="BJ46" s="105"/>
      <c r="BK46" s="105"/>
      <c r="BL46" s="105"/>
      <c r="BM46" s="105"/>
      <c r="BN46" s="105"/>
      <c r="BO46" s="105"/>
      <c r="BP46" s="105"/>
      <c r="BQ46" s="105"/>
      <c r="BR46" s="105"/>
      <c r="BS46" s="105"/>
      <c r="BT46" s="105"/>
      <c r="BU46" s="105"/>
      <c r="BV46" s="105"/>
      <c r="BW46" s="105"/>
      <c r="BX46" s="105"/>
      <c r="BY46" s="105"/>
      <c r="BZ46" s="105"/>
      <c r="CA46" s="105"/>
      <c r="CB46" s="105"/>
      <c r="CC46" s="105"/>
      <c r="CD46" s="105"/>
      <c r="CE46" s="105"/>
      <c r="CF46" s="105"/>
      <c r="CG46" s="105"/>
      <c r="CH46" s="105"/>
      <c r="CI46" s="105"/>
      <c r="CJ46" s="105"/>
      <c r="CK46" s="105"/>
      <c r="CL46" s="105"/>
      <c r="CM46" s="105"/>
      <c r="CN46" s="105"/>
      <c r="CO46" s="105"/>
      <c r="CP46" s="105"/>
      <c r="CQ46" s="105"/>
      <c r="CR46" s="105"/>
      <c r="CS46" s="105"/>
      <c r="CT46" s="105"/>
      <c r="CU46" s="105"/>
      <c r="CV46" s="105"/>
      <c r="CW46" s="105"/>
      <c r="CX46" s="105"/>
      <c r="CY46" s="105"/>
      <c r="CZ46" s="105"/>
      <c r="DA46" s="105"/>
      <c r="DB46" s="105"/>
      <c r="DC46" s="105"/>
      <c r="DD46" s="105"/>
      <c r="DE46" s="105"/>
      <c r="DF46" s="105"/>
      <c r="DG46" s="105"/>
      <c r="DH46" s="105"/>
      <c r="DI46" s="105"/>
      <c r="DJ46" s="105"/>
      <c r="DK46" s="105"/>
      <c r="DL46" s="105"/>
      <c r="DM46" s="105"/>
      <c r="DN46" s="105"/>
      <c r="DO46" s="105"/>
      <c r="DP46" s="105"/>
      <c r="DQ46" s="105"/>
      <c r="DR46" s="105"/>
      <c r="DS46" s="105"/>
      <c r="DT46" s="105"/>
      <c r="DU46" s="105"/>
      <c r="DV46" s="105"/>
      <c r="DW46" s="105"/>
      <c r="DX46" s="105"/>
      <c r="DY46" s="105"/>
      <c r="DZ46" s="105"/>
      <c r="EA46" s="105"/>
      <c r="EB46" s="105"/>
      <c r="EC46" s="105"/>
      <c r="ED46" s="105"/>
      <c r="EE46" s="105"/>
      <c r="EF46" s="105"/>
      <c r="EG46" s="105"/>
      <c r="EH46" s="105"/>
      <c r="EI46" s="105"/>
      <c r="EJ46" s="105"/>
      <c r="EK46" s="105"/>
      <c r="EL46" s="105"/>
      <c r="EM46" s="105"/>
      <c r="EN46" s="105"/>
      <c r="EO46" s="105"/>
      <c r="EP46" s="105"/>
      <c r="EQ46" s="105"/>
      <c r="ER46" s="105"/>
      <c r="ES46" s="105"/>
      <c r="ET46" s="105"/>
      <c r="EU46" s="105"/>
      <c r="EV46" s="105"/>
      <c r="EW46" s="105"/>
      <c r="EX46" s="105"/>
      <c r="EY46" s="105"/>
      <c r="EZ46" s="105"/>
      <c r="FA46" s="105"/>
      <c r="FB46" s="105"/>
      <c r="FC46" s="105"/>
      <c r="FD46" s="105"/>
      <c r="FE46" s="105"/>
      <c r="FF46" s="105"/>
      <c r="FG46" s="105"/>
      <c r="FH46" s="105"/>
      <c r="FI46" s="105"/>
      <c r="FJ46" s="105"/>
      <c r="FK46" s="105"/>
      <c r="FL46" s="105"/>
      <c r="FM46" s="105"/>
      <c r="FN46" s="105"/>
      <c r="FO46" s="105"/>
      <c r="FP46" s="105"/>
      <c r="FQ46" s="105"/>
      <c r="FR46" s="105"/>
      <c r="FS46" s="105"/>
      <c r="FT46" s="105"/>
      <c r="FU46" s="105"/>
      <c r="FV46" s="105"/>
      <c r="FW46" s="105"/>
      <c r="FX46" s="105"/>
      <c r="FY46" s="105"/>
      <c r="FZ46" s="105"/>
      <c r="GA46" s="105"/>
      <c r="GB46" s="105"/>
      <c r="GC46" s="105"/>
      <c r="GD46" s="105"/>
      <c r="GE46" s="105"/>
      <c r="GF46" s="105"/>
      <c r="GG46" s="105"/>
      <c r="GH46" s="105"/>
      <c r="GI46" s="105"/>
      <c r="GJ46" s="105"/>
      <c r="GK46" s="105"/>
      <c r="GL46" s="105"/>
      <c r="GM46" s="105"/>
      <c r="GN46" s="105"/>
      <c r="GO46" s="105"/>
      <c r="GP46" s="105"/>
      <c r="GQ46" s="105"/>
      <c r="GR46" s="105"/>
      <c r="GS46" s="105"/>
      <c r="GT46" s="105"/>
      <c r="GU46" s="105"/>
      <c r="GV46" s="105"/>
      <c r="GW46" s="105"/>
      <c r="GX46" s="105"/>
      <c r="GY46" s="105"/>
      <c r="GZ46" s="105"/>
      <c r="HA46" s="105"/>
      <c r="HB46" s="105"/>
      <c r="HC46" s="105"/>
      <c r="HD46" s="105"/>
      <c r="HE46" s="105"/>
      <c r="HF46" s="105"/>
      <c r="HG46" s="105"/>
      <c r="HH46" s="105"/>
      <c r="HI46" s="105"/>
      <c r="HJ46" s="105"/>
      <c r="HK46" s="105"/>
      <c r="HL46" s="105"/>
      <c r="HM46" s="105"/>
      <c r="HN46" s="105"/>
      <c r="HO46" s="105"/>
      <c r="HP46" s="105"/>
      <c r="HQ46" s="105"/>
      <c r="HR46" s="105"/>
      <c r="HS46" s="105"/>
      <c r="HT46" s="105"/>
      <c r="HU46" s="105"/>
      <c r="HV46" s="105"/>
      <c r="HW46" s="105"/>
      <c r="HX46" s="105"/>
      <c r="HY46" s="105"/>
      <c r="HZ46" s="105"/>
      <c r="IA46" s="105"/>
      <c r="IB46" s="105"/>
      <c r="IC46" s="105"/>
      <c r="ID46" s="105"/>
      <c r="IE46" s="105"/>
      <c r="IF46" s="105"/>
      <c r="IG46" s="105"/>
      <c r="IH46" s="105"/>
      <c r="II46" s="105"/>
      <c r="IJ46" s="105"/>
      <c r="IK46" s="105"/>
      <c r="IL46" s="105"/>
      <c r="IM46" s="105"/>
      <c r="IN46" s="105"/>
      <c r="IO46" s="105"/>
      <c r="IP46" s="105"/>
      <c r="IQ46" s="105"/>
      <c r="IR46" s="105"/>
      <c r="IS46" s="105"/>
      <c r="IT46" s="105"/>
      <c r="IU46" s="105"/>
      <c r="IV46" s="105"/>
      <c r="IW46" s="105"/>
      <c r="IX46" s="105"/>
      <c r="IY46" s="105"/>
      <c r="IZ46" s="105"/>
      <c r="JA46" s="105"/>
      <c r="JB46" s="105"/>
      <c r="JC46" s="105"/>
      <c r="JD46" s="105"/>
      <c r="JE46" s="105"/>
      <c r="JF46" s="105"/>
      <c r="JG46" s="105"/>
      <c r="JH46" s="105"/>
      <c r="JI46" s="105"/>
      <c r="JJ46" s="105"/>
      <c r="JK46" s="105"/>
      <c r="JL46" s="105"/>
      <c r="JM46" s="105"/>
      <c r="JN46" s="105"/>
      <c r="JO46" s="105"/>
      <c r="JP46" s="105"/>
      <c r="JQ46" s="105"/>
      <c r="JR46" s="105"/>
      <c r="JS46" s="105"/>
      <c r="JT46" s="105"/>
      <c r="JU46" s="105"/>
      <c r="JV46" s="105"/>
      <c r="JW46" s="105"/>
      <c r="JX46" s="105"/>
      <c r="JY46" s="105"/>
      <c r="JZ46" s="105"/>
      <c r="KA46" s="105"/>
      <c r="KB46" s="105"/>
      <c r="KC46" s="105"/>
      <c r="KD46" s="105"/>
      <c r="KE46" s="105"/>
      <c r="KF46" s="219"/>
      <c r="KG46" s="219"/>
      <c r="KH46" s="219"/>
      <c r="KI46" s="219"/>
      <c r="KJ46" s="219"/>
      <c r="KK46" s="219"/>
      <c r="KL46" s="219"/>
      <c r="KM46" s="219"/>
      <c r="KN46" s="219"/>
      <c r="KO46" s="219"/>
      <c r="KP46" s="128"/>
      <c r="KQ46" s="128"/>
    </row>
    <row r="47" spans="1:303" s="107" customFormat="1" ht="11.25">
      <c r="A47" s="108" t="s">
        <v>183</v>
      </c>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c r="BI47" s="105"/>
      <c r="BJ47" s="105"/>
      <c r="BK47" s="105"/>
      <c r="BL47" s="105"/>
      <c r="BM47" s="105"/>
      <c r="BN47" s="105"/>
      <c r="BO47" s="105"/>
      <c r="BP47" s="105"/>
      <c r="BQ47" s="105"/>
      <c r="BR47" s="105"/>
      <c r="BS47" s="105"/>
      <c r="BT47" s="105"/>
      <c r="BU47" s="105"/>
      <c r="BV47" s="105"/>
      <c r="BW47" s="105"/>
      <c r="BX47" s="105"/>
      <c r="BY47" s="105"/>
      <c r="BZ47" s="105"/>
      <c r="CA47" s="105"/>
      <c r="CB47" s="105"/>
      <c r="CC47" s="105"/>
      <c r="CD47" s="105"/>
      <c r="CE47" s="105"/>
      <c r="CF47" s="105"/>
      <c r="CG47" s="105"/>
      <c r="CH47" s="105"/>
      <c r="CI47" s="105"/>
      <c r="CJ47" s="105"/>
      <c r="CK47" s="105"/>
      <c r="CL47" s="105"/>
      <c r="CM47" s="105"/>
      <c r="CN47" s="105"/>
      <c r="CO47" s="105"/>
      <c r="CP47" s="105"/>
      <c r="CQ47" s="105"/>
      <c r="CR47" s="105"/>
      <c r="CS47" s="105"/>
      <c r="CT47" s="105"/>
      <c r="CU47" s="105"/>
      <c r="CV47" s="105"/>
      <c r="CW47" s="105"/>
      <c r="CX47" s="105"/>
      <c r="CY47" s="105"/>
      <c r="CZ47" s="105"/>
      <c r="DA47" s="105"/>
      <c r="DB47" s="105"/>
      <c r="DC47" s="105"/>
      <c r="DD47" s="105"/>
      <c r="DE47" s="105"/>
      <c r="DF47" s="105"/>
      <c r="DG47" s="105"/>
      <c r="DH47" s="105"/>
      <c r="DI47" s="105"/>
      <c r="DJ47" s="105"/>
      <c r="DK47" s="105"/>
      <c r="DL47" s="105"/>
      <c r="DM47" s="105"/>
      <c r="DN47" s="105"/>
      <c r="DO47" s="105"/>
      <c r="DP47" s="105"/>
      <c r="DQ47" s="105"/>
      <c r="DR47" s="105"/>
      <c r="DS47" s="105"/>
      <c r="DT47" s="105"/>
      <c r="DU47" s="105"/>
      <c r="DV47" s="105"/>
      <c r="DW47" s="105"/>
      <c r="DX47" s="105"/>
      <c r="DY47" s="105"/>
      <c r="DZ47" s="105"/>
      <c r="EA47" s="105"/>
      <c r="EB47" s="105"/>
      <c r="EC47" s="105"/>
      <c r="ED47" s="105"/>
      <c r="EE47" s="105"/>
      <c r="EF47" s="105"/>
      <c r="EG47" s="105"/>
      <c r="EH47" s="105"/>
      <c r="EI47" s="105"/>
      <c r="EJ47" s="105"/>
      <c r="EK47" s="105"/>
      <c r="EL47" s="105"/>
      <c r="EM47" s="105"/>
      <c r="EN47" s="105"/>
      <c r="EO47" s="105"/>
      <c r="EP47" s="105"/>
      <c r="EQ47" s="105"/>
      <c r="ER47" s="105"/>
      <c r="ES47" s="105"/>
      <c r="ET47" s="105"/>
      <c r="EU47" s="105"/>
      <c r="EV47" s="105"/>
      <c r="EW47" s="105"/>
      <c r="EX47" s="105"/>
      <c r="EY47" s="105"/>
      <c r="EZ47" s="105"/>
      <c r="FA47" s="105"/>
      <c r="FB47" s="105"/>
      <c r="FC47" s="105"/>
      <c r="FD47" s="105"/>
      <c r="FE47" s="105"/>
      <c r="FF47" s="105"/>
      <c r="FG47" s="105"/>
      <c r="FH47" s="105"/>
      <c r="FI47" s="105"/>
      <c r="FJ47" s="105"/>
      <c r="FK47" s="105"/>
      <c r="FL47" s="105"/>
      <c r="FM47" s="105"/>
      <c r="FN47" s="105"/>
      <c r="FO47" s="105"/>
      <c r="FP47" s="105"/>
      <c r="FQ47" s="105"/>
      <c r="FR47" s="105"/>
      <c r="FS47" s="105"/>
      <c r="FT47" s="105"/>
      <c r="FU47" s="105"/>
      <c r="FV47" s="105"/>
      <c r="FW47" s="105"/>
      <c r="FX47" s="105"/>
      <c r="FY47" s="105"/>
      <c r="FZ47" s="105"/>
      <c r="GA47" s="105"/>
      <c r="GB47" s="105"/>
      <c r="GC47" s="105"/>
      <c r="GD47" s="105"/>
      <c r="GE47" s="105"/>
      <c r="GF47" s="105"/>
      <c r="GG47" s="105"/>
      <c r="GH47" s="105"/>
      <c r="GI47" s="105"/>
      <c r="GJ47" s="105"/>
      <c r="GK47" s="105"/>
      <c r="GL47" s="105"/>
      <c r="GM47" s="105"/>
      <c r="GN47" s="105"/>
      <c r="GO47" s="105"/>
      <c r="GP47" s="105"/>
      <c r="GQ47" s="105"/>
      <c r="GR47" s="105"/>
      <c r="GS47" s="105"/>
      <c r="GT47" s="105"/>
      <c r="GU47" s="105"/>
      <c r="GV47" s="105"/>
      <c r="GW47" s="105"/>
      <c r="GX47" s="105"/>
      <c r="GY47" s="105"/>
      <c r="GZ47" s="105"/>
      <c r="HA47" s="105"/>
      <c r="HB47" s="105"/>
      <c r="HC47" s="105"/>
      <c r="HD47" s="105"/>
      <c r="HE47" s="105"/>
      <c r="HF47" s="105"/>
      <c r="HG47" s="105"/>
      <c r="HH47" s="105"/>
      <c r="HI47" s="105"/>
      <c r="HJ47" s="105"/>
      <c r="HK47" s="105"/>
      <c r="HL47" s="105"/>
      <c r="HM47" s="105"/>
      <c r="HN47" s="105"/>
      <c r="HO47" s="105"/>
      <c r="HP47" s="105"/>
      <c r="HQ47" s="105"/>
      <c r="HR47" s="105"/>
      <c r="HS47" s="105"/>
      <c r="HT47" s="105"/>
      <c r="HU47" s="105"/>
      <c r="HV47" s="105"/>
      <c r="HW47" s="105"/>
      <c r="HX47" s="105"/>
      <c r="HY47" s="105"/>
      <c r="HZ47" s="105"/>
      <c r="IA47" s="105"/>
      <c r="IB47" s="105"/>
      <c r="IC47" s="105"/>
      <c r="ID47" s="105"/>
      <c r="IE47" s="105"/>
      <c r="IF47" s="105"/>
      <c r="IG47" s="105"/>
      <c r="IH47" s="105"/>
      <c r="II47" s="105"/>
      <c r="IJ47" s="105"/>
      <c r="IK47" s="105"/>
      <c r="IL47" s="105"/>
      <c r="IM47" s="105"/>
      <c r="IN47" s="105"/>
      <c r="IO47" s="105"/>
      <c r="IP47" s="105"/>
      <c r="IQ47" s="105"/>
      <c r="IR47" s="105"/>
      <c r="IS47" s="105"/>
      <c r="IT47" s="105"/>
      <c r="IU47" s="105"/>
      <c r="IV47" s="105"/>
      <c r="IW47" s="105"/>
      <c r="IX47" s="105"/>
      <c r="IY47" s="105"/>
      <c r="IZ47" s="105"/>
      <c r="JA47" s="105"/>
      <c r="JB47" s="105"/>
      <c r="JC47" s="105"/>
      <c r="JD47" s="105"/>
      <c r="JE47" s="105"/>
      <c r="JF47" s="105"/>
      <c r="JG47" s="105"/>
      <c r="JH47" s="105"/>
      <c r="JI47" s="105"/>
      <c r="JJ47" s="105"/>
      <c r="JK47" s="105"/>
      <c r="JL47" s="105"/>
      <c r="JM47" s="105"/>
      <c r="JN47" s="105"/>
      <c r="JO47" s="105"/>
      <c r="JP47" s="105"/>
      <c r="JQ47" s="105"/>
      <c r="JR47" s="105"/>
      <c r="JS47" s="105"/>
      <c r="JT47" s="105"/>
      <c r="JU47" s="105"/>
      <c r="JV47" s="105"/>
      <c r="JW47" s="105"/>
      <c r="JX47" s="105"/>
      <c r="JY47" s="105"/>
      <c r="JZ47" s="105"/>
      <c r="KA47" s="105"/>
      <c r="KB47" s="105"/>
      <c r="KC47" s="105"/>
      <c r="KD47" s="105"/>
      <c r="KE47" s="105"/>
      <c r="KF47" s="219"/>
      <c r="KG47" s="219"/>
      <c r="KH47" s="219"/>
      <c r="KI47" s="219"/>
      <c r="KJ47" s="219"/>
      <c r="KK47" s="219"/>
      <c r="KL47" s="219"/>
      <c r="KM47" s="219"/>
      <c r="KN47" s="219"/>
      <c r="KO47" s="219"/>
      <c r="KP47" s="128"/>
      <c r="KQ47" s="128"/>
    </row>
    <row r="48" spans="1:303" s="107" customFormat="1" ht="11.25">
      <c r="A48" s="103" t="s">
        <v>184</v>
      </c>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c r="BP48" s="105"/>
      <c r="BQ48" s="105"/>
      <c r="BR48" s="105"/>
      <c r="BS48" s="105"/>
      <c r="BT48" s="105"/>
      <c r="BU48" s="105"/>
      <c r="BV48" s="105"/>
      <c r="BW48" s="105"/>
      <c r="BX48" s="105"/>
      <c r="BY48" s="105"/>
      <c r="BZ48" s="105"/>
      <c r="CA48" s="105"/>
      <c r="CB48" s="105"/>
      <c r="CC48" s="105"/>
      <c r="CD48" s="105"/>
      <c r="CE48" s="105"/>
      <c r="CF48" s="105"/>
      <c r="CG48" s="105"/>
      <c r="CH48" s="105"/>
      <c r="CI48" s="105"/>
      <c r="CJ48" s="105"/>
      <c r="CK48" s="105"/>
      <c r="CL48" s="105"/>
      <c r="CM48" s="105"/>
      <c r="CN48" s="105"/>
      <c r="CO48" s="105"/>
      <c r="CP48" s="105"/>
      <c r="CQ48" s="105"/>
      <c r="CR48" s="105"/>
      <c r="CS48" s="105"/>
      <c r="CT48" s="105"/>
      <c r="CU48" s="105"/>
      <c r="CV48" s="105"/>
      <c r="CW48" s="105"/>
      <c r="CX48" s="105"/>
      <c r="CY48" s="105"/>
      <c r="CZ48" s="105"/>
      <c r="DA48" s="105"/>
      <c r="DB48" s="105"/>
      <c r="DC48" s="105"/>
      <c r="DD48" s="105"/>
      <c r="DE48" s="105"/>
      <c r="DF48" s="105"/>
      <c r="DG48" s="105"/>
      <c r="DH48" s="105"/>
      <c r="DI48" s="105"/>
      <c r="DJ48" s="105"/>
      <c r="DK48" s="105"/>
      <c r="DL48" s="105"/>
      <c r="DM48" s="105"/>
      <c r="DN48" s="105"/>
      <c r="DO48" s="105"/>
      <c r="DP48" s="105"/>
      <c r="DQ48" s="105"/>
      <c r="DR48" s="105"/>
      <c r="DS48" s="105"/>
      <c r="DT48" s="105"/>
      <c r="DU48" s="105"/>
      <c r="DV48" s="105"/>
      <c r="DW48" s="105"/>
      <c r="DX48" s="105"/>
      <c r="DY48" s="105"/>
      <c r="DZ48" s="105"/>
      <c r="EA48" s="105"/>
      <c r="EB48" s="105"/>
      <c r="EC48" s="105"/>
      <c r="ED48" s="105"/>
      <c r="EE48" s="105"/>
      <c r="EF48" s="105"/>
      <c r="EG48" s="105"/>
      <c r="EH48" s="105"/>
      <c r="EI48" s="105"/>
      <c r="EJ48" s="105"/>
      <c r="EK48" s="105"/>
      <c r="EL48" s="105"/>
      <c r="EM48" s="105"/>
      <c r="EN48" s="105"/>
      <c r="EO48" s="105"/>
      <c r="EP48" s="105"/>
      <c r="EQ48" s="105"/>
      <c r="ER48" s="105"/>
      <c r="ES48" s="105"/>
      <c r="ET48" s="105"/>
      <c r="EU48" s="105"/>
      <c r="EV48" s="105"/>
      <c r="EW48" s="105"/>
      <c r="EX48" s="105"/>
      <c r="EY48" s="105"/>
      <c r="EZ48" s="105"/>
      <c r="FA48" s="105"/>
      <c r="FB48" s="105"/>
      <c r="FC48" s="105"/>
      <c r="FD48" s="105"/>
      <c r="FE48" s="105"/>
      <c r="FF48" s="105"/>
      <c r="FG48" s="105"/>
      <c r="FH48" s="105"/>
      <c r="FI48" s="105"/>
      <c r="FJ48" s="105"/>
      <c r="FK48" s="105"/>
      <c r="FL48" s="105"/>
      <c r="FM48" s="105"/>
      <c r="FN48" s="105"/>
      <c r="FO48" s="105"/>
      <c r="FP48" s="105"/>
      <c r="FQ48" s="105"/>
      <c r="FR48" s="105"/>
      <c r="FS48" s="105"/>
      <c r="FT48" s="105"/>
      <c r="FU48" s="105"/>
      <c r="FV48" s="105"/>
      <c r="FW48" s="105"/>
      <c r="FX48" s="105"/>
      <c r="FY48" s="105"/>
      <c r="FZ48" s="105"/>
      <c r="GA48" s="105"/>
      <c r="GB48" s="105"/>
      <c r="GC48" s="105"/>
      <c r="GD48" s="105"/>
      <c r="GE48" s="105"/>
      <c r="GF48" s="105"/>
      <c r="GG48" s="105"/>
      <c r="GH48" s="105"/>
      <c r="GI48" s="105"/>
      <c r="GJ48" s="105"/>
      <c r="GK48" s="105"/>
      <c r="GL48" s="105"/>
      <c r="GM48" s="105"/>
      <c r="GN48" s="105"/>
      <c r="GO48" s="105"/>
      <c r="GP48" s="105"/>
      <c r="GQ48" s="105"/>
      <c r="GR48" s="105"/>
      <c r="GS48" s="105"/>
      <c r="GT48" s="105"/>
      <c r="GU48" s="105"/>
      <c r="GV48" s="105"/>
      <c r="GW48" s="105"/>
      <c r="GX48" s="105"/>
      <c r="GY48" s="105"/>
      <c r="GZ48" s="105"/>
      <c r="HA48" s="105"/>
      <c r="HB48" s="105"/>
      <c r="HC48" s="105"/>
      <c r="HD48" s="105"/>
      <c r="HE48" s="105"/>
      <c r="HF48" s="105"/>
      <c r="HG48" s="105"/>
      <c r="HH48" s="105"/>
      <c r="HI48" s="105"/>
      <c r="HJ48" s="105"/>
      <c r="HK48" s="105"/>
      <c r="HL48" s="105"/>
      <c r="HM48" s="105"/>
      <c r="HN48" s="105"/>
      <c r="HO48" s="105"/>
      <c r="HP48" s="105"/>
      <c r="HQ48" s="105"/>
      <c r="HR48" s="105"/>
      <c r="HS48" s="105"/>
      <c r="HT48" s="105"/>
      <c r="HU48" s="105"/>
      <c r="HV48" s="105"/>
      <c r="HW48" s="105"/>
      <c r="HX48" s="105"/>
      <c r="HY48" s="105"/>
      <c r="HZ48" s="105"/>
      <c r="IA48" s="105"/>
      <c r="IB48" s="105"/>
      <c r="IC48" s="105"/>
      <c r="ID48" s="105"/>
      <c r="IE48" s="105"/>
      <c r="IF48" s="105"/>
      <c r="IG48" s="105"/>
      <c r="IH48" s="105"/>
      <c r="II48" s="105"/>
      <c r="IJ48" s="105"/>
      <c r="IK48" s="105"/>
      <c r="IL48" s="105"/>
      <c r="IM48" s="105"/>
      <c r="IN48" s="105"/>
      <c r="IO48" s="105"/>
      <c r="IP48" s="105"/>
      <c r="IQ48" s="105"/>
      <c r="IR48" s="105"/>
      <c r="IS48" s="105"/>
      <c r="IT48" s="105"/>
      <c r="IU48" s="105"/>
      <c r="IV48" s="105"/>
      <c r="IW48" s="105"/>
      <c r="IX48" s="105"/>
      <c r="IY48" s="105"/>
      <c r="IZ48" s="105"/>
      <c r="JA48" s="105"/>
      <c r="JB48" s="105"/>
      <c r="JC48" s="105"/>
      <c r="JD48" s="105"/>
      <c r="JE48" s="105"/>
      <c r="JF48" s="105"/>
      <c r="JG48" s="105"/>
      <c r="JH48" s="105"/>
      <c r="JI48" s="105"/>
      <c r="JJ48" s="105"/>
      <c r="JK48" s="105"/>
      <c r="JL48" s="105"/>
      <c r="JM48" s="105"/>
      <c r="JN48" s="105"/>
      <c r="JO48" s="105"/>
      <c r="JP48" s="105"/>
      <c r="JQ48" s="105"/>
      <c r="JR48" s="105"/>
      <c r="JS48" s="105"/>
      <c r="JT48" s="105"/>
      <c r="JU48" s="105"/>
      <c r="JV48" s="105"/>
      <c r="JW48" s="105"/>
      <c r="JX48" s="105"/>
      <c r="JY48" s="105"/>
      <c r="JZ48" s="105"/>
      <c r="KA48" s="105"/>
      <c r="KB48" s="105"/>
      <c r="KC48" s="105"/>
      <c r="KD48" s="105"/>
      <c r="KE48" s="105"/>
      <c r="KF48" s="219"/>
      <c r="KG48" s="219"/>
      <c r="KH48" s="219"/>
      <c r="KI48" s="219"/>
      <c r="KJ48" s="219"/>
      <c r="KK48" s="219"/>
      <c r="KL48" s="219"/>
      <c r="KM48" s="219"/>
      <c r="KN48" s="219"/>
      <c r="KO48" s="219"/>
      <c r="KP48" s="128"/>
      <c r="KQ48" s="128"/>
    </row>
    <row r="49" spans="1:303" s="112" customFormat="1">
      <c r="A49" s="110"/>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c r="CQ49" s="111"/>
      <c r="CR49" s="111"/>
      <c r="CS49" s="111"/>
      <c r="CT49" s="111"/>
      <c r="CU49" s="111"/>
      <c r="CV49" s="111"/>
      <c r="CW49" s="111"/>
      <c r="CX49" s="111"/>
      <c r="CY49" s="111"/>
      <c r="CZ49" s="111"/>
      <c r="DA49" s="111"/>
      <c r="DB49" s="111"/>
      <c r="DC49" s="111"/>
      <c r="DD49" s="111"/>
      <c r="DE49" s="111"/>
      <c r="DF49" s="111"/>
      <c r="DG49" s="111"/>
      <c r="DH49" s="111"/>
      <c r="DI49" s="111"/>
      <c r="DJ49" s="111"/>
      <c r="DK49" s="111"/>
      <c r="DL49" s="111"/>
      <c r="DM49" s="111"/>
      <c r="DN49" s="111"/>
      <c r="DO49" s="111"/>
      <c r="DP49" s="111"/>
      <c r="DQ49" s="111"/>
      <c r="DR49" s="111"/>
      <c r="DS49" s="111"/>
      <c r="DT49" s="111"/>
      <c r="DU49" s="111"/>
      <c r="DV49" s="111"/>
      <c r="DW49" s="111"/>
      <c r="DX49" s="111"/>
      <c r="DY49" s="111"/>
      <c r="DZ49" s="111"/>
      <c r="EA49" s="111"/>
      <c r="EB49" s="111"/>
      <c r="EC49" s="111"/>
      <c r="ED49" s="111"/>
      <c r="EE49" s="111"/>
      <c r="EF49" s="111"/>
      <c r="EG49" s="111"/>
      <c r="EH49" s="111"/>
      <c r="EI49" s="111"/>
      <c r="EJ49" s="111"/>
      <c r="EK49" s="111"/>
      <c r="EL49" s="111"/>
      <c r="EM49" s="111"/>
      <c r="EN49" s="111"/>
      <c r="EO49" s="111"/>
      <c r="EP49" s="111"/>
      <c r="EQ49" s="111"/>
      <c r="ER49" s="111"/>
      <c r="ES49" s="111"/>
      <c r="ET49" s="111"/>
      <c r="EU49" s="111"/>
      <c r="EV49" s="111"/>
      <c r="EW49" s="111"/>
      <c r="EX49" s="111"/>
      <c r="EY49" s="111"/>
      <c r="EZ49" s="111"/>
      <c r="FA49" s="111"/>
      <c r="FB49" s="111"/>
      <c r="FC49" s="111"/>
      <c r="FD49" s="111"/>
      <c r="FE49" s="111"/>
      <c r="FF49" s="111"/>
      <c r="FG49" s="111"/>
      <c r="FH49" s="111"/>
      <c r="FI49" s="111"/>
      <c r="FJ49" s="111"/>
      <c r="FK49" s="111"/>
      <c r="FL49" s="111"/>
      <c r="FM49" s="111"/>
      <c r="FN49" s="111"/>
      <c r="FO49" s="111"/>
      <c r="FP49" s="111"/>
      <c r="FQ49" s="111"/>
      <c r="FR49" s="111"/>
      <c r="FS49" s="111"/>
      <c r="FT49" s="111"/>
      <c r="FU49" s="111"/>
      <c r="FV49" s="111"/>
      <c r="FW49" s="111"/>
      <c r="FX49" s="111"/>
      <c r="FY49" s="111"/>
      <c r="FZ49" s="111"/>
      <c r="GA49" s="111"/>
      <c r="GB49" s="111"/>
      <c r="GC49" s="111"/>
      <c r="GD49" s="111"/>
      <c r="GE49" s="111"/>
      <c r="GF49" s="111"/>
      <c r="GG49" s="111"/>
      <c r="GH49" s="111"/>
      <c r="GI49" s="111"/>
      <c r="GJ49" s="111"/>
      <c r="GK49" s="111"/>
      <c r="GL49" s="111"/>
      <c r="GM49" s="111"/>
      <c r="GN49" s="111"/>
      <c r="GO49" s="111"/>
      <c r="GP49" s="111"/>
      <c r="GQ49" s="111"/>
      <c r="GR49" s="111"/>
      <c r="GS49" s="111"/>
      <c r="GT49" s="111"/>
      <c r="GU49" s="111"/>
      <c r="GV49" s="111"/>
      <c r="GW49" s="111"/>
      <c r="GX49" s="111"/>
      <c r="GY49" s="111"/>
      <c r="GZ49" s="111"/>
      <c r="HA49" s="111"/>
      <c r="HB49" s="111"/>
      <c r="HC49" s="111"/>
      <c r="HD49" s="111"/>
      <c r="HE49" s="111"/>
      <c r="HF49" s="111"/>
      <c r="HG49" s="111"/>
      <c r="HH49" s="111"/>
      <c r="HI49" s="111"/>
      <c r="HJ49" s="111"/>
      <c r="HK49" s="111"/>
      <c r="HL49" s="111"/>
      <c r="HM49" s="111"/>
      <c r="HN49" s="111"/>
      <c r="HO49" s="111"/>
      <c r="HP49" s="111"/>
      <c r="HQ49" s="111"/>
      <c r="HR49" s="111"/>
      <c r="HS49" s="111"/>
      <c r="HT49" s="111"/>
      <c r="HU49" s="111"/>
      <c r="HV49" s="111"/>
      <c r="HW49" s="111"/>
      <c r="HX49" s="111"/>
      <c r="HY49" s="111"/>
      <c r="HZ49" s="111"/>
      <c r="IA49" s="111"/>
      <c r="IB49" s="111"/>
      <c r="IC49" s="111"/>
      <c r="ID49" s="111"/>
      <c r="IE49" s="111"/>
      <c r="IF49" s="111"/>
      <c r="IG49" s="111"/>
      <c r="IH49" s="111"/>
      <c r="II49" s="111"/>
      <c r="IJ49" s="111"/>
      <c r="IK49" s="111"/>
      <c r="IL49" s="111"/>
      <c r="IM49" s="111"/>
      <c r="IN49" s="111"/>
      <c r="IO49" s="111"/>
      <c r="IP49" s="111"/>
      <c r="IQ49" s="111"/>
      <c r="IR49" s="111"/>
      <c r="IS49" s="111"/>
      <c r="IT49" s="111"/>
      <c r="IU49" s="111"/>
      <c r="IV49" s="111"/>
      <c r="IW49" s="111"/>
      <c r="IX49" s="111"/>
      <c r="IY49" s="111"/>
      <c r="IZ49" s="111"/>
      <c r="JA49" s="111"/>
      <c r="JB49" s="111"/>
      <c r="JC49" s="111"/>
      <c r="JD49" s="111"/>
      <c r="JE49" s="111"/>
      <c r="JF49" s="111"/>
      <c r="JG49" s="111"/>
      <c r="JH49" s="111"/>
      <c r="JI49" s="111"/>
      <c r="JJ49" s="111"/>
      <c r="JK49" s="111"/>
      <c r="JL49" s="111"/>
      <c r="JM49" s="111"/>
      <c r="JN49" s="111"/>
      <c r="JO49" s="111"/>
      <c r="JP49" s="111"/>
      <c r="JQ49" s="111"/>
      <c r="JR49" s="111"/>
      <c r="JS49" s="111"/>
      <c r="JT49" s="111"/>
      <c r="JU49" s="111"/>
      <c r="JV49" s="111"/>
      <c r="JW49" s="111"/>
      <c r="JX49" s="111"/>
      <c r="JY49" s="111"/>
      <c r="JZ49" s="111"/>
      <c r="KA49" s="111"/>
      <c r="KB49" s="111"/>
      <c r="KC49" s="111"/>
      <c r="KD49" s="111"/>
      <c r="KE49" s="111"/>
      <c r="KF49" s="220"/>
      <c r="KG49" s="220"/>
      <c r="KH49" s="220"/>
      <c r="KI49" s="220"/>
      <c r="KJ49" s="220"/>
      <c r="KK49" s="220"/>
      <c r="KL49" s="220"/>
      <c r="KM49" s="220"/>
      <c r="KN49" s="220"/>
      <c r="KO49" s="220"/>
      <c r="KP49" s="129"/>
      <c r="KQ49" s="129"/>
    </row>
    <row r="50" spans="1:303" s="115" customFormat="1" ht="12" customHeight="1">
      <c r="A50" s="113" t="s">
        <v>185</v>
      </c>
      <c r="B50" s="111"/>
      <c r="C50" s="114"/>
      <c r="D50" s="114"/>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4"/>
      <c r="AE50" s="114"/>
      <c r="AF50" s="114"/>
      <c r="AG50" s="114"/>
      <c r="AH50" s="114"/>
      <c r="AI50" s="114"/>
      <c r="AJ50" s="114"/>
      <c r="AK50" s="114"/>
      <c r="AL50" s="114"/>
      <c r="AM50" s="114"/>
      <c r="AN50" s="114"/>
      <c r="AO50" s="114"/>
      <c r="AP50" s="114"/>
      <c r="AQ50" s="114"/>
      <c r="AR50" s="114"/>
      <c r="AS50" s="114"/>
      <c r="AT50" s="114"/>
      <c r="AU50" s="114"/>
      <c r="AV50" s="114"/>
      <c r="AW50" s="114"/>
      <c r="AX50" s="114"/>
      <c r="AY50" s="114"/>
      <c r="AZ50" s="114"/>
      <c r="BA50" s="114"/>
      <c r="BB50" s="114"/>
      <c r="BC50" s="114"/>
      <c r="BD50" s="114"/>
      <c r="BE50" s="114"/>
      <c r="BF50" s="114"/>
      <c r="BG50" s="114"/>
      <c r="BH50" s="114"/>
      <c r="BI50" s="114"/>
      <c r="BJ50" s="114"/>
      <c r="BK50" s="114"/>
      <c r="BL50" s="114"/>
      <c r="BM50" s="114"/>
      <c r="BN50" s="114"/>
      <c r="BO50" s="114"/>
      <c r="BP50" s="114"/>
      <c r="BQ50" s="114"/>
      <c r="BR50" s="114"/>
      <c r="BS50" s="114"/>
      <c r="BT50" s="114"/>
      <c r="BU50" s="114"/>
      <c r="BV50" s="114"/>
      <c r="BW50" s="114"/>
      <c r="BX50" s="114"/>
      <c r="BY50" s="114"/>
      <c r="BZ50" s="114"/>
      <c r="CA50" s="114"/>
      <c r="CB50" s="114"/>
      <c r="CC50" s="114"/>
      <c r="CD50" s="114"/>
      <c r="CE50" s="114"/>
      <c r="CF50" s="114"/>
      <c r="CG50" s="114"/>
      <c r="CH50" s="114"/>
      <c r="CI50" s="114"/>
      <c r="CJ50" s="114"/>
      <c r="CK50" s="114"/>
      <c r="CL50" s="114"/>
      <c r="CM50" s="114"/>
      <c r="CN50" s="114"/>
      <c r="CO50" s="114"/>
      <c r="CP50" s="114"/>
      <c r="CQ50" s="114"/>
      <c r="CR50" s="114"/>
      <c r="CS50" s="114"/>
      <c r="CT50" s="114"/>
      <c r="CU50" s="114"/>
      <c r="CV50" s="114"/>
      <c r="CW50" s="114"/>
      <c r="CX50" s="114"/>
      <c r="CY50" s="114"/>
      <c r="CZ50" s="114"/>
      <c r="DA50" s="114"/>
      <c r="DB50" s="114"/>
      <c r="DC50" s="114"/>
      <c r="DD50" s="114"/>
      <c r="DE50" s="114"/>
      <c r="DF50" s="114"/>
      <c r="DG50" s="114"/>
      <c r="DH50" s="114"/>
      <c r="DI50" s="114"/>
      <c r="DJ50" s="114"/>
      <c r="DK50" s="114"/>
      <c r="DL50" s="114"/>
      <c r="DM50" s="114"/>
      <c r="DN50" s="114"/>
      <c r="DO50" s="114"/>
      <c r="DP50" s="114"/>
      <c r="DQ50" s="114"/>
      <c r="DR50" s="114"/>
      <c r="DS50" s="114"/>
      <c r="DT50" s="114"/>
      <c r="DU50" s="114"/>
      <c r="DV50" s="114"/>
      <c r="DW50" s="114"/>
      <c r="DX50" s="114"/>
      <c r="DY50" s="114"/>
      <c r="DZ50" s="114"/>
      <c r="EA50" s="114"/>
      <c r="EB50" s="114"/>
      <c r="EC50" s="114"/>
      <c r="ED50" s="114"/>
      <c r="EE50" s="114"/>
      <c r="EF50" s="114"/>
      <c r="EG50" s="114"/>
      <c r="EH50" s="114"/>
      <c r="EI50" s="114"/>
      <c r="EJ50" s="114"/>
      <c r="EK50" s="114"/>
      <c r="EL50" s="114"/>
      <c r="EM50" s="114"/>
      <c r="EN50" s="114"/>
      <c r="EO50" s="114"/>
      <c r="EP50" s="114"/>
      <c r="EQ50" s="114"/>
      <c r="ER50" s="114"/>
      <c r="ES50" s="114"/>
      <c r="ET50" s="114"/>
      <c r="EU50" s="114"/>
      <c r="EV50" s="114"/>
      <c r="EW50" s="114"/>
      <c r="EX50" s="114"/>
      <c r="EY50" s="114"/>
      <c r="EZ50" s="114"/>
      <c r="FA50" s="114"/>
      <c r="FB50" s="114"/>
      <c r="FC50" s="114"/>
      <c r="FD50" s="114"/>
      <c r="FE50" s="114"/>
      <c r="FF50" s="114"/>
      <c r="FG50" s="114"/>
      <c r="FH50" s="114"/>
      <c r="FI50" s="114"/>
      <c r="FJ50" s="114"/>
      <c r="FK50" s="114"/>
      <c r="FL50" s="114"/>
      <c r="FM50" s="114"/>
      <c r="FN50" s="114"/>
      <c r="FO50" s="114"/>
      <c r="FP50" s="114"/>
      <c r="FQ50" s="114"/>
      <c r="FR50" s="114"/>
      <c r="FS50" s="114"/>
      <c r="FT50" s="114"/>
      <c r="FU50" s="114"/>
      <c r="FV50" s="114"/>
      <c r="FW50" s="114"/>
      <c r="FX50" s="114"/>
      <c r="FY50" s="114"/>
      <c r="FZ50" s="114"/>
      <c r="GA50" s="114"/>
      <c r="GB50" s="114"/>
      <c r="GC50" s="114"/>
      <c r="GD50" s="114"/>
      <c r="GE50" s="114"/>
      <c r="GF50" s="114"/>
      <c r="GG50" s="114"/>
      <c r="GH50" s="114"/>
      <c r="GI50" s="114"/>
      <c r="GJ50" s="114"/>
      <c r="GK50" s="114"/>
      <c r="GL50" s="114"/>
      <c r="GM50" s="114"/>
      <c r="GN50" s="114"/>
      <c r="GO50" s="114"/>
      <c r="GP50" s="114"/>
      <c r="GQ50" s="114"/>
      <c r="GR50" s="114"/>
      <c r="GS50" s="114"/>
      <c r="GT50" s="114"/>
      <c r="GU50" s="114"/>
      <c r="GV50" s="114"/>
      <c r="GW50" s="114"/>
      <c r="GX50" s="114"/>
      <c r="GY50" s="114"/>
      <c r="GZ50" s="114"/>
      <c r="HA50" s="114"/>
      <c r="HB50" s="114"/>
      <c r="HC50" s="114"/>
      <c r="HD50" s="114"/>
      <c r="HE50" s="114"/>
      <c r="HF50" s="114"/>
      <c r="HG50" s="114"/>
      <c r="HH50" s="114"/>
      <c r="HI50" s="114"/>
      <c r="HJ50" s="114"/>
      <c r="HK50" s="114"/>
      <c r="HL50" s="114"/>
      <c r="HM50" s="114"/>
      <c r="HN50" s="114"/>
      <c r="HO50" s="114"/>
      <c r="HP50" s="114"/>
      <c r="HQ50" s="114"/>
      <c r="HR50" s="114"/>
      <c r="HS50" s="114"/>
      <c r="HT50" s="114"/>
      <c r="HU50" s="114"/>
      <c r="HV50" s="114"/>
      <c r="HW50" s="114"/>
      <c r="HX50" s="114"/>
      <c r="HY50" s="114"/>
      <c r="HZ50" s="114"/>
      <c r="IA50" s="114"/>
      <c r="IB50" s="114"/>
      <c r="IC50" s="114"/>
      <c r="ID50" s="114"/>
      <c r="IE50" s="114"/>
      <c r="IF50" s="114"/>
      <c r="IG50" s="114"/>
      <c r="IH50" s="114"/>
      <c r="II50" s="114"/>
      <c r="IJ50" s="114"/>
      <c r="IK50" s="114"/>
      <c r="IL50" s="114"/>
      <c r="IM50" s="114"/>
      <c r="IN50" s="114"/>
      <c r="IO50" s="114"/>
      <c r="IP50" s="114"/>
      <c r="IQ50" s="114"/>
      <c r="IR50" s="114"/>
      <c r="IS50" s="114"/>
      <c r="IT50" s="114"/>
      <c r="IU50" s="114"/>
      <c r="IV50" s="114"/>
      <c r="IW50" s="114"/>
      <c r="IX50" s="114"/>
      <c r="IY50" s="114"/>
      <c r="IZ50" s="114"/>
      <c r="JA50" s="114"/>
      <c r="JB50" s="114"/>
      <c r="JC50" s="114"/>
      <c r="JD50" s="114"/>
      <c r="JE50" s="114"/>
      <c r="JF50" s="114"/>
      <c r="JG50" s="114"/>
      <c r="JH50" s="114"/>
      <c r="JI50" s="114"/>
      <c r="JJ50" s="114"/>
      <c r="JK50" s="114"/>
      <c r="JL50" s="114"/>
      <c r="JM50" s="114"/>
      <c r="JN50" s="114"/>
      <c r="JO50" s="114"/>
      <c r="JP50" s="114"/>
      <c r="JQ50" s="114"/>
      <c r="JR50" s="114"/>
      <c r="JS50" s="114"/>
      <c r="JT50" s="114"/>
      <c r="JU50" s="114"/>
      <c r="JV50" s="114"/>
      <c r="JW50" s="114"/>
      <c r="JX50" s="114"/>
      <c r="JY50" s="114"/>
      <c r="JZ50" s="114"/>
      <c r="KA50" s="114"/>
      <c r="KB50" s="114"/>
      <c r="KC50" s="114"/>
      <c r="KD50" s="114"/>
      <c r="KE50" s="114"/>
      <c r="KF50" s="221"/>
      <c r="KG50" s="221"/>
      <c r="KH50" s="221"/>
      <c r="KI50" s="221"/>
      <c r="KJ50" s="221"/>
      <c r="KK50" s="221"/>
      <c r="KL50" s="221"/>
      <c r="KM50" s="221"/>
      <c r="KN50" s="221"/>
      <c r="KO50" s="221"/>
      <c r="KP50" s="130"/>
      <c r="KQ50" s="130"/>
    </row>
    <row r="51" spans="1:303">
      <c r="B51" s="117"/>
      <c r="KP51" s="131"/>
      <c r="KQ51" s="131"/>
    </row>
    <row r="52" spans="1:303">
      <c r="KP52" s="131"/>
      <c r="KQ52" s="131"/>
    </row>
    <row r="53" spans="1:303">
      <c r="KP53" s="131"/>
      <c r="KQ53" s="131"/>
    </row>
    <row r="54" spans="1:303">
      <c r="KP54" s="131"/>
      <c r="KQ54" s="131"/>
    </row>
  </sheetData>
  <mergeCells count="5">
    <mergeCell ref="A1:GO1"/>
    <mergeCell ref="A3:GO3"/>
    <mergeCell ref="A4:B4"/>
    <mergeCell ref="A2:EE2"/>
    <mergeCell ref="EF2:GO2"/>
  </mergeCells>
  <printOptions horizontalCentered="1" verticalCentered="1"/>
  <pageMargins left="0.59055118110236227" right="0.59055118110236227" top="0.59055118110236227" bottom="0.59055118110236227" header="0" footer="0"/>
  <headerFooter alignWithMargins="0"/>
</worksheet>
</file>

<file path=xl/worksheets/sheet6.xml><?xml version="1.0" encoding="utf-8"?>
<worksheet xmlns="http://schemas.openxmlformats.org/spreadsheetml/2006/main" xmlns:r="http://schemas.openxmlformats.org/officeDocument/2006/relationships">
  <sheetPr codeName="Hoja6">
    <tabColor theme="3"/>
    <pageSetUpPr fitToPage="1"/>
  </sheetPr>
  <dimension ref="A1:JO76"/>
  <sheetViews>
    <sheetView showGridLines="0" zoomScale="85" zoomScaleNormal="85" zoomScaleSheetLayoutView="100" workbookViewId="0">
      <pane xSplit="2" ySplit="5" topLeftCell="HG6" activePane="bottomRight" state="frozen"/>
      <selection activeCell="H27" sqref="H27"/>
      <selection pane="topRight" activeCell="H27" sqref="H27"/>
      <selection pane="bottomLeft" activeCell="H27" sqref="H27"/>
      <selection pane="bottomRight" activeCell="IF8" sqref="IF8"/>
    </sheetView>
  </sheetViews>
  <sheetFormatPr baseColWidth="10" defaultColWidth="0" defaultRowHeight="12.75" zeroHeight="1"/>
  <cols>
    <col min="1" max="1" width="6" style="168" customWidth="1"/>
    <col min="2" max="2" width="55.28515625" style="168" customWidth="1"/>
    <col min="3" max="18" width="9.42578125" style="142" customWidth="1"/>
    <col min="19" max="239" width="9.42578125" style="133" customWidth="1"/>
    <col min="240" max="240" width="11.42578125" style="142" customWidth="1"/>
    <col min="241" max="242" width="11.42578125" style="142" hidden="1" customWidth="1"/>
    <col min="243" max="275" width="0" style="142" hidden="1" customWidth="1"/>
    <col min="276" max="16384" width="0" style="133" hidden="1"/>
  </cols>
  <sheetData>
    <row r="1" spans="1:275" ht="18" customHeight="1">
      <c r="A1" s="132" t="s">
        <v>10</v>
      </c>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c r="AT1" s="132"/>
      <c r="AU1" s="132"/>
      <c r="AV1" s="132"/>
      <c r="AW1" s="132"/>
      <c r="AX1" s="132"/>
      <c r="AY1" s="132"/>
      <c r="AZ1" s="132"/>
      <c r="BA1" s="132"/>
      <c r="BB1" s="132"/>
      <c r="BC1" s="132"/>
      <c r="BD1" s="132"/>
      <c r="BE1" s="132"/>
      <c r="BF1" s="132"/>
      <c r="BG1" s="132"/>
      <c r="BH1" s="132"/>
      <c r="BI1" s="132"/>
      <c r="BJ1" s="132"/>
      <c r="BK1" s="132"/>
      <c r="BL1" s="132"/>
      <c r="BM1" s="132"/>
      <c r="BN1" s="132"/>
      <c r="BO1" s="132"/>
      <c r="BP1" s="132"/>
      <c r="BQ1" s="132"/>
      <c r="BR1" s="132"/>
      <c r="BS1" s="132"/>
      <c r="BT1" s="132"/>
      <c r="BU1" s="132"/>
      <c r="BV1" s="132"/>
      <c r="BW1" s="132"/>
      <c r="BX1" s="132"/>
      <c r="BY1" s="132"/>
      <c r="BZ1" s="132"/>
      <c r="CA1" s="132"/>
      <c r="CB1" s="132"/>
      <c r="CC1" s="132"/>
      <c r="CD1" s="132"/>
      <c r="CE1" s="132"/>
      <c r="CF1" s="132"/>
      <c r="CG1" s="132"/>
      <c r="CH1" s="132"/>
      <c r="CI1" s="132"/>
      <c r="CJ1" s="132"/>
      <c r="CK1" s="132"/>
      <c r="CL1" s="132"/>
      <c r="CM1" s="132"/>
      <c r="CN1" s="132"/>
      <c r="CO1" s="132"/>
      <c r="CP1" s="132"/>
      <c r="CQ1" s="132"/>
      <c r="CR1" s="132"/>
      <c r="CS1" s="132"/>
      <c r="CT1" s="132"/>
      <c r="CU1" s="132"/>
      <c r="CV1" s="132"/>
      <c r="CW1" s="132"/>
      <c r="CX1" s="132"/>
      <c r="CY1" s="132"/>
      <c r="CZ1" s="132"/>
      <c r="DA1" s="132"/>
      <c r="DB1" s="132"/>
      <c r="DC1" s="132"/>
      <c r="DD1" s="132"/>
      <c r="DE1" s="132"/>
      <c r="DF1" s="132"/>
      <c r="DG1" s="132"/>
      <c r="DH1" s="132"/>
      <c r="DI1" s="132"/>
      <c r="DJ1" s="132"/>
      <c r="DK1" s="132"/>
      <c r="DL1" s="132"/>
      <c r="DM1" s="132"/>
      <c r="DN1" s="132"/>
      <c r="DO1" s="132"/>
      <c r="DP1" s="132"/>
      <c r="DQ1" s="132"/>
      <c r="DR1" s="132"/>
      <c r="DS1" s="132"/>
      <c r="DT1" s="132"/>
      <c r="DU1" s="132"/>
      <c r="DV1" s="132"/>
      <c r="DW1" s="132"/>
      <c r="DX1" s="132"/>
      <c r="DY1" s="132"/>
      <c r="DZ1" s="132"/>
      <c r="EA1" s="132"/>
      <c r="EB1" s="132"/>
      <c r="EC1" s="132"/>
      <c r="ED1" s="132"/>
      <c r="EE1" s="132"/>
      <c r="EF1" s="132"/>
      <c r="EG1" s="132"/>
      <c r="EH1" s="132"/>
      <c r="EI1" s="132"/>
      <c r="EJ1" s="132"/>
      <c r="EK1" s="132"/>
      <c r="EL1" s="132"/>
      <c r="EM1" s="132"/>
      <c r="EN1" s="132"/>
      <c r="EO1" s="132"/>
      <c r="EP1" s="132"/>
      <c r="EQ1" s="132"/>
      <c r="ER1" s="132"/>
      <c r="ES1" s="132"/>
      <c r="ET1" s="132"/>
      <c r="EU1" s="132"/>
      <c r="EV1" s="132"/>
      <c r="EW1" s="132"/>
      <c r="EX1" s="132"/>
      <c r="EY1" s="132"/>
      <c r="EZ1" s="132"/>
      <c r="FA1" s="132"/>
      <c r="FB1" s="132"/>
      <c r="FC1" s="132"/>
      <c r="FD1" s="132"/>
      <c r="FE1" s="132"/>
      <c r="FF1" s="132"/>
      <c r="FG1" s="132"/>
      <c r="FH1" s="132"/>
      <c r="FI1" s="132"/>
      <c r="FJ1" s="132"/>
      <c r="FK1" s="132"/>
      <c r="FL1" s="132"/>
      <c r="FM1" s="132"/>
      <c r="FN1" s="132"/>
      <c r="FO1" s="132"/>
      <c r="FP1" s="132"/>
      <c r="FQ1" s="132"/>
      <c r="FR1" s="132"/>
      <c r="FS1" s="132"/>
      <c r="FT1" s="132"/>
      <c r="FU1" s="132"/>
      <c r="FV1" s="132"/>
      <c r="FW1" s="132"/>
      <c r="FX1" s="132"/>
      <c r="FY1" s="132"/>
      <c r="FZ1" s="132"/>
      <c r="GA1" s="132"/>
      <c r="GB1" s="132"/>
      <c r="GC1" s="132"/>
      <c r="GD1" s="132"/>
      <c r="GE1" s="132"/>
      <c r="GF1" s="132"/>
      <c r="GG1" s="132"/>
      <c r="GH1" s="132"/>
      <c r="GI1" s="132"/>
      <c r="GJ1" s="132"/>
      <c r="GK1" s="132"/>
      <c r="GL1" s="132"/>
      <c r="GM1" s="132"/>
      <c r="GN1" s="132"/>
      <c r="GO1" s="132"/>
      <c r="GP1" s="132"/>
      <c r="GQ1" s="132"/>
      <c r="GR1" s="132"/>
      <c r="GS1" s="132"/>
      <c r="GT1" s="132"/>
      <c r="GU1" s="132"/>
      <c r="GV1" s="132"/>
      <c r="GW1" s="132"/>
      <c r="GX1" s="132"/>
      <c r="GY1" s="132"/>
      <c r="GZ1" s="132"/>
      <c r="HA1" s="132"/>
      <c r="HB1" s="132"/>
      <c r="HC1" s="132"/>
      <c r="HD1" s="132"/>
      <c r="HE1" s="132"/>
      <c r="HF1" s="132"/>
      <c r="HG1" s="132"/>
      <c r="HH1" s="132"/>
      <c r="HI1" s="132"/>
      <c r="HJ1" s="132"/>
      <c r="HK1" s="132"/>
      <c r="HL1" s="132"/>
      <c r="HM1" s="132"/>
      <c r="HN1" s="132"/>
      <c r="HO1" s="132"/>
      <c r="HP1" s="132"/>
      <c r="HQ1" s="132"/>
      <c r="HR1" s="132"/>
      <c r="HS1" s="132"/>
      <c r="HT1" s="132"/>
      <c r="HU1" s="132"/>
      <c r="HV1" s="132"/>
      <c r="HW1" s="132"/>
      <c r="HX1" s="132"/>
      <c r="HY1" s="132"/>
      <c r="HZ1" s="132"/>
      <c r="IA1" s="132"/>
      <c r="IB1" s="132"/>
      <c r="IC1" s="132"/>
      <c r="ID1" s="132"/>
      <c r="IE1" s="132"/>
      <c r="IF1" s="132"/>
      <c r="IG1" s="132"/>
      <c r="IH1" s="132"/>
      <c r="II1" s="132"/>
      <c r="IJ1" s="132"/>
      <c r="IK1" s="132"/>
      <c r="IL1" s="132"/>
      <c r="IM1" s="132"/>
      <c r="IN1" s="132"/>
      <c r="IO1" s="132"/>
      <c r="IP1" s="132"/>
      <c r="IQ1" s="132"/>
      <c r="IR1" s="132"/>
      <c r="IS1" s="132"/>
      <c r="IT1" s="132"/>
      <c r="IU1" s="132"/>
      <c r="IV1" s="132"/>
      <c r="IW1" s="132"/>
      <c r="IX1" s="132"/>
      <c r="IY1" s="132"/>
      <c r="IZ1" s="132"/>
      <c r="JA1" s="132"/>
      <c r="JB1" s="132"/>
      <c r="JC1" s="132"/>
      <c r="JD1" s="132"/>
      <c r="JE1" s="132"/>
      <c r="JF1" s="132"/>
      <c r="JG1" s="132"/>
      <c r="JH1" s="132"/>
      <c r="JI1" s="132"/>
      <c r="JJ1" s="132"/>
      <c r="JK1" s="132"/>
      <c r="JL1" s="132"/>
      <c r="JM1" s="132"/>
      <c r="JN1" s="132"/>
      <c r="JO1" s="132"/>
    </row>
    <row r="2" spans="1:275" s="136" customFormat="1" ht="24" customHeight="1">
      <c r="A2" s="252" t="s">
        <v>189</v>
      </c>
      <c r="B2" s="252"/>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c r="AM2" s="252"/>
      <c r="AN2" s="252"/>
      <c r="AO2" s="252"/>
      <c r="AP2" s="252"/>
      <c r="AQ2" s="252"/>
      <c r="AR2" s="252"/>
      <c r="AS2" s="252"/>
      <c r="AT2" s="252"/>
      <c r="AU2" s="252"/>
      <c r="AV2" s="252"/>
      <c r="AW2" s="252"/>
      <c r="AX2" s="252"/>
      <c r="AY2" s="252"/>
      <c r="AZ2" s="252"/>
      <c r="BA2" s="252"/>
      <c r="BB2" s="252"/>
      <c r="BC2" s="252"/>
      <c r="BD2" s="252"/>
      <c r="BE2" s="252"/>
      <c r="BF2" s="252"/>
      <c r="BG2" s="252"/>
      <c r="BH2" s="252"/>
      <c r="BI2" s="252"/>
      <c r="BJ2" s="252"/>
      <c r="BK2" s="252"/>
      <c r="BL2" s="252"/>
      <c r="BM2" s="252"/>
      <c r="BN2" s="252"/>
      <c r="BO2" s="252"/>
      <c r="BP2" s="252"/>
      <c r="BQ2" s="252"/>
      <c r="BR2" s="252"/>
      <c r="BS2" s="252"/>
      <c r="BT2" s="252"/>
      <c r="BU2" s="252"/>
      <c r="BV2" s="252"/>
      <c r="BW2" s="252"/>
      <c r="BX2" s="252"/>
      <c r="BY2" s="252"/>
      <c r="BZ2" s="252"/>
      <c r="CA2" s="252"/>
      <c r="CB2" s="252"/>
      <c r="CC2" s="252"/>
      <c r="CD2" s="252"/>
      <c r="CE2" s="252"/>
      <c r="CF2" s="252"/>
      <c r="CG2" s="252"/>
      <c r="CH2" s="252"/>
      <c r="CI2" s="252"/>
      <c r="CJ2" s="252"/>
      <c r="CK2" s="252"/>
      <c r="CL2" s="252"/>
      <c r="CM2" s="252"/>
      <c r="CN2" s="252"/>
      <c r="CO2" s="252"/>
      <c r="CP2" s="252"/>
      <c r="CQ2" s="252"/>
      <c r="CR2" s="252"/>
      <c r="CS2" s="252"/>
      <c r="CT2" s="252"/>
      <c r="CU2" s="252"/>
      <c r="CV2" s="252"/>
      <c r="CW2" s="252"/>
      <c r="CX2" s="252"/>
      <c r="CY2" s="252"/>
      <c r="CZ2" s="252"/>
      <c r="DA2" s="252"/>
      <c r="DB2" s="252"/>
      <c r="DC2" s="252"/>
      <c r="DD2" s="252"/>
      <c r="DE2" s="252"/>
      <c r="DF2" s="252"/>
      <c r="DG2" s="252"/>
      <c r="DH2" s="252"/>
      <c r="DI2" s="252"/>
      <c r="DJ2" s="252"/>
      <c r="DK2" s="252"/>
      <c r="DL2" s="252"/>
      <c r="DM2" s="252"/>
      <c r="DN2" s="252"/>
      <c r="DO2" s="252"/>
      <c r="DP2" s="252"/>
      <c r="DQ2" s="252"/>
      <c r="DR2" s="252"/>
      <c r="DS2" s="252"/>
      <c r="DT2" s="252"/>
      <c r="DU2" s="252"/>
      <c r="DV2" s="252"/>
      <c r="DW2" s="252"/>
      <c r="DX2" s="252"/>
      <c r="DY2" s="252"/>
      <c r="DZ2" s="252"/>
      <c r="EA2" s="252"/>
      <c r="EB2" s="252"/>
      <c r="EC2" s="252"/>
      <c r="ED2" s="252"/>
      <c r="EE2" s="252"/>
      <c r="EF2" s="134"/>
      <c r="EG2" s="134"/>
      <c r="EH2" s="134"/>
      <c r="EI2" s="134"/>
      <c r="EJ2" s="134"/>
      <c r="EK2" s="134"/>
      <c r="EL2" s="134"/>
      <c r="EM2" s="134"/>
      <c r="EN2" s="134"/>
      <c r="EO2" s="134"/>
      <c r="EP2" s="134"/>
      <c r="EQ2" s="134"/>
      <c r="ER2" s="134"/>
      <c r="ES2" s="134"/>
      <c r="ET2" s="134"/>
      <c r="EU2" s="134"/>
      <c r="EV2" s="134"/>
      <c r="EW2" s="134"/>
      <c r="EX2" s="134"/>
      <c r="EY2" s="134"/>
      <c r="EZ2" s="134"/>
      <c r="FA2" s="134"/>
      <c r="FB2" s="134"/>
      <c r="FC2" s="134"/>
      <c r="FD2" s="134"/>
      <c r="FE2" s="134"/>
      <c r="FF2" s="134"/>
      <c r="FG2" s="134"/>
      <c r="FH2" s="134"/>
      <c r="FI2" s="134"/>
      <c r="FJ2" s="134"/>
      <c r="FK2" s="134"/>
      <c r="FL2" s="134"/>
      <c r="FM2" s="134"/>
      <c r="FN2" s="134"/>
      <c r="FO2" s="134"/>
      <c r="FP2" s="134"/>
      <c r="FQ2" s="134"/>
      <c r="FR2" s="134"/>
      <c r="FS2" s="134"/>
      <c r="FT2" s="134"/>
      <c r="FU2" s="134"/>
      <c r="FV2" s="134"/>
      <c r="FW2" s="134"/>
      <c r="FX2" s="134"/>
      <c r="FY2" s="134"/>
      <c r="FZ2" s="134"/>
      <c r="GA2" s="134"/>
      <c r="GB2" s="134"/>
      <c r="GC2" s="134"/>
      <c r="GD2" s="134"/>
      <c r="GE2" s="134"/>
      <c r="GF2" s="134"/>
      <c r="GG2" s="134"/>
      <c r="GH2" s="134"/>
      <c r="GI2" s="134"/>
      <c r="GJ2" s="134"/>
      <c r="GK2" s="134"/>
      <c r="GL2" s="134"/>
      <c r="GM2" s="134"/>
      <c r="GN2" s="134"/>
      <c r="GO2" s="134"/>
      <c r="GP2" s="134"/>
      <c r="GQ2" s="134"/>
      <c r="GR2" s="134"/>
      <c r="GS2" s="134"/>
      <c r="GT2" s="134"/>
      <c r="GU2" s="134"/>
      <c r="GV2" s="134"/>
      <c r="GW2" s="134"/>
      <c r="GX2" s="134"/>
      <c r="GY2" s="134"/>
      <c r="GZ2" s="134"/>
      <c r="HA2" s="134"/>
      <c r="HB2" s="134"/>
      <c r="HC2" s="134"/>
      <c r="HD2" s="134"/>
      <c r="HE2" s="134"/>
      <c r="HF2" s="134"/>
      <c r="HG2" s="134"/>
      <c r="HH2" s="134"/>
      <c r="HI2" s="134"/>
      <c r="HJ2" s="134"/>
      <c r="HK2" s="134"/>
      <c r="HL2" s="134"/>
      <c r="HM2" s="134"/>
      <c r="HN2" s="134"/>
      <c r="HO2" s="134"/>
      <c r="HP2" s="134"/>
      <c r="HQ2" s="134"/>
      <c r="HR2" s="134"/>
      <c r="HS2" s="134"/>
      <c r="HT2" s="134"/>
      <c r="HU2" s="134"/>
      <c r="HV2" s="134"/>
      <c r="HW2" s="134"/>
      <c r="HX2" s="134"/>
      <c r="HY2" s="134"/>
      <c r="HZ2" s="134"/>
      <c r="IA2" s="134"/>
      <c r="IB2" s="134"/>
      <c r="IC2" s="134"/>
      <c r="ID2" s="134"/>
      <c r="IE2" s="134"/>
      <c r="IF2" s="135"/>
      <c r="IG2" s="135"/>
      <c r="IH2" s="135"/>
      <c r="II2" s="135"/>
      <c r="IJ2" s="135"/>
      <c r="IK2" s="135"/>
      <c r="IL2" s="135"/>
      <c r="IM2" s="135"/>
      <c r="IN2" s="135"/>
      <c r="IO2" s="135"/>
      <c r="IP2" s="135"/>
      <c r="IQ2" s="135"/>
      <c r="IR2" s="135"/>
      <c r="IS2" s="135"/>
      <c r="IT2" s="135"/>
      <c r="IU2" s="135"/>
      <c r="IV2" s="135"/>
      <c r="IW2" s="135"/>
      <c r="IX2" s="135"/>
      <c r="IY2" s="135"/>
      <c r="IZ2" s="135"/>
      <c r="JA2" s="135"/>
      <c r="JB2" s="135"/>
      <c r="JC2" s="135"/>
      <c r="JD2" s="135"/>
      <c r="JE2" s="135"/>
      <c r="JF2" s="135"/>
      <c r="JG2" s="135"/>
      <c r="JH2" s="135"/>
      <c r="JI2" s="135"/>
      <c r="JJ2" s="135"/>
      <c r="JK2" s="135"/>
      <c r="JL2" s="135"/>
      <c r="JM2" s="135"/>
      <c r="JN2" s="135"/>
      <c r="JO2" s="135"/>
    </row>
    <row r="3" spans="1:275" s="138" customFormat="1" ht="24" customHeight="1">
      <c r="A3" s="253" t="s">
        <v>190</v>
      </c>
      <c r="B3" s="253"/>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4"/>
      <c r="AV3" s="134"/>
      <c r="AW3" s="134"/>
      <c r="AX3" s="134"/>
      <c r="AY3" s="134"/>
      <c r="AZ3" s="134"/>
      <c r="BA3" s="134"/>
      <c r="BB3" s="134"/>
      <c r="BC3" s="134"/>
      <c r="BD3" s="134"/>
      <c r="BE3" s="134"/>
      <c r="BF3" s="134"/>
      <c r="BG3" s="134"/>
      <c r="BH3" s="134"/>
      <c r="BI3" s="134"/>
      <c r="BJ3" s="134"/>
      <c r="BK3" s="134"/>
      <c r="BL3" s="134"/>
      <c r="BM3" s="134"/>
      <c r="BN3" s="134"/>
      <c r="BO3" s="134"/>
      <c r="BP3" s="134"/>
      <c r="BQ3" s="134"/>
      <c r="BR3" s="134"/>
      <c r="BS3" s="134"/>
      <c r="BT3" s="134"/>
      <c r="BU3" s="134"/>
      <c r="BV3" s="134"/>
      <c r="BW3" s="134"/>
      <c r="BX3" s="134"/>
      <c r="BY3" s="134"/>
      <c r="BZ3" s="134"/>
      <c r="CA3" s="134"/>
      <c r="CB3" s="134"/>
      <c r="CC3" s="134"/>
      <c r="CD3" s="134"/>
      <c r="CE3" s="134"/>
      <c r="CF3" s="134"/>
      <c r="CG3" s="134"/>
      <c r="CH3" s="134"/>
      <c r="CI3" s="134"/>
      <c r="CJ3" s="134"/>
      <c r="CK3" s="134"/>
      <c r="CL3" s="134"/>
      <c r="CM3" s="134"/>
      <c r="CN3" s="134"/>
      <c r="CO3" s="134"/>
      <c r="CP3" s="134"/>
      <c r="CQ3" s="134"/>
      <c r="CR3" s="134"/>
      <c r="CS3" s="134"/>
      <c r="CT3" s="134"/>
      <c r="CU3" s="134"/>
      <c r="CV3" s="134"/>
      <c r="CW3" s="134"/>
      <c r="CX3" s="134"/>
      <c r="CY3" s="134"/>
      <c r="CZ3" s="134"/>
      <c r="DA3" s="134"/>
      <c r="DB3" s="134"/>
      <c r="DC3" s="134"/>
      <c r="DD3" s="134"/>
      <c r="DE3" s="134"/>
      <c r="DF3" s="134"/>
      <c r="DG3" s="134"/>
      <c r="DH3" s="134"/>
      <c r="DI3" s="134"/>
      <c r="DJ3" s="134"/>
      <c r="DK3" s="134"/>
      <c r="DL3" s="134"/>
      <c r="DM3" s="134"/>
      <c r="DN3" s="134"/>
      <c r="DO3" s="134"/>
      <c r="DP3" s="134"/>
      <c r="DQ3" s="134"/>
      <c r="DR3" s="134"/>
      <c r="DS3" s="134"/>
      <c r="DT3" s="134"/>
      <c r="DU3" s="134"/>
      <c r="DV3" s="134"/>
      <c r="DW3" s="134"/>
      <c r="DX3" s="134"/>
      <c r="DY3" s="134"/>
      <c r="DZ3" s="134"/>
      <c r="EA3" s="134"/>
      <c r="EB3" s="134"/>
      <c r="EC3" s="134"/>
      <c r="ED3" s="134"/>
      <c r="EE3" s="134"/>
      <c r="EF3" s="134"/>
      <c r="EG3" s="134"/>
      <c r="EH3" s="134"/>
      <c r="EI3" s="134"/>
      <c r="EJ3" s="134"/>
      <c r="EK3" s="134"/>
      <c r="EL3" s="134"/>
      <c r="EM3" s="134"/>
      <c r="EN3" s="134"/>
      <c r="EO3" s="134"/>
      <c r="EP3" s="134"/>
      <c r="EQ3" s="134"/>
      <c r="ER3" s="134"/>
      <c r="ES3" s="134"/>
      <c r="ET3" s="134"/>
      <c r="EU3" s="134"/>
      <c r="EV3" s="134"/>
      <c r="EW3" s="134"/>
      <c r="EX3" s="134"/>
      <c r="EY3" s="134"/>
      <c r="EZ3" s="134"/>
      <c r="FA3" s="134"/>
      <c r="FB3" s="134"/>
      <c r="FC3" s="134"/>
      <c r="FD3" s="134"/>
      <c r="FE3" s="134"/>
      <c r="FF3" s="134"/>
      <c r="FG3" s="134"/>
      <c r="FH3" s="134"/>
      <c r="FI3" s="134"/>
      <c r="FJ3" s="134"/>
      <c r="FK3" s="134"/>
      <c r="FL3" s="134"/>
      <c r="FM3" s="134"/>
      <c r="FN3" s="134"/>
      <c r="FO3" s="134"/>
      <c r="FP3" s="134"/>
      <c r="FQ3" s="134"/>
      <c r="FR3" s="134"/>
      <c r="FS3" s="134"/>
      <c r="FT3" s="134"/>
      <c r="FU3" s="134"/>
      <c r="FV3" s="134"/>
      <c r="FW3" s="134"/>
      <c r="FX3" s="134"/>
      <c r="FY3" s="134"/>
      <c r="FZ3" s="134"/>
      <c r="GA3" s="134"/>
      <c r="GB3" s="134"/>
      <c r="GC3" s="134"/>
      <c r="GD3" s="134"/>
      <c r="GE3" s="134"/>
      <c r="GF3" s="134"/>
      <c r="GG3" s="134"/>
      <c r="GH3" s="134"/>
      <c r="GI3" s="134"/>
      <c r="GJ3" s="134"/>
      <c r="GK3" s="134"/>
      <c r="GL3" s="134"/>
      <c r="GM3" s="134"/>
      <c r="GN3" s="134"/>
      <c r="GO3" s="134"/>
      <c r="GP3" s="134"/>
      <c r="GQ3" s="134"/>
      <c r="GR3" s="134"/>
      <c r="GS3" s="134"/>
      <c r="GT3" s="134"/>
      <c r="GU3" s="134"/>
      <c r="GV3" s="134"/>
      <c r="GW3" s="134"/>
      <c r="GX3" s="134"/>
      <c r="GY3" s="134"/>
      <c r="GZ3" s="134"/>
      <c r="HA3" s="134"/>
      <c r="HB3" s="134"/>
      <c r="HC3" s="134"/>
      <c r="HD3" s="134"/>
      <c r="HE3" s="134"/>
      <c r="HF3" s="134"/>
      <c r="HG3" s="134"/>
      <c r="HH3" s="134"/>
      <c r="HI3" s="134"/>
      <c r="HJ3" s="134"/>
      <c r="HK3" s="134"/>
      <c r="HL3" s="134"/>
      <c r="HM3" s="134"/>
      <c r="HN3" s="134"/>
      <c r="HO3" s="134"/>
      <c r="HP3" s="134"/>
      <c r="HQ3" s="134"/>
      <c r="HR3" s="134"/>
      <c r="HS3" s="134"/>
      <c r="HT3" s="134"/>
      <c r="HU3" s="134"/>
      <c r="HV3" s="134"/>
      <c r="HW3" s="134"/>
      <c r="HX3" s="134"/>
      <c r="HY3" s="134"/>
      <c r="HZ3" s="134"/>
      <c r="IA3" s="134"/>
      <c r="IB3" s="134"/>
      <c r="IC3" s="134"/>
      <c r="ID3" s="134"/>
      <c r="IE3" s="134"/>
      <c r="IF3" s="137"/>
      <c r="IG3" s="137"/>
      <c r="IH3" s="137"/>
      <c r="II3" s="137"/>
      <c r="IJ3" s="137"/>
      <c r="IK3" s="137"/>
      <c r="IL3" s="137"/>
      <c r="IM3" s="137"/>
      <c r="IN3" s="137"/>
      <c r="IO3" s="137"/>
      <c r="IP3" s="137"/>
      <c r="IQ3" s="137"/>
      <c r="IR3" s="137"/>
      <c r="IS3" s="137"/>
      <c r="IT3" s="137"/>
      <c r="IU3" s="137"/>
      <c r="IV3" s="137"/>
      <c r="IW3" s="137"/>
      <c r="IX3" s="137"/>
      <c r="IY3" s="137"/>
      <c r="IZ3" s="137"/>
      <c r="JA3" s="137"/>
      <c r="JB3" s="137"/>
      <c r="JC3" s="137"/>
      <c r="JD3" s="137"/>
      <c r="JE3" s="137"/>
      <c r="JF3" s="137"/>
      <c r="JG3" s="137"/>
      <c r="JH3" s="137"/>
      <c r="JI3" s="137"/>
      <c r="JJ3" s="137"/>
      <c r="JK3" s="137"/>
      <c r="JL3" s="137"/>
      <c r="JM3" s="137"/>
      <c r="JN3" s="137"/>
      <c r="JO3" s="137"/>
    </row>
    <row r="4" spans="1:275" s="142" customFormat="1" ht="19.5" customHeight="1">
      <c r="A4" s="139" t="s">
        <v>0</v>
      </c>
      <c r="B4" s="140"/>
      <c r="C4" s="141">
        <v>38991</v>
      </c>
      <c r="D4" s="141">
        <v>39022</v>
      </c>
      <c r="E4" s="141">
        <v>39052</v>
      </c>
      <c r="F4" s="141">
        <v>39083</v>
      </c>
      <c r="G4" s="141">
        <v>39114</v>
      </c>
      <c r="H4" s="141">
        <v>39142</v>
      </c>
      <c r="I4" s="141">
        <v>39173</v>
      </c>
      <c r="J4" s="141">
        <v>39203</v>
      </c>
      <c r="K4" s="141">
        <v>39234</v>
      </c>
      <c r="L4" s="141">
        <v>39264</v>
      </c>
      <c r="M4" s="141">
        <v>39295</v>
      </c>
      <c r="N4" s="141">
        <v>39326</v>
      </c>
      <c r="O4" s="141">
        <v>39356</v>
      </c>
      <c r="P4" s="141">
        <v>39387</v>
      </c>
      <c r="Q4" s="141">
        <v>39417</v>
      </c>
      <c r="R4" s="141">
        <v>39448</v>
      </c>
      <c r="S4" s="141">
        <v>39479</v>
      </c>
      <c r="T4" s="141">
        <v>39508</v>
      </c>
      <c r="U4" s="141">
        <v>39539</v>
      </c>
      <c r="V4" s="141">
        <v>39569</v>
      </c>
      <c r="W4" s="141">
        <v>39600</v>
      </c>
      <c r="X4" s="141">
        <v>39630</v>
      </c>
      <c r="Y4" s="141">
        <v>39661</v>
      </c>
      <c r="Z4" s="141">
        <v>39692</v>
      </c>
      <c r="AA4" s="141">
        <v>39722</v>
      </c>
      <c r="AB4" s="141">
        <v>39753</v>
      </c>
      <c r="AC4" s="141">
        <v>39783</v>
      </c>
      <c r="AD4" s="141">
        <v>39814</v>
      </c>
      <c r="AE4" s="141">
        <v>39845</v>
      </c>
      <c r="AF4" s="141">
        <v>39873</v>
      </c>
      <c r="AG4" s="141">
        <v>39904</v>
      </c>
      <c r="AH4" s="141">
        <v>39934</v>
      </c>
      <c r="AI4" s="141">
        <v>39965</v>
      </c>
      <c r="AJ4" s="141">
        <v>39995</v>
      </c>
      <c r="AK4" s="141">
        <v>40026</v>
      </c>
      <c r="AL4" s="141">
        <v>40057</v>
      </c>
      <c r="AM4" s="141">
        <v>40087</v>
      </c>
      <c r="AN4" s="141">
        <v>40118</v>
      </c>
      <c r="AO4" s="141">
        <v>40148</v>
      </c>
      <c r="AP4" s="141">
        <v>40179</v>
      </c>
      <c r="AQ4" s="141">
        <v>40210</v>
      </c>
      <c r="AR4" s="141">
        <v>40238</v>
      </c>
      <c r="AS4" s="141">
        <v>40269</v>
      </c>
      <c r="AT4" s="141">
        <v>40299</v>
      </c>
      <c r="AU4" s="141">
        <v>40330</v>
      </c>
      <c r="AV4" s="141">
        <v>40360</v>
      </c>
      <c r="AW4" s="141">
        <v>40391</v>
      </c>
      <c r="AX4" s="141">
        <v>40422</v>
      </c>
      <c r="AY4" s="141">
        <v>40452</v>
      </c>
      <c r="AZ4" s="141">
        <v>40483</v>
      </c>
      <c r="BA4" s="141">
        <v>40513</v>
      </c>
      <c r="BB4" s="141">
        <v>40544</v>
      </c>
      <c r="BC4" s="141">
        <v>40575</v>
      </c>
      <c r="BD4" s="141">
        <v>40603</v>
      </c>
      <c r="BE4" s="141">
        <v>40634</v>
      </c>
      <c r="BF4" s="141">
        <v>40664</v>
      </c>
      <c r="BG4" s="141">
        <v>40695</v>
      </c>
      <c r="BH4" s="141">
        <v>40725</v>
      </c>
      <c r="BI4" s="141">
        <v>40756</v>
      </c>
      <c r="BJ4" s="141">
        <v>40787</v>
      </c>
      <c r="BK4" s="141">
        <v>40817</v>
      </c>
      <c r="BL4" s="141">
        <v>40848</v>
      </c>
      <c r="BM4" s="141">
        <v>40878</v>
      </c>
      <c r="BN4" s="141">
        <v>40909</v>
      </c>
      <c r="BO4" s="141">
        <v>40940</v>
      </c>
      <c r="BP4" s="141">
        <v>40969</v>
      </c>
      <c r="BQ4" s="141">
        <v>41000</v>
      </c>
      <c r="BR4" s="141">
        <v>41030</v>
      </c>
      <c r="BS4" s="141">
        <v>41061</v>
      </c>
      <c r="BT4" s="141">
        <v>41091</v>
      </c>
      <c r="BU4" s="141">
        <v>41122</v>
      </c>
      <c r="BV4" s="141">
        <v>41153</v>
      </c>
      <c r="BW4" s="141">
        <v>41183</v>
      </c>
      <c r="BX4" s="141">
        <v>41214</v>
      </c>
      <c r="BY4" s="141">
        <v>41244</v>
      </c>
      <c r="BZ4" s="141">
        <v>41275</v>
      </c>
      <c r="CA4" s="141">
        <v>41306</v>
      </c>
      <c r="CB4" s="141">
        <v>41334</v>
      </c>
      <c r="CC4" s="141">
        <v>41365</v>
      </c>
      <c r="CD4" s="141">
        <v>41395</v>
      </c>
      <c r="CE4" s="141">
        <v>41426</v>
      </c>
      <c r="CF4" s="141">
        <v>41456</v>
      </c>
      <c r="CG4" s="141">
        <v>41487</v>
      </c>
      <c r="CH4" s="141">
        <v>41518</v>
      </c>
      <c r="CI4" s="141">
        <v>41548</v>
      </c>
      <c r="CJ4" s="141">
        <v>41579</v>
      </c>
      <c r="CK4" s="141">
        <v>41609</v>
      </c>
      <c r="CL4" s="141">
        <v>41640</v>
      </c>
      <c r="CM4" s="141">
        <v>41671</v>
      </c>
      <c r="CN4" s="141">
        <v>41699</v>
      </c>
      <c r="CO4" s="141">
        <v>41730</v>
      </c>
      <c r="CP4" s="141">
        <v>41760</v>
      </c>
      <c r="CQ4" s="141">
        <v>41791</v>
      </c>
      <c r="CR4" s="141">
        <v>41821</v>
      </c>
      <c r="CS4" s="141">
        <v>41852</v>
      </c>
      <c r="CT4" s="141">
        <v>41883</v>
      </c>
      <c r="CU4" s="141">
        <v>41913</v>
      </c>
      <c r="CV4" s="141">
        <v>41944</v>
      </c>
      <c r="CW4" s="141">
        <v>41974</v>
      </c>
      <c r="CX4" s="141">
        <v>42005</v>
      </c>
      <c r="CY4" s="141">
        <v>42036</v>
      </c>
      <c r="CZ4" s="141">
        <v>42064</v>
      </c>
      <c r="DA4" s="141">
        <v>42095</v>
      </c>
      <c r="DB4" s="141">
        <v>42125</v>
      </c>
      <c r="DC4" s="141">
        <v>42156</v>
      </c>
      <c r="DD4" s="141">
        <v>42186</v>
      </c>
      <c r="DE4" s="141">
        <v>42217</v>
      </c>
      <c r="DF4" s="141">
        <v>42248</v>
      </c>
      <c r="DG4" s="141">
        <v>42278</v>
      </c>
      <c r="DH4" s="141">
        <v>42309</v>
      </c>
      <c r="DI4" s="141">
        <v>42339</v>
      </c>
      <c r="DJ4" s="141">
        <v>42370</v>
      </c>
      <c r="DK4" s="141">
        <v>42401</v>
      </c>
      <c r="DL4" s="141">
        <v>42430</v>
      </c>
      <c r="DM4" s="141">
        <v>42461</v>
      </c>
      <c r="DN4" s="141">
        <v>42491</v>
      </c>
      <c r="DO4" s="141">
        <v>42522</v>
      </c>
      <c r="DP4" s="141">
        <v>42552</v>
      </c>
      <c r="DQ4" s="141">
        <v>42583</v>
      </c>
      <c r="DR4" s="141">
        <v>42614</v>
      </c>
      <c r="DS4" s="141">
        <v>42644</v>
      </c>
      <c r="DT4" s="141">
        <v>42675</v>
      </c>
      <c r="DU4" s="141">
        <v>42705</v>
      </c>
      <c r="DV4" s="141">
        <v>42736</v>
      </c>
      <c r="DW4" s="141">
        <v>42767</v>
      </c>
      <c r="DX4" s="141">
        <v>42795</v>
      </c>
      <c r="DY4" s="141">
        <v>42826</v>
      </c>
      <c r="DZ4" s="141">
        <v>42856</v>
      </c>
      <c r="EA4" s="141">
        <v>42887</v>
      </c>
      <c r="EB4" s="141">
        <v>42917</v>
      </c>
      <c r="EC4" s="141">
        <v>42948</v>
      </c>
      <c r="ED4" s="141">
        <v>42979</v>
      </c>
      <c r="EE4" s="141">
        <v>43009</v>
      </c>
      <c r="EF4" s="141">
        <v>43040</v>
      </c>
      <c r="EG4" s="141">
        <v>43070</v>
      </c>
      <c r="EH4" s="141">
        <v>43101</v>
      </c>
      <c r="EI4" s="141">
        <v>43132</v>
      </c>
      <c r="EJ4" s="141">
        <v>43160</v>
      </c>
      <c r="EK4" s="141">
        <v>43191</v>
      </c>
      <c r="EL4" s="141">
        <v>43221</v>
      </c>
      <c r="EM4" s="141">
        <v>43252</v>
      </c>
      <c r="EN4" s="141">
        <v>43282</v>
      </c>
      <c r="EO4" s="141">
        <v>43313</v>
      </c>
      <c r="EP4" s="141">
        <v>43344</v>
      </c>
      <c r="EQ4" s="141">
        <v>43374</v>
      </c>
      <c r="ER4" s="141">
        <v>43405</v>
      </c>
      <c r="ES4" s="141">
        <v>43435</v>
      </c>
      <c r="ET4" s="141">
        <v>43466</v>
      </c>
      <c r="EU4" s="141">
        <v>43497</v>
      </c>
      <c r="EV4" s="141">
        <v>43525</v>
      </c>
      <c r="EW4" s="141">
        <v>43556</v>
      </c>
      <c r="EX4" s="141">
        <v>43586</v>
      </c>
      <c r="EY4" s="141">
        <v>43617</v>
      </c>
      <c r="EZ4" s="141">
        <v>43647</v>
      </c>
      <c r="FA4" s="141">
        <v>43678</v>
      </c>
      <c r="FB4" s="141">
        <v>43709</v>
      </c>
      <c r="FC4" s="141">
        <v>43739</v>
      </c>
      <c r="FD4" s="141">
        <v>43770</v>
      </c>
      <c r="FE4" s="141">
        <v>43800</v>
      </c>
      <c r="FF4" s="141">
        <v>43831</v>
      </c>
      <c r="FG4" s="141">
        <v>43862</v>
      </c>
      <c r="FH4" s="141">
        <v>43891</v>
      </c>
      <c r="FI4" s="141">
        <v>43922</v>
      </c>
      <c r="FJ4" s="141">
        <v>43952</v>
      </c>
      <c r="FK4" s="141">
        <v>43983</v>
      </c>
      <c r="FL4" s="141">
        <v>44013</v>
      </c>
      <c r="FM4" s="141">
        <v>44044</v>
      </c>
      <c r="FN4" s="141">
        <v>44075</v>
      </c>
      <c r="FO4" s="141">
        <v>44105</v>
      </c>
      <c r="FP4" s="141">
        <v>44136</v>
      </c>
      <c r="FQ4" s="141">
        <v>44166</v>
      </c>
      <c r="FR4" s="141">
        <v>44197</v>
      </c>
      <c r="FS4" s="141">
        <v>44228</v>
      </c>
      <c r="FT4" s="141">
        <v>44256</v>
      </c>
      <c r="FU4" s="141">
        <v>44287</v>
      </c>
      <c r="FV4" s="141">
        <v>44317</v>
      </c>
      <c r="FW4" s="141">
        <v>44348</v>
      </c>
      <c r="FX4" s="141">
        <v>44378</v>
      </c>
      <c r="FY4" s="141">
        <v>44409</v>
      </c>
      <c r="FZ4" s="141">
        <v>44440</v>
      </c>
      <c r="GA4" s="141">
        <v>44470</v>
      </c>
      <c r="GB4" s="141">
        <v>44501</v>
      </c>
      <c r="GC4" s="141">
        <v>44531</v>
      </c>
      <c r="GD4" s="141">
        <v>44562</v>
      </c>
      <c r="GE4" s="141">
        <v>44593</v>
      </c>
      <c r="GF4" s="141">
        <v>44621</v>
      </c>
      <c r="GG4" s="141">
        <v>44652</v>
      </c>
      <c r="GH4" s="141">
        <v>44682</v>
      </c>
      <c r="GI4" s="141">
        <v>44713</v>
      </c>
      <c r="GJ4" s="141">
        <v>44743</v>
      </c>
      <c r="GK4" s="141">
        <v>44774</v>
      </c>
      <c r="GL4" s="141">
        <v>44805</v>
      </c>
      <c r="GM4" s="141">
        <v>44835</v>
      </c>
      <c r="GN4" s="141">
        <v>44866</v>
      </c>
      <c r="GO4" s="141">
        <v>44896</v>
      </c>
      <c r="GP4" s="141">
        <v>44927</v>
      </c>
      <c r="GQ4" s="141">
        <v>44958</v>
      </c>
      <c r="GR4" s="141">
        <v>44986</v>
      </c>
      <c r="GS4" s="141">
        <v>45017</v>
      </c>
      <c r="GT4" s="141">
        <v>45047</v>
      </c>
      <c r="GU4" s="141">
        <v>45078</v>
      </c>
      <c r="GV4" s="141">
        <v>45108</v>
      </c>
      <c r="GW4" s="141">
        <v>45139</v>
      </c>
      <c r="GX4" s="141">
        <v>45170</v>
      </c>
      <c r="GY4" s="141">
        <v>45200</v>
      </c>
      <c r="GZ4" s="141">
        <v>45231</v>
      </c>
      <c r="HA4" s="141">
        <v>45261</v>
      </c>
      <c r="HB4" s="141">
        <v>45292</v>
      </c>
      <c r="HC4" s="141">
        <v>45323</v>
      </c>
      <c r="HD4" s="141">
        <v>45352</v>
      </c>
      <c r="HE4" s="141">
        <v>45383</v>
      </c>
      <c r="HF4" s="141">
        <v>45413</v>
      </c>
      <c r="HG4" s="141">
        <v>45444</v>
      </c>
      <c r="HH4" s="141">
        <v>45474</v>
      </c>
      <c r="HI4" s="141">
        <v>45505</v>
      </c>
      <c r="HJ4" s="141">
        <v>45536</v>
      </c>
      <c r="HK4" s="141">
        <v>45566</v>
      </c>
      <c r="HL4" s="141">
        <v>45597</v>
      </c>
      <c r="HM4" s="141">
        <v>45627</v>
      </c>
      <c r="HN4" s="141">
        <v>45658</v>
      </c>
      <c r="HO4" s="141">
        <v>45689</v>
      </c>
      <c r="HP4" s="141">
        <v>45717</v>
      </c>
      <c r="HQ4" s="141">
        <v>45748</v>
      </c>
      <c r="HR4" s="141">
        <v>45778</v>
      </c>
      <c r="HS4" s="141">
        <v>45809</v>
      </c>
      <c r="HT4" s="141">
        <v>45839</v>
      </c>
      <c r="HU4" s="141">
        <v>45870</v>
      </c>
      <c r="HV4" s="141">
        <v>45901</v>
      </c>
      <c r="HW4" s="141">
        <v>45931</v>
      </c>
      <c r="HX4" s="141">
        <v>45962</v>
      </c>
      <c r="HY4" s="141">
        <v>45992</v>
      </c>
      <c r="HZ4" s="141">
        <v>46023</v>
      </c>
      <c r="IA4" s="141">
        <v>46054</v>
      </c>
      <c r="IB4" s="141">
        <v>46082</v>
      </c>
      <c r="IC4" s="141">
        <v>46113</v>
      </c>
      <c r="ID4" s="141">
        <v>46143</v>
      </c>
      <c r="IE4" s="141">
        <v>46174</v>
      </c>
    </row>
    <row r="5" spans="1:275" s="142" customFormat="1" ht="24" customHeight="1" thickBot="1">
      <c r="A5" s="143" t="s">
        <v>191</v>
      </c>
      <c r="B5" s="144"/>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c r="AO5" s="145"/>
      <c r="AP5" s="145"/>
      <c r="AQ5" s="145"/>
      <c r="AR5" s="145"/>
      <c r="AS5" s="145"/>
      <c r="AT5" s="145"/>
      <c r="AU5" s="145"/>
      <c r="AV5" s="145"/>
      <c r="AW5" s="145"/>
      <c r="AX5" s="145"/>
      <c r="AY5" s="145"/>
      <c r="AZ5" s="145"/>
      <c r="BA5" s="145"/>
      <c r="BB5" s="145"/>
      <c r="BC5" s="145"/>
      <c r="BD5" s="145"/>
      <c r="BE5" s="145"/>
      <c r="BF5" s="145"/>
      <c r="BG5" s="145"/>
      <c r="BH5" s="145"/>
      <c r="BI5" s="145"/>
      <c r="BJ5" s="145"/>
      <c r="BK5" s="145"/>
      <c r="BL5" s="145"/>
      <c r="BM5" s="145"/>
      <c r="BN5" s="145"/>
      <c r="BO5" s="145"/>
      <c r="BP5" s="145"/>
      <c r="BQ5" s="145"/>
      <c r="BR5" s="145"/>
      <c r="BS5" s="145"/>
      <c r="BT5" s="145"/>
      <c r="BU5" s="145"/>
      <c r="BV5" s="145"/>
      <c r="BW5" s="145"/>
      <c r="BX5" s="145"/>
      <c r="BY5" s="145"/>
      <c r="BZ5" s="145"/>
      <c r="CA5" s="145"/>
      <c r="CB5" s="145"/>
      <c r="CC5" s="145"/>
      <c r="CD5" s="145"/>
      <c r="CE5" s="145"/>
      <c r="CF5" s="145"/>
      <c r="CG5" s="145"/>
      <c r="CH5" s="145"/>
      <c r="CI5" s="145"/>
      <c r="CJ5" s="145"/>
      <c r="CK5" s="145"/>
      <c r="CL5" s="145"/>
      <c r="CM5" s="145"/>
      <c r="CN5" s="145"/>
      <c r="CO5" s="145"/>
      <c r="CP5" s="145"/>
      <c r="CQ5" s="145"/>
      <c r="CR5" s="145"/>
      <c r="CS5" s="145"/>
      <c r="CT5" s="145"/>
      <c r="CU5" s="145"/>
      <c r="CV5" s="145"/>
      <c r="CW5" s="145"/>
      <c r="CX5" s="145"/>
      <c r="CY5" s="145"/>
      <c r="CZ5" s="145"/>
      <c r="DA5" s="145"/>
      <c r="DB5" s="145"/>
      <c r="DC5" s="145"/>
      <c r="DD5" s="145"/>
      <c r="DE5" s="145"/>
      <c r="DF5" s="145"/>
      <c r="DG5" s="145"/>
      <c r="DH5" s="145"/>
      <c r="DI5" s="145"/>
      <c r="DJ5" s="145"/>
      <c r="DK5" s="145"/>
      <c r="DL5" s="145"/>
      <c r="DM5" s="145"/>
      <c r="DN5" s="145"/>
      <c r="DO5" s="145"/>
      <c r="DP5" s="145"/>
      <c r="DQ5" s="145"/>
      <c r="DR5" s="145"/>
      <c r="DS5" s="145"/>
      <c r="DT5" s="145"/>
      <c r="DU5" s="145"/>
      <c r="DV5" s="145"/>
      <c r="DW5" s="145"/>
      <c r="DX5" s="145"/>
      <c r="DY5" s="145"/>
      <c r="DZ5" s="145"/>
      <c r="EA5" s="145"/>
      <c r="EB5" s="145"/>
      <c r="EC5" s="145"/>
      <c r="ED5" s="145"/>
      <c r="EE5" s="145"/>
      <c r="EF5" s="145"/>
      <c r="EG5" s="145"/>
      <c r="EH5" s="145"/>
      <c r="EI5" s="145"/>
      <c r="EJ5" s="145"/>
      <c r="EK5" s="145"/>
      <c r="EL5" s="145"/>
      <c r="EM5" s="145"/>
      <c r="EN5" s="145"/>
      <c r="EO5" s="145"/>
      <c r="EP5" s="145"/>
      <c r="EQ5" s="145"/>
      <c r="ER5" s="145"/>
      <c r="ES5" s="145"/>
      <c r="ET5" s="145"/>
      <c r="EU5" s="145"/>
      <c r="EV5" s="145"/>
      <c r="EW5" s="145"/>
      <c r="EX5" s="145"/>
      <c r="EY5" s="145"/>
      <c r="EZ5" s="145"/>
      <c r="FA5" s="145"/>
      <c r="FB5" s="145"/>
      <c r="FC5" s="145"/>
      <c r="FD5" s="145"/>
      <c r="FE5" s="145"/>
      <c r="FF5" s="145"/>
      <c r="FG5" s="145"/>
      <c r="FH5" s="145"/>
      <c r="FI5" s="145"/>
      <c r="FJ5" s="145"/>
      <c r="FK5" s="145"/>
      <c r="FL5" s="145"/>
      <c r="FM5" s="145"/>
      <c r="FN5" s="145"/>
      <c r="FO5" s="145"/>
      <c r="FP5" s="145"/>
      <c r="FQ5" s="145"/>
      <c r="FR5" s="145"/>
      <c r="FS5" s="145"/>
      <c r="FT5" s="145"/>
      <c r="FU5" s="145"/>
      <c r="FV5" s="145"/>
      <c r="FW5" s="145"/>
      <c r="FX5" s="145"/>
      <c r="FY5" s="145"/>
      <c r="FZ5" s="145"/>
      <c r="GA5" s="145"/>
      <c r="GB5" s="145"/>
      <c r="GC5" s="145"/>
      <c r="GD5" s="145"/>
      <c r="GE5" s="145"/>
      <c r="GF5" s="145"/>
      <c r="GG5" s="145"/>
      <c r="GH5" s="145"/>
      <c r="GI5" s="145"/>
      <c r="GJ5" s="145"/>
      <c r="GK5" s="145"/>
      <c r="GL5" s="145"/>
      <c r="GM5" s="145"/>
      <c r="GN5" s="145"/>
      <c r="GO5" s="145"/>
      <c r="GP5" s="145"/>
      <c r="GQ5" s="145"/>
      <c r="GR5" s="145"/>
      <c r="GS5" s="145"/>
      <c r="GT5" s="145"/>
      <c r="GU5" s="145"/>
      <c r="GV5" s="145"/>
      <c r="GW5" s="145"/>
      <c r="GX5" s="145"/>
      <c r="GY5" s="145"/>
      <c r="GZ5" s="145"/>
      <c r="HA5" s="145"/>
      <c r="HB5" s="145"/>
      <c r="HC5" s="145"/>
      <c r="HD5" s="145"/>
      <c r="HE5" s="145"/>
      <c r="HF5" s="145"/>
      <c r="HG5" s="145"/>
      <c r="HH5" s="145"/>
      <c r="HI5" s="145"/>
      <c r="HJ5" s="145"/>
      <c r="HK5" s="145"/>
      <c r="HL5" s="145"/>
      <c r="HM5" s="145"/>
      <c r="HN5" s="145"/>
      <c r="HO5" s="145"/>
      <c r="HP5" s="145"/>
      <c r="HQ5" s="145"/>
      <c r="HR5" s="145"/>
      <c r="HS5" s="145"/>
      <c r="HT5" s="145"/>
      <c r="HU5" s="145"/>
      <c r="HV5" s="145"/>
      <c r="HW5" s="145"/>
      <c r="HX5" s="145"/>
      <c r="HY5" s="145"/>
      <c r="HZ5" s="145"/>
      <c r="IA5" s="145"/>
      <c r="IB5" s="145"/>
      <c r="IC5" s="145"/>
      <c r="ID5" s="145"/>
      <c r="IE5" s="145"/>
    </row>
    <row r="6" spans="1:275" s="142" customFormat="1" ht="16.5" customHeight="1">
      <c r="A6" s="146" t="s">
        <v>170</v>
      </c>
      <c r="B6" s="147"/>
      <c r="C6" s="148">
        <v>99.999999999999488</v>
      </c>
      <c r="D6" s="148">
        <v>99.999999999999446</v>
      </c>
      <c r="E6" s="148">
        <v>100</v>
      </c>
      <c r="F6" s="148">
        <v>100</v>
      </c>
      <c r="G6" s="148">
        <v>100.00000000000001</v>
      </c>
      <c r="H6" s="148">
        <v>100.00000000000001</v>
      </c>
      <c r="I6" s="148">
        <v>100</v>
      </c>
      <c r="J6" s="148">
        <v>100.00000000000001</v>
      </c>
      <c r="K6" s="148">
        <v>100</v>
      </c>
      <c r="L6" s="148">
        <v>99.999999999999986</v>
      </c>
      <c r="M6" s="148">
        <v>100</v>
      </c>
      <c r="N6" s="148">
        <v>100</v>
      </c>
      <c r="O6" s="148">
        <v>100</v>
      </c>
      <c r="P6" s="148">
        <v>100</v>
      </c>
      <c r="Q6" s="148">
        <v>100</v>
      </c>
      <c r="R6" s="148">
        <v>100</v>
      </c>
      <c r="S6" s="148">
        <v>100</v>
      </c>
      <c r="T6" s="148">
        <v>100</v>
      </c>
      <c r="U6" s="148">
        <v>100</v>
      </c>
      <c r="V6" s="148">
        <v>100</v>
      </c>
      <c r="W6" s="148">
        <v>100</v>
      </c>
      <c r="X6" s="148">
        <v>100</v>
      </c>
      <c r="Y6" s="148">
        <v>100</v>
      </c>
      <c r="Z6" s="148">
        <v>100</v>
      </c>
      <c r="AA6" s="148">
        <v>100</v>
      </c>
      <c r="AB6" s="148">
        <v>99.999999999999986</v>
      </c>
      <c r="AC6" s="148">
        <v>100</v>
      </c>
      <c r="AD6" s="148">
        <v>100</v>
      </c>
      <c r="AE6" s="148">
        <v>100</v>
      </c>
      <c r="AF6" s="148">
        <v>100</v>
      </c>
      <c r="AG6" s="148">
        <v>100</v>
      </c>
      <c r="AH6" s="148">
        <v>100</v>
      </c>
      <c r="AI6" s="148">
        <v>100</v>
      </c>
      <c r="AJ6" s="148">
        <v>100</v>
      </c>
      <c r="AK6" s="148">
        <v>100</v>
      </c>
      <c r="AL6" s="148">
        <v>100</v>
      </c>
      <c r="AM6" s="148">
        <v>100</v>
      </c>
      <c r="AN6" s="148">
        <v>100</v>
      </c>
      <c r="AO6" s="148">
        <v>100</v>
      </c>
      <c r="AP6" s="148">
        <v>100.00000000000001</v>
      </c>
      <c r="AQ6" s="148">
        <v>100</v>
      </c>
      <c r="AR6" s="148">
        <v>100</v>
      </c>
      <c r="AS6" s="148">
        <v>100</v>
      </c>
      <c r="AT6" s="148">
        <v>100</v>
      </c>
      <c r="AU6" s="148">
        <v>100</v>
      </c>
      <c r="AV6" s="148">
        <v>100</v>
      </c>
      <c r="AW6" s="148">
        <v>100</v>
      </c>
      <c r="AX6" s="148">
        <v>100</v>
      </c>
      <c r="AY6" s="148">
        <v>100</v>
      </c>
      <c r="AZ6" s="148">
        <v>100.00000000000001</v>
      </c>
      <c r="BA6" s="148">
        <v>100</v>
      </c>
      <c r="BB6" s="148">
        <v>100</v>
      </c>
      <c r="BC6" s="148">
        <v>100</v>
      </c>
      <c r="BD6" s="148">
        <v>100</v>
      </c>
      <c r="BE6" s="148">
        <v>100</v>
      </c>
      <c r="BF6" s="148">
        <v>100</v>
      </c>
      <c r="BG6" s="148">
        <v>99.999999999999986</v>
      </c>
      <c r="BH6" s="148">
        <v>100</v>
      </c>
      <c r="BI6" s="148">
        <v>100</v>
      </c>
      <c r="BJ6" s="148">
        <v>100</v>
      </c>
      <c r="BK6" s="148">
        <v>100</v>
      </c>
      <c r="BL6" s="148">
        <v>100</v>
      </c>
      <c r="BM6" s="148">
        <v>99.999999999999986</v>
      </c>
      <c r="BN6" s="148">
        <v>100</v>
      </c>
      <c r="BO6" s="148">
        <v>100</v>
      </c>
      <c r="BP6" s="148">
        <v>100</v>
      </c>
      <c r="BQ6" s="148">
        <v>100</v>
      </c>
      <c r="BR6" s="148">
        <v>100.00000000000001</v>
      </c>
      <c r="BS6" s="148">
        <v>100</v>
      </c>
      <c r="BT6" s="148">
        <v>100</v>
      </c>
      <c r="BU6" s="148">
        <v>99.999999999999986</v>
      </c>
      <c r="BV6" s="148">
        <v>100</v>
      </c>
      <c r="BW6" s="148">
        <v>100</v>
      </c>
      <c r="BX6" s="148">
        <v>100.00000000000001</v>
      </c>
      <c r="BY6" s="148">
        <v>100</v>
      </c>
      <c r="BZ6" s="148">
        <v>100</v>
      </c>
      <c r="CA6" s="148">
        <v>100</v>
      </c>
      <c r="CB6" s="148">
        <v>100</v>
      </c>
      <c r="CC6" s="148">
        <v>100</v>
      </c>
      <c r="CD6" s="148">
        <v>100</v>
      </c>
      <c r="CE6" s="148">
        <v>100</v>
      </c>
      <c r="CF6" s="148">
        <v>100</v>
      </c>
      <c r="CG6" s="148">
        <v>100</v>
      </c>
      <c r="CH6" s="148">
        <v>100</v>
      </c>
      <c r="CI6" s="148">
        <v>100.00000000000001</v>
      </c>
      <c r="CJ6" s="148">
        <v>100</v>
      </c>
      <c r="CK6" s="148">
        <v>100</v>
      </c>
      <c r="CL6" s="148">
        <v>100</v>
      </c>
      <c r="CM6" s="148">
        <v>100.00000000000001</v>
      </c>
      <c r="CN6" s="148">
        <v>100</v>
      </c>
      <c r="CO6" s="148">
        <v>100</v>
      </c>
      <c r="CP6" s="148">
        <v>100</v>
      </c>
      <c r="CQ6" s="148">
        <v>100.00000000000001</v>
      </c>
      <c r="CR6" s="148">
        <v>100</v>
      </c>
      <c r="CS6" s="148">
        <v>100</v>
      </c>
      <c r="CT6" s="148">
        <v>100</v>
      </c>
      <c r="CU6" s="148">
        <v>100</v>
      </c>
      <c r="CV6" s="148">
        <v>100</v>
      </c>
      <c r="CW6" s="148">
        <v>100</v>
      </c>
      <c r="CX6" s="148">
        <v>100</v>
      </c>
      <c r="CY6" s="148">
        <v>100</v>
      </c>
      <c r="CZ6" s="148">
        <v>100</v>
      </c>
      <c r="DA6" s="148">
        <v>100</v>
      </c>
      <c r="DB6" s="148">
        <v>100</v>
      </c>
      <c r="DC6" s="148">
        <v>100</v>
      </c>
      <c r="DD6" s="148">
        <v>99.999999999999986</v>
      </c>
      <c r="DE6" s="148">
        <v>100</v>
      </c>
      <c r="DF6" s="148">
        <v>100</v>
      </c>
      <c r="DG6" s="148">
        <v>100</v>
      </c>
      <c r="DH6" s="148">
        <v>100</v>
      </c>
      <c r="DI6" s="148">
        <v>100</v>
      </c>
      <c r="DJ6" s="148">
        <v>100</v>
      </c>
      <c r="DK6" s="148">
        <v>100</v>
      </c>
      <c r="DL6" s="148">
        <v>100</v>
      </c>
      <c r="DM6" s="148">
        <v>100</v>
      </c>
      <c r="DN6" s="148">
        <v>100</v>
      </c>
      <c r="DO6" s="148">
        <v>100</v>
      </c>
      <c r="DP6" s="148">
        <v>100</v>
      </c>
      <c r="DQ6" s="148">
        <v>100.00000000000001</v>
      </c>
      <c r="DR6" s="148">
        <v>100</v>
      </c>
      <c r="DS6" s="148">
        <v>99.999999999999986</v>
      </c>
      <c r="DT6" s="148">
        <v>100</v>
      </c>
      <c r="DU6" s="148">
        <v>100</v>
      </c>
      <c r="DV6" s="148">
        <v>100</v>
      </c>
      <c r="DW6" s="148">
        <v>100.00000000000001</v>
      </c>
      <c r="DX6" s="148">
        <v>100</v>
      </c>
      <c r="DY6" s="148">
        <v>100</v>
      </c>
      <c r="DZ6" s="148">
        <v>100</v>
      </c>
      <c r="EA6" s="148">
        <v>100</v>
      </c>
      <c r="EB6" s="148">
        <v>100</v>
      </c>
      <c r="EC6" s="148">
        <v>100</v>
      </c>
      <c r="ED6" s="148">
        <v>99.999999999999986</v>
      </c>
      <c r="EE6" s="148">
        <v>100</v>
      </c>
      <c r="EF6" s="148">
        <v>100</v>
      </c>
      <c r="EG6" s="148">
        <v>100</v>
      </c>
      <c r="EH6" s="148">
        <v>100</v>
      </c>
      <c r="EI6" s="148">
        <v>100</v>
      </c>
      <c r="EJ6" s="148">
        <v>100</v>
      </c>
      <c r="EK6" s="148">
        <v>100</v>
      </c>
      <c r="EL6" s="148">
        <v>100</v>
      </c>
      <c r="EM6" s="148">
        <v>100</v>
      </c>
      <c r="EN6" s="148">
        <v>99.999999999999986</v>
      </c>
      <c r="EO6" s="148">
        <v>100</v>
      </c>
      <c r="EP6" s="148">
        <v>100</v>
      </c>
      <c r="EQ6" s="148">
        <v>100</v>
      </c>
      <c r="ER6" s="148">
        <v>100.00000000000001</v>
      </c>
      <c r="ES6" s="148">
        <v>100.00000000000001</v>
      </c>
      <c r="ET6" s="148">
        <v>100</v>
      </c>
      <c r="EU6" s="148">
        <v>100</v>
      </c>
      <c r="EV6" s="148">
        <v>100</v>
      </c>
      <c r="EW6" s="148">
        <v>100</v>
      </c>
      <c r="EX6" s="148">
        <v>100</v>
      </c>
      <c r="EY6" s="148">
        <v>99.999999999999986</v>
      </c>
      <c r="EZ6" s="148">
        <v>100</v>
      </c>
      <c r="FA6" s="148">
        <v>100</v>
      </c>
      <c r="FB6" s="148">
        <v>99.999999999999986</v>
      </c>
      <c r="FC6" s="148">
        <v>100</v>
      </c>
      <c r="FD6" s="148">
        <v>100</v>
      </c>
      <c r="FE6" s="148">
        <v>100</v>
      </c>
      <c r="FF6" s="148">
        <v>100</v>
      </c>
      <c r="FG6" s="148">
        <v>99.999999999999986</v>
      </c>
      <c r="FH6" s="148">
        <v>100</v>
      </c>
      <c r="FI6" s="148">
        <v>100</v>
      </c>
      <c r="FJ6" s="148">
        <v>100</v>
      </c>
      <c r="FK6" s="148">
        <v>100</v>
      </c>
      <c r="FL6" s="148">
        <v>100</v>
      </c>
      <c r="FM6" s="148">
        <v>100</v>
      </c>
      <c r="FN6" s="148">
        <v>100</v>
      </c>
      <c r="FO6" s="148">
        <v>100</v>
      </c>
      <c r="FP6" s="148">
        <v>100</v>
      </c>
      <c r="FQ6" s="148">
        <v>100</v>
      </c>
      <c r="FR6" s="148">
        <v>100</v>
      </c>
      <c r="FS6" s="148">
        <v>100</v>
      </c>
      <c r="FT6" s="148">
        <v>100</v>
      </c>
      <c r="FU6" s="148">
        <v>100</v>
      </c>
      <c r="FV6" s="148">
        <v>100</v>
      </c>
      <c r="FW6" s="148">
        <v>100</v>
      </c>
      <c r="FX6" s="148">
        <v>100</v>
      </c>
      <c r="FY6" s="148">
        <v>100</v>
      </c>
      <c r="FZ6" s="148">
        <v>100</v>
      </c>
      <c r="GA6" s="148">
        <v>100</v>
      </c>
      <c r="GB6" s="148">
        <v>100</v>
      </c>
      <c r="GC6" s="148">
        <v>100</v>
      </c>
      <c r="GD6" s="148">
        <v>100</v>
      </c>
      <c r="GE6" s="148">
        <v>100</v>
      </c>
      <c r="GF6" s="148">
        <v>100</v>
      </c>
      <c r="GG6" s="148">
        <v>100</v>
      </c>
      <c r="GH6" s="148">
        <v>100</v>
      </c>
      <c r="GI6" s="148">
        <v>100</v>
      </c>
      <c r="GJ6" s="148">
        <v>100</v>
      </c>
      <c r="GK6" s="148">
        <v>100</v>
      </c>
      <c r="GL6" s="148">
        <v>100</v>
      </c>
      <c r="GM6" s="148">
        <v>100</v>
      </c>
      <c r="GN6" s="148">
        <v>100</v>
      </c>
      <c r="GO6" s="148">
        <v>100</v>
      </c>
      <c r="GP6" s="148">
        <v>100</v>
      </c>
      <c r="GQ6" s="148">
        <v>100</v>
      </c>
      <c r="GR6" s="148">
        <v>100</v>
      </c>
      <c r="GS6" s="148">
        <v>100</v>
      </c>
      <c r="GT6" s="148">
        <v>100</v>
      </c>
      <c r="GU6" s="148">
        <v>100</v>
      </c>
      <c r="GV6" s="148">
        <v>100</v>
      </c>
      <c r="GW6" s="148">
        <v>100</v>
      </c>
      <c r="GX6" s="148">
        <v>100</v>
      </c>
      <c r="GY6" s="148">
        <v>100</v>
      </c>
      <c r="GZ6" s="148">
        <v>100</v>
      </c>
      <c r="HA6" s="148">
        <v>100</v>
      </c>
      <c r="HB6" s="148">
        <v>100</v>
      </c>
      <c r="HC6" s="148">
        <v>100</v>
      </c>
      <c r="HD6" s="148">
        <v>100</v>
      </c>
      <c r="HE6" s="148">
        <v>100</v>
      </c>
      <c r="HF6" s="148">
        <v>100</v>
      </c>
      <c r="HG6" s="148">
        <v>100</v>
      </c>
      <c r="HH6" s="148">
        <v>100</v>
      </c>
      <c r="HI6" s="148">
        <v>100</v>
      </c>
      <c r="HJ6" s="148">
        <v>100</v>
      </c>
      <c r="HK6" s="148">
        <v>100</v>
      </c>
      <c r="HL6" s="148">
        <v>100</v>
      </c>
      <c r="HM6" s="148">
        <v>100</v>
      </c>
      <c r="HN6" s="148">
        <v>100</v>
      </c>
      <c r="HO6" s="148">
        <v>100</v>
      </c>
      <c r="HP6" s="148">
        <v>100</v>
      </c>
      <c r="HQ6" s="148">
        <v>100</v>
      </c>
      <c r="HR6" s="148">
        <v>100</v>
      </c>
      <c r="HS6" s="148">
        <v>100</v>
      </c>
      <c r="HT6" s="148">
        <v>100</v>
      </c>
      <c r="HU6" s="148">
        <v>100</v>
      </c>
      <c r="HV6" s="148">
        <v>100</v>
      </c>
      <c r="HW6" s="148">
        <v>100</v>
      </c>
      <c r="HX6" s="148">
        <v>100</v>
      </c>
      <c r="HY6" s="148">
        <v>100</v>
      </c>
      <c r="HZ6" s="148">
        <v>100</v>
      </c>
      <c r="IA6" s="148">
        <v>100</v>
      </c>
      <c r="IB6" s="148">
        <v>100</v>
      </c>
      <c r="IC6" s="148">
        <v>100</v>
      </c>
      <c r="ID6" s="148">
        <v>100</v>
      </c>
      <c r="IE6" s="148">
        <v>100</v>
      </c>
    </row>
    <row r="7" spans="1:275" s="142" customFormat="1" ht="16.5" customHeight="1">
      <c r="A7" s="149" t="s">
        <v>192</v>
      </c>
      <c r="B7" s="147"/>
      <c r="C7" s="148">
        <v>62.869857136156575</v>
      </c>
      <c r="D7" s="148">
        <v>63.271861242420542</v>
      </c>
      <c r="E7" s="148">
        <v>66.232551764591321</v>
      </c>
      <c r="F7" s="148">
        <v>63.344695553829936</v>
      </c>
      <c r="G7" s="148">
        <v>65.743480349184296</v>
      </c>
      <c r="H7" s="148">
        <v>60.508428039844389</v>
      </c>
      <c r="I7" s="148">
        <v>63.796616660278495</v>
      </c>
      <c r="J7" s="148">
        <v>60.767225791904899</v>
      </c>
      <c r="K7" s="148">
        <v>65.143084414012236</v>
      </c>
      <c r="L7" s="148">
        <v>63.027575299586545</v>
      </c>
      <c r="M7" s="148">
        <v>61.93289359862095</v>
      </c>
      <c r="N7" s="148">
        <v>61.680214412617943</v>
      </c>
      <c r="O7" s="148">
        <v>61.345906048723599</v>
      </c>
      <c r="P7" s="148">
        <v>58.486168160668562</v>
      </c>
      <c r="Q7" s="148">
        <v>66.998385702227552</v>
      </c>
      <c r="R7" s="148">
        <v>64.89805922215109</v>
      </c>
      <c r="S7" s="148">
        <v>63.47483047475221</v>
      </c>
      <c r="T7" s="148">
        <v>59.234528634084093</v>
      </c>
      <c r="U7" s="148">
        <v>56.439168639544711</v>
      </c>
      <c r="V7" s="148">
        <v>58.892696681725852</v>
      </c>
      <c r="W7" s="148">
        <v>63.881103303149004</v>
      </c>
      <c r="X7" s="148">
        <v>63.809443219216448</v>
      </c>
      <c r="Y7" s="148">
        <v>65.365657520035654</v>
      </c>
      <c r="Z7" s="148">
        <v>66.6783238273633</v>
      </c>
      <c r="AA7" s="148">
        <v>66.061536128187626</v>
      </c>
      <c r="AB7" s="148">
        <v>69.231287392896363</v>
      </c>
      <c r="AC7" s="148">
        <v>76.594762591260562</v>
      </c>
      <c r="AD7" s="148">
        <v>75.124056189361255</v>
      </c>
      <c r="AE7" s="148">
        <v>74.455937452686911</v>
      </c>
      <c r="AF7" s="148">
        <v>71.733196362541563</v>
      </c>
      <c r="AG7" s="148">
        <v>69.066396673479161</v>
      </c>
      <c r="AH7" s="148">
        <v>70.708716045894192</v>
      </c>
      <c r="AI7" s="148">
        <v>74.978645491752033</v>
      </c>
      <c r="AJ7" s="148">
        <v>73.224769455048715</v>
      </c>
      <c r="AK7" s="148">
        <v>73.137684872609512</v>
      </c>
      <c r="AL7" s="148">
        <v>72.791567750021272</v>
      </c>
      <c r="AM7" s="148">
        <v>72.801845554990834</v>
      </c>
      <c r="AN7" s="148">
        <v>70.089584293510825</v>
      </c>
      <c r="AO7" s="148">
        <v>70.18860594628373</v>
      </c>
      <c r="AP7" s="148">
        <v>72.322254354609711</v>
      </c>
      <c r="AQ7" s="148">
        <v>70.395148032575349</v>
      </c>
      <c r="AR7" s="148">
        <v>66.884727247077763</v>
      </c>
      <c r="AS7" s="148">
        <v>65.24375439601512</v>
      </c>
      <c r="AT7" s="148">
        <v>68.768867118312087</v>
      </c>
      <c r="AU7" s="148">
        <v>69.356670391659904</v>
      </c>
      <c r="AV7" s="148">
        <v>69.750437802046562</v>
      </c>
      <c r="AW7" s="148">
        <v>66.834415641066585</v>
      </c>
      <c r="AX7" s="148">
        <v>67.595550088561907</v>
      </c>
      <c r="AY7" s="148">
        <v>67.193719842227722</v>
      </c>
      <c r="AZ7" s="148">
        <v>66.474082820567091</v>
      </c>
      <c r="BA7" s="148">
        <v>69.307466587523209</v>
      </c>
      <c r="BB7" s="148">
        <v>68.360147788397967</v>
      </c>
      <c r="BC7" s="148">
        <v>68.554358139692923</v>
      </c>
      <c r="BD7" s="148">
        <v>66.749424693174063</v>
      </c>
      <c r="BE7" s="148">
        <v>65.20708971891132</v>
      </c>
      <c r="BF7" s="148">
        <v>66.158258403047483</v>
      </c>
      <c r="BG7" s="148">
        <v>67.722115713214222</v>
      </c>
      <c r="BH7" s="148">
        <v>67.030693008726118</v>
      </c>
      <c r="BI7" s="148">
        <v>66.172157445295966</v>
      </c>
      <c r="BJ7" s="148">
        <v>66.386372907911181</v>
      </c>
      <c r="BK7" s="148">
        <v>67.578260216549523</v>
      </c>
      <c r="BL7" s="148">
        <v>63.416218466072635</v>
      </c>
      <c r="BM7" s="148">
        <v>65.978538831924382</v>
      </c>
      <c r="BN7" s="148">
        <v>69.043564675442155</v>
      </c>
      <c r="BO7" s="148">
        <v>65.671360077285371</v>
      </c>
      <c r="BP7" s="148">
        <v>64.15687883824846</v>
      </c>
      <c r="BQ7" s="148">
        <v>69.560344243761563</v>
      </c>
      <c r="BR7" s="148">
        <v>69.285456772613358</v>
      </c>
      <c r="BS7" s="148">
        <v>69.381785336605574</v>
      </c>
      <c r="BT7" s="148">
        <v>68.341956170240493</v>
      </c>
      <c r="BU7" s="148">
        <v>67.207260488171855</v>
      </c>
      <c r="BV7" s="148">
        <v>66.957326325672994</v>
      </c>
      <c r="BW7" s="148">
        <v>68.714752808187313</v>
      </c>
      <c r="BX7" s="148">
        <v>69.640063145818132</v>
      </c>
      <c r="BY7" s="148">
        <v>72.237008160448696</v>
      </c>
      <c r="BZ7" s="148">
        <v>69.634726589404465</v>
      </c>
      <c r="CA7" s="148">
        <v>70.117255867286019</v>
      </c>
      <c r="CB7" s="148">
        <v>68.254311679057054</v>
      </c>
      <c r="CC7" s="148">
        <v>65.531127177216248</v>
      </c>
      <c r="CD7" s="148">
        <v>69.423262400042745</v>
      </c>
      <c r="CE7" s="148">
        <v>71.207096467613482</v>
      </c>
      <c r="CF7" s="148">
        <v>69.813779328192751</v>
      </c>
      <c r="CG7" s="148">
        <v>67.957537777647303</v>
      </c>
      <c r="CH7" s="148">
        <v>65.713430008333219</v>
      </c>
      <c r="CI7" s="148">
        <v>64.711974851835237</v>
      </c>
      <c r="CJ7" s="148">
        <v>65.971188616199996</v>
      </c>
      <c r="CK7" s="148">
        <v>70.479773635920679</v>
      </c>
      <c r="CL7" s="148">
        <v>69.631383670288756</v>
      </c>
      <c r="CM7" s="148">
        <v>72.695028686071623</v>
      </c>
      <c r="CN7" s="148">
        <v>70.628005099393505</v>
      </c>
      <c r="CO7" s="148">
        <v>66.603291557979489</v>
      </c>
      <c r="CP7" s="148">
        <v>72.35682679777878</v>
      </c>
      <c r="CQ7" s="148">
        <v>71.007960726119691</v>
      </c>
      <c r="CR7" s="148">
        <v>71.694216872606518</v>
      </c>
      <c r="CS7" s="148">
        <v>70.753079978557452</v>
      </c>
      <c r="CT7" s="148">
        <v>71.892805904344598</v>
      </c>
      <c r="CU7" s="148">
        <v>69.520478823887629</v>
      </c>
      <c r="CV7" s="148">
        <v>68.728719955265476</v>
      </c>
      <c r="CW7" s="148">
        <v>71.623390691995382</v>
      </c>
      <c r="CX7" s="148">
        <v>67.895933778928168</v>
      </c>
      <c r="CY7" s="148">
        <v>71.3462599061844</v>
      </c>
      <c r="CZ7" s="148">
        <v>66.238318280952413</v>
      </c>
      <c r="DA7" s="148">
        <v>65.772541762673313</v>
      </c>
      <c r="DB7" s="148">
        <v>65.958384098671814</v>
      </c>
      <c r="DC7" s="148">
        <v>70.178279768850189</v>
      </c>
      <c r="DD7" s="148">
        <v>70.26727195868213</v>
      </c>
      <c r="DE7" s="148">
        <v>69.221615383839591</v>
      </c>
      <c r="DF7" s="148">
        <v>69.096122156031498</v>
      </c>
      <c r="DG7" s="148">
        <v>68.095398733869857</v>
      </c>
      <c r="DH7" s="148">
        <v>71.809335045496553</v>
      </c>
      <c r="DI7" s="148">
        <v>73.752084358595724</v>
      </c>
      <c r="DJ7" s="148">
        <v>70.508464620625205</v>
      </c>
      <c r="DK7" s="148">
        <v>69.543589501097685</v>
      </c>
      <c r="DL7" s="148">
        <v>66.448244279482182</v>
      </c>
      <c r="DM7" s="148">
        <v>68.845251585030027</v>
      </c>
      <c r="DN7" s="148">
        <v>71.557487113486147</v>
      </c>
      <c r="DO7" s="148">
        <v>71.535590292789522</v>
      </c>
      <c r="DP7" s="148">
        <v>72.250820723084047</v>
      </c>
      <c r="DQ7" s="148">
        <v>68.873203713682798</v>
      </c>
      <c r="DR7" s="148">
        <v>67.403880365814473</v>
      </c>
      <c r="DS7" s="148">
        <v>69.478170903379507</v>
      </c>
      <c r="DT7" s="148">
        <v>70.822478006383861</v>
      </c>
      <c r="DU7" s="148">
        <v>72.290699995144763</v>
      </c>
      <c r="DV7" s="148">
        <v>66.613797506831716</v>
      </c>
      <c r="DW7" s="148">
        <v>69.459678979543099</v>
      </c>
      <c r="DX7" s="148">
        <v>64.965491076365183</v>
      </c>
      <c r="DY7" s="148">
        <v>64.336457594940882</v>
      </c>
      <c r="DZ7" s="148">
        <v>68.296631951316954</v>
      </c>
      <c r="EA7" s="148">
        <v>70.349253391030658</v>
      </c>
      <c r="EB7" s="148">
        <v>68.916044621749478</v>
      </c>
      <c r="EC7" s="148">
        <v>67.856770024836834</v>
      </c>
      <c r="ED7" s="148">
        <v>71.73726185995352</v>
      </c>
      <c r="EE7" s="148">
        <v>70.124461153917224</v>
      </c>
      <c r="EF7" s="148">
        <v>67.763792462412482</v>
      </c>
      <c r="EG7" s="148">
        <v>71.14237289601823</v>
      </c>
      <c r="EH7" s="148">
        <v>70.158034242337479</v>
      </c>
      <c r="EI7" s="148">
        <v>71.831156245436176</v>
      </c>
      <c r="EJ7" s="148">
        <v>69.656844233990626</v>
      </c>
      <c r="EK7" s="148">
        <v>70.504154314409348</v>
      </c>
      <c r="EL7" s="148">
        <v>71.604794903816142</v>
      </c>
      <c r="EM7" s="148">
        <v>73.022991099505035</v>
      </c>
      <c r="EN7" s="148">
        <v>75.011022995434558</v>
      </c>
      <c r="EO7" s="148">
        <v>75.390036234499206</v>
      </c>
      <c r="EP7" s="148">
        <v>77.93786947866883</v>
      </c>
      <c r="EQ7" s="148">
        <v>75.839727163597431</v>
      </c>
      <c r="ER7" s="148">
        <v>74.548988292275737</v>
      </c>
      <c r="ES7" s="148">
        <v>81.047246100207886</v>
      </c>
      <c r="ET7" s="148">
        <v>75.962293318842001</v>
      </c>
      <c r="EU7" s="148">
        <v>76.870762897669707</v>
      </c>
      <c r="EV7" s="148">
        <v>72.518226312071974</v>
      </c>
      <c r="EW7" s="148">
        <v>74.10872391249093</v>
      </c>
      <c r="EX7" s="148">
        <v>75.862815750648508</v>
      </c>
      <c r="EY7" s="148">
        <v>75.507341070736572</v>
      </c>
      <c r="EZ7" s="148">
        <v>77.652153624896243</v>
      </c>
      <c r="FA7" s="148">
        <v>75.506328281488294</v>
      </c>
      <c r="FB7" s="148">
        <v>74.277237757200581</v>
      </c>
      <c r="FC7" s="148">
        <v>76.344108382637344</v>
      </c>
      <c r="FD7" s="148">
        <v>77.112383401699944</v>
      </c>
      <c r="FE7" s="148">
        <v>76.609515916015553</v>
      </c>
      <c r="FF7" s="148">
        <v>78.072741791263581</v>
      </c>
      <c r="FG7" s="148">
        <v>75.517400404377227</v>
      </c>
      <c r="FH7" s="148">
        <v>80.192036030415906</v>
      </c>
      <c r="FI7" s="148">
        <v>92.589373431465802</v>
      </c>
      <c r="FJ7" s="148">
        <v>92.954721349244807</v>
      </c>
      <c r="FK7" s="148">
        <v>89.406827089265406</v>
      </c>
      <c r="FL7" s="148">
        <v>88.512606046715206</v>
      </c>
      <c r="FM7" s="148">
        <v>86.7604170701741</v>
      </c>
      <c r="FN7" s="148">
        <v>85.087554816899797</v>
      </c>
      <c r="FO7" s="148">
        <v>82.914003744557604</v>
      </c>
      <c r="FP7" s="148">
        <v>79.826943904024404</v>
      </c>
      <c r="FQ7" s="148">
        <v>80.794118300211593</v>
      </c>
      <c r="FR7" s="148">
        <v>77.152576673864402</v>
      </c>
      <c r="FS7" s="148">
        <v>78.086492368940696</v>
      </c>
      <c r="FT7" s="148">
        <v>73.402705618038297</v>
      </c>
      <c r="FU7" s="148">
        <v>74.563944682026801</v>
      </c>
      <c r="FV7" s="148">
        <v>77.8257754990899</v>
      </c>
      <c r="FW7" s="148">
        <v>78.347513295560503</v>
      </c>
      <c r="FX7" s="148">
        <v>76.538338130570693</v>
      </c>
      <c r="FY7" s="148">
        <v>73.4973315363506</v>
      </c>
      <c r="FZ7" s="148">
        <v>74.815447481491603</v>
      </c>
      <c r="GA7" s="148">
        <v>72.299541009149195</v>
      </c>
      <c r="GB7" s="148">
        <v>73.045125524749494</v>
      </c>
      <c r="GC7" s="148">
        <v>75.162300674441497</v>
      </c>
      <c r="GD7" s="148">
        <v>70.634491811548997</v>
      </c>
      <c r="GE7" s="148">
        <v>72.840722497960599</v>
      </c>
      <c r="GF7" s="148">
        <v>65.705953109178495</v>
      </c>
      <c r="GG7" s="148">
        <v>65.448046471071805</v>
      </c>
      <c r="GH7" s="148">
        <v>66.895702791574394</v>
      </c>
      <c r="GI7" s="148">
        <v>67.040264959683697</v>
      </c>
      <c r="GJ7" s="148">
        <v>66.771389647994098</v>
      </c>
      <c r="GK7" s="148">
        <v>67.584016685838506</v>
      </c>
      <c r="GL7" s="148">
        <v>68.304742422500794</v>
      </c>
      <c r="GM7" s="148">
        <v>68.889673051304797</v>
      </c>
      <c r="GN7" s="148">
        <v>67.815345593041599</v>
      </c>
      <c r="GO7" s="148">
        <v>72.549848748981702</v>
      </c>
      <c r="GP7" s="148">
        <v>71.694896668586097</v>
      </c>
      <c r="GQ7" s="148">
        <v>70.266820797118299</v>
      </c>
      <c r="GR7" s="148">
        <v>64.856312202253093</v>
      </c>
      <c r="GS7" s="148">
        <v>66.489592381947702</v>
      </c>
      <c r="GT7" s="148">
        <v>72.196123771722895</v>
      </c>
      <c r="GU7" s="148">
        <v>70.689227851522006</v>
      </c>
      <c r="GV7" s="148">
        <v>70.928757343676196</v>
      </c>
      <c r="GW7" s="148">
        <v>68.761272490226403</v>
      </c>
      <c r="GX7" s="148">
        <v>73.984203331062901</v>
      </c>
      <c r="GY7" s="148">
        <v>73.845636154435098</v>
      </c>
      <c r="GZ7" s="148">
        <v>73.6806399162666</v>
      </c>
      <c r="HA7" s="148">
        <v>76.786011072857605</v>
      </c>
      <c r="HB7" s="148">
        <v>75.494989689687102</v>
      </c>
      <c r="HC7" s="148">
        <v>75.237662354795006</v>
      </c>
      <c r="HD7" s="148">
        <v>76.355572129239107</v>
      </c>
      <c r="HE7" s="148">
        <v>76.71908052165</v>
      </c>
      <c r="HF7" s="148">
        <v>77.986528925668793</v>
      </c>
      <c r="HG7" s="148">
        <v>76.751153315170498</v>
      </c>
      <c r="HH7" s="148">
        <v>75.270030142147206</v>
      </c>
      <c r="HI7" s="148">
        <v>73.260887965898405</v>
      </c>
      <c r="HJ7" s="148">
        <v>73.359835009239205</v>
      </c>
      <c r="HK7" s="148">
        <v>71.486689246744007</v>
      </c>
      <c r="HL7" s="148">
        <v>73.593021102914804</v>
      </c>
      <c r="HM7" s="148">
        <v>75.8703252868672</v>
      </c>
      <c r="HN7" s="148">
        <v>72.934444520747803</v>
      </c>
      <c r="HO7" s="148">
        <v>73.271040881367597</v>
      </c>
      <c r="HP7" s="148">
        <v>70.937255231904402</v>
      </c>
      <c r="HQ7" s="148">
        <v>70.866161393159402</v>
      </c>
      <c r="HR7" s="148">
        <v>73.680360166171099</v>
      </c>
      <c r="HS7" s="148">
        <v>72.884392901362304</v>
      </c>
      <c r="HT7" s="148">
        <v>72.021789441659905</v>
      </c>
      <c r="HU7" s="148">
        <v>69.988917401837</v>
      </c>
      <c r="HV7" s="148">
        <v>72.844492980691996</v>
      </c>
      <c r="HW7" s="148">
        <v>71.473780385882804</v>
      </c>
      <c r="HX7" s="148">
        <v>73.522167873664102</v>
      </c>
      <c r="HY7" s="148">
        <v>74.877071529042396</v>
      </c>
      <c r="HZ7" s="148">
        <v>73.485114196554406</v>
      </c>
      <c r="IA7" s="148">
        <v>75.6048896087635</v>
      </c>
      <c r="IB7" s="148">
        <v>71.8992794084606</v>
      </c>
      <c r="IC7" s="148">
        <v>71.558746824053998</v>
      </c>
      <c r="ID7" s="148">
        <v>72.348916683605395</v>
      </c>
      <c r="IE7" s="148">
        <v>77.341274107805205</v>
      </c>
    </row>
    <row r="8" spans="1:275" s="142" customFormat="1" ht="16.5" customHeight="1">
      <c r="A8" s="149" t="s">
        <v>193</v>
      </c>
      <c r="B8" s="147"/>
      <c r="C8" s="148">
        <v>37.130142863842913</v>
      </c>
      <c r="D8" s="148">
        <v>36.728138757578904</v>
      </c>
      <c r="E8" s="148">
        <v>33.767448235408679</v>
      </c>
      <c r="F8" s="148">
        <v>36.655304446170071</v>
      </c>
      <c r="G8" s="148">
        <v>34.256519650815719</v>
      </c>
      <c r="H8" s="148">
        <v>39.491571960155625</v>
      </c>
      <c r="I8" s="148">
        <v>36.203383339721505</v>
      </c>
      <c r="J8" s="148">
        <v>39.232774208095115</v>
      </c>
      <c r="K8" s="148">
        <v>34.856915585987757</v>
      </c>
      <c r="L8" s="148">
        <v>36.972424700413441</v>
      </c>
      <c r="M8" s="148">
        <v>38.067106401379043</v>
      </c>
      <c r="N8" s="148">
        <v>38.319785587382064</v>
      </c>
      <c r="O8" s="148">
        <v>38.654093951276401</v>
      </c>
      <c r="P8" s="148">
        <v>41.513831839331445</v>
      </c>
      <c r="Q8" s="148">
        <v>33.001614297772441</v>
      </c>
      <c r="R8" s="148">
        <v>35.101940777848917</v>
      </c>
      <c r="S8" s="148">
        <v>36.525169525247797</v>
      </c>
      <c r="T8" s="148">
        <v>40.7654713659159</v>
      </c>
      <c r="U8" s="148">
        <v>43.560831360455282</v>
      </c>
      <c r="V8" s="148">
        <v>41.107303318274155</v>
      </c>
      <c r="W8" s="148">
        <v>36.118896696850996</v>
      </c>
      <c r="X8" s="148">
        <v>36.19055678078356</v>
      </c>
      <c r="Y8" s="148">
        <v>34.634342479964339</v>
      </c>
      <c r="Z8" s="148">
        <v>33.321676172636707</v>
      </c>
      <c r="AA8" s="148">
        <v>33.938463871812374</v>
      </c>
      <c r="AB8" s="148">
        <v>30.768712607103623</v>
      </c>
      <c r="AC8" s="148">
        <v>23.405237408739445</v>
      </c>
      <c r="AD8" s="148">
        <v>24.875943810638745</v>
      </c>
      <c r="AE8" s="148">
        <v>25.544062547313093</v>
      </c>
      <c r="AF8" s="148">
        <v>28.266803637458441</v>
      </c>
      <c r="AG8" s="148">
        <v>30.933603326520839</v>
      </c>
      <c r="AH8" s="148">
        <v>29.291283954105808</v>
      </c>
      <c r="AI8" s="148">
        <v>25.021354508247963</v>
      </c>
      <c r="AJ8" s="148">
        <v>26.775230544951278</v>
      </c>
      <c r="AK8" s="148">
        <v>26.862315127390492</v>
      </c>
      <c r="AL8" s="148">
        <v>27.208432249978724</v>
      </c>
      <c r="AM8" s="148">
        <v>27.198154445009159</v>
      </c>
      <c r="AN8" s="148">
        <v>29.910415706489168</v>
      </c>
      <c r="AO8" s="148">
        <v>29.811394053716267</v>
      </c>
      <c r="AP8" s="148">
        <v>27.677745645390299</v>
      </c>
      <c r="AQ8" s="148">
        <v>29.604851967424651</v>
      </c>
      <c r="AR8" s="148">
        <v>33.11527275292223</v>
      </c>
      <c r="AS8" s="148">
        <v>34.756245603984873</v>
      </c>
      <c r="AT8" s="148">
        <v>31.231132881687905</v>
      </c>
      <c r="AU8" s="148">
        <v>30.6433296083401</v>
      </c>
      <c r="AV8" s="148">
        <v>30.249562197953431</v>
      </c>
      <c r="AW8" s="148">
        <v>33.165584358933408</v>
      </c>
      <c r="AX8" s="148">
        <v>32.404449911438086</v>
      </c>
      <c r="AY8" s="148">
        <v>32.806280157772285</v>
      </c>
      <c r="AZ8" s="148">
        <v>33.525917179432923</v>
      </c>
      <c r="BA8" s="148">
        <v>30.692533412476784</v>
      </c>
      <c r="BB8" s="148">
        <v>31.639852211602026</v>
      </c>
      <c r="BC8" s="148">
        <v>31.445641860307074</v>
      </c>
      <c r="BD8" s="148">
        <v>33.250575306825944</v>
      </c>
      <c r="BE8" s="148">
        <v>34.792910281088673</v>
      </c>
      <c r="BF8" s="148">
        <v>33.841741596952509</v>
      </c>
      <c r="BG8" s="148">
        <v>32.277884286785763</v>
      </c>
      <c r="BH8" s="148">
        <v>32.969306991273889</v>
      </c>
      <c r="BI8" s="148">
        <v>33.827842554704027</v>
      </c>
      <c r="BJ8" s="148">
        <v>33.613627092088812</v>
      </c>
      <c r="BK8" s="148">
        <v>32.421739783450477</v>
      </c>
      <c r="BL8" s="148">
        <v>36.583781533927365</v>
      </c>
      <c r="BM8" s="148">
        <v>34.021461168075604</v>
      </c>
      <c r="BN8" s="148">
        <v>30.956435324557845</v>
      </c>
      <c r="BO8" s="148">
        <v>34.328639922714636</v>
      </c>
      <c r="BP8" s="148">
        <v>35.84312116175154</v>
      </c>
      <c r="BQ8" s="148">
        <v>30.439655756238441</v>
      </c>
      <c r="BR8" s="148">
        <v>30.714543227386653</v>
      </c>
      <c r="BS8" s="148">
        <v>30.618214663394429</v>
      </c>
      <c r="BT8" s="148">
        <v>31.658043829759503</v>
      </c>
      <c r="BU8" s="148">
        <v>32.792739511828131</v>
      </c>
      <c r="BV8" s="148">
        <v>33.042673674327006</v>
      </c>
      <c r="BW8" s="148">
        <v>31.28524719181268</v>
      </c>
      <c r="BX8" s="148">
        <v>30.359936854181882</v>
      </c>
      <c r="BY8" s="148">
        <v>27.762991839551308</v>
      </c>
      <c r="BZ8" s="148">
        <v>30.365273410595528</v>
      </c>
      <c r="CA8" s="148">
        <v>29.882744132713977</v>
      </c>
      <c r="CB8" s="148">
        <v>31.74568832094295</v>
      </c>
      <c r="CC8" s="148">
        <v>34.468872822783752</v>
      </c>
      <c r="CD8" s="148">
        <v>30.576737599957259</v>
      </c>
      <c r="CE8" s="148">
        <v>28.792903532386511</v>
      </c>
      <c r="CF8" s="148">
        <v>30.186220671807252</v>
      </c>
      <c r="CG8" s="148">
        <v>32.042462222352704</v>
      </c>
      <c r="CH8" s="148">
        <v>34.286569991666774</v>
      </c>
      <c r="CI8" s="148">
        <v>35.288025148164778</v>
      </c>
      <c r="CJ8" s="148">
        <v>34.028811383800011</v>
      </c>
      <c r="CK8" s="148">
        <v>29.520226364079317</v>
      </c>
      <c r="CL8" s="148">
        <v>30.368616329711237</v>
      </c>
      <c r="CM8" s="148">
        <v>27.304971313928387</v>
      </c>
      <c r="CN8" s="148">
        <v>29.371994900606495</v>
      </c>
      <c r="CO8" s="148">
        <v>33.396708442020511</v>
      </c>
      <c r="CP8" s="148">
        <v>27.643173202221213</v>
      </c>
      <c r="CQ8" s="148">
        <v>28.992039273880323</v>
      </c>
      <c r="CR8" s="148">
        <v>28.305783127393486</v>
      </c>
      <c r="CS8" s="148">
        <v>29.246920021442552</v>
      </c>
      <c r="CT8" s="148">
        <v>28.107194095655409</v>
      </c>
      <c r="CU8" s="148">
        <v>30.479521176112371</v>
      </c>
      <c r="CV8" s="148">
        <v>31.271280044734528</v>
      </c>
      <c r="CW8" s="148">
        <v>28.376609308004625</v>
      </c>
      <c r="CX8" s="148">
        <v>32.104066221071825</v>
      </c>
      <c r="CY8" s="148">
        <v>28.653740093815596</v>
      </c>
      <c r="CZ8" s="148">
        <v>33.76168171904758</v>
      </c>
      <c r="DA8" s="148">
        <v>34.227458237326694</v>
      </c>
      <c r="DB8" s="148">
        <v>34.041615901328186</v>
      </c>
      <c r="DC8" s="148">
        <v>29.821720231149818</v>
      </c>
      <c r="DD8" s="148">
        <v>29.732728041317859</v>
      </c>
      <c r="DE8" s="148">
        <v>30.778384616160409</v>
      </c>
      <c r="DF8" s="148">
        <v>30.903877843968495</v>
      </c>
      <c r="DG8" s="148">
        <v>31.904601266130147</v>
      </c>
      <c r="DH8" s="148">
        <v>28.19066495450344</v>
      </c>
      <c r="DI8" s="148">
        <v>26.247915641404273</v>
      </c>
      <c r="DJ8" s="148">
        <v>29.491535379374799</v>
      </c>
      <c r="DK8" s="148">
        <v>30.456410498902308</v>
      </c>
      <c r="DL8" s="148">
        <v>33.551755720517818</v>
      </c>
      <c r="DM8" s="148">
        <v>31.154748414969976</v>
      </c>
      <c r="DN8" s="148">
        <v>28.442512886513853</v>
      </c>
      <c r="DO8" s="148">
        <v>28.464409707210478</v>
      </c>
      <c r="DP8" s="148">
        <v>27.749179276915953</v>
      </c>
      <c r="DQ8" s="148">
        <v>31.126796286317212</v>
      </c>
      <c r="DR8" s="148">
        <v>32.596119634185527</v>
      </c>
      <c r="DS8" s="148">
        <v>30.521829096620483</v>
      </c>
      <c r="DT8" s="148">
        <v>29.177521993616136</v>
      </c>
      <c r="DU8" s="148">
        <v>27.709300004855244</v>
      </c>
      <c r="DV8" s="148">
        <v>33.386202493168277</v>
      </c>
      <c r="DW8" s="148">
        <v>30.540321020456911</v>
      </c>
      <c r="DX8" s="148">
        <v>35.03450892363481</v>
      </c>
      <c r="DY8" s="148">
        <v>35.663542405059125</v>
      </c>
      <c r="DZ8" s="148">
        <v>31.703368048683053</v>
      </c>
      <c r="EA8" s="148">
        <v>29.650746608969342</v>
      </c>
      <c r="EB8" s="148">
        <v>31.083955378250529</v>
      </c>
      <c r="EC8" s="148">
        <v>32.143229975163159</v>
      </c>
      <c r="ED8" s="148">
        <v>28.262738140046466</v>
      </c>
      <c r="EE8" s="148">
        <v>29.875538846082772</v>
      </c>
      <c r="EF8" s="148">
        <v>32.236207537587518</v>
      </c>
      <c r="EG8" s="148">
        <v>28.857627103981777</v>
      </c>
      <c r="EH8" s="148">
        <v>29.841965757662525</v>
      </c>
      <c r="EI8" s="148">
        <v>28.16884375456382</v>
      </c>
      <c r="EJ8" s="148">
        <v>30.343155766009371</v>
      </c>
      <c r="EK8" s="148">
        <v>29.495845685590648</v>
      </c>
      <c r="EL8" s="148">
        <v>28.395205096183862</v>
      </c>
      <c r="EM8" s="148">
        <v>26.977008900494962</v>
      </c>
      <c r="EN8" s="148">
        <v>24.988977004565427</v>
      </c>
      <c r="EO8" s="148">
        <v>24.60996376550079</v>
      </c>
      <c r="EP8" s="148">
        <v>22.062130521331166</v>
      </c>
      <c r="EQ8" s="148">
        <v>24.160272836402569</v>
      </c>
      <c r="ER8" s="148">
        <v>25.451011707724277</v>
      </c>
      <c r="ES8" s="148">
        <v>18.952753899792125</v>
      </c>
      <c r="ET8" s="148">
        <v>24.037706681157999</v>
      </c>
      <c r="EU8" s="148">
        <v>23.129237102330297</v>
      </c>
      <c r="EV8" s="148">
        <v>27.481773687928026</v>
      </c>
      <c r="EW8" s="148">
        <v>25.891276087509063</v>
      </c>
      <c r="EX8" s="148">
        <v>24.137184249351495</v>
      </c>
      <c r="EY8" s="148">
        <v>24.492658929263413</v>
      </c>
      <c r="EZ8" s="148">
        <v>22.347846375103757</v>
      </c>
      <c r="FA8" s="148">
        <v>24.49367171851171</v>
      </c>
      <c r="FB8" s="148">
        <v>25.722762242799405</v>
      </c>
      <c r="FC8" s="148">
        <v>23.655891617362649</v>
      </c>
      <c r="FD8" s="148">
        <v>22.887616598300053</v>
      </c>
      <c r="FE8" s="148">
        <v>23.39048408398445</v>
      </c>
      <c r="FF8" s="148">
        <v>21.927258208736411</v>
      </c>
      <c r="FG8" s="148">
        <v>24.482599595622759</v>
      </c>
      <c r="FH8" s="148">
        <v>19.807963969584101</v>
      </c>
      <c r="FI8" s="148">
        <v>7.4106265685341501</v>
      </c>
      <c r="FJ8" s="148">
        <v>7.0452786507551401</v>
      </c>
      <c r="FK8" s="148">
        <v>10.5931729107345</v>
      </c>
      <c r="FL8" s="148">
        <v>11.4873939532848</v>
      </c>
      <c r="FM8" s="148">
        <v>13.2395829298259</v>
      </c>
      <c r="FN8" s="148">
        <v>14.9124451831002</v>
      </c>
      <c r="FO8" s="148">
        <v>17.0859962554423</v>
      </c>
      <c r="FP8" s="148">
        <v>20.1730560959756</v>
      </c>
      <c r="FQ8" s="148">
        <v>19.205881699788399</v>
      </c>
      <c r="FR8" s="148">
        <v>22.847423326135601</v>
      </c>
      <c r="FS8" s="148">
        <v>21.9135076310593</v>
      </c>
      <c r="FT8" s="148">
        <v>26.597294381961699</v>
      </c>
      <c r="FU8" s="148">
        <v>25.436055317973199</v>
      </c>
      <c r="FV8" s="148">
        <v>22.1742245009101</v>
      </c>
      <c r="FW8" s="148">
        <v>21.6524867044395</v>
      </c>
      <c r="FX8" s="148">
        <v>23.4616618694293</v>
      </c>
      <c r="FY8" s="148">
        <v>26.5026684636494</v>
      </c>
      <c r="FZ8" s="148">
        <v>25.184552518508401</v>
      </c>
      <c r="GA8" s="148">
        <v>27.700458990850802</v>
      </c>
      <c r="GB8" s="148">
        <v>26.954874475250499</v>
      </c>
      <c r="GC8" s="148">
        <v>24.8376993255585</v>
      </c>
      <c r="GD8" s="148">
        <v>29.365508188450999</v>
      </c>
      <c r="GE8" s="148">
        <v>27.159277502039401</v>
      </c>
      <c r="GF8" s="148">
        <v>34.294046890821498</v>
      </c>
      <c r="GG8" s="148">
        <v>34.551953528928202</v>
      </c>
      <c r="GH8" s="148">
        <v>33.104297208425599</v>
      </c>
      <c r="GI8" s="148">
        <v>32.959735040316303</v>
      </c>
      <c r="GJ8" s="148">
        <v>33.228610352005902</v>
      </c>
      <c r="GK8" s="148">
        <v>32.415983314161501</v>
      </c>
      <c r="GL8" s="148">
        <v>31.695257577499198</v>
      </c>
      <c r="GM8" s="148">
        <v>31.110326948695199</v>
      </c>
      <c r="GN8" s="148">
        <v>32.184654406958401</v>
      </c>
      <c r="GO8" s="148">
        <v>27.450151251018301</v>
      </c>
      <c r="GP8" s="148">
        <v>28.3051033314139</v>
      </c>
      <c r="GQ8" s="148">
        <v>29.733179202881701</v>
      </c>
      <c r="GR8" s="148">
        <v>35.1436877977469</v>
      </c>
      <c r="GS8" s="148">
        <v>33.510407618052298</v>
      </c>
      <c r="GT8" s="148">
        <v>27.803876228277101</v>
      </c>
      <c r="GU8" s="148">
        <v>29.310772148478001</v>
      </c>
      <c r="GV8" s="148">
        <v>29.0712426563239</v>
      </c>
      <c r="GW8" s="148">
        <v>31.2387275097736</v>
      </c>
      <c r="GX8" s="148">
        <v>26.015796668937099</v>
      </c>
      <c r="GY8" s="148">
        <v>26.154363845564902</v>
      </c>
      <c r="GZ8" s="148">
        <v>26.319360083733301</v>
      </c>
      <c r="HA8" s="148">
        <v>23.213988927142399</v>
      </c>
      <c r="HB8" s="148">
        <v>24.505010310312901</v>
      </c>
      <c r="HC8" s="148">
        <v>24.762337645205001</v>
      </c>
      <c r="HD8" s="148">
        <v>23.6444278707609</v>
      </c>
      <c r="HE8" s="148">
        <v>23.28091947835</v>
      </c>
      <c r="HF8" s="148">
        <v>22.0134710743312</v>
      </c>
      <c r="HG8" s="148">
        <v>23.248846684829498</v>
      </c>
      <c r="HH8" s="148">
        <v>24.729969857852801</v>
      </c>
      <c r="HI8" s="148">
        <v>26.739112034101598</v>
      </c>
      <c r="HJ8" s="148">
        <v>26.640164990760798</v>
      </c>
      <c r="HK8" s="148">
        <v>28.513310753256</v>
      </c>
      <c r="HL8" s="148">
        <v>26.4069788970852</v>
      </c>
      <c r="HM8" s="148">
        <v>24.1296747131328</v>
      </c>
      <c r="HN8" s="148">
        <v>27.0655554792522</v>
      </c>
      <c r="HO8" s="148">
        <v>26.7289591186324</v>
      </c>
      <c r="HP8" s="148">
        <v>29.062744768095602</v>
      </c>
      <c r="HQ8" s="148">
        <v>29.133838606840499</v>
      </c>
      <c r="HR8" s="148">
        <v>26.319639833828901</v>
      </c>
      <c r="HS8" s="148">
        <v>27.1156070986377</v>
      </c>
      <c r="HT8" s="148">
        <v>27.978210558340098</v>
      </c>
      <c r="HU8" s="148">
        <v>30.011082598163</v>
      </c>
      <c r="HV8" s="148">
        <v>27.155507019308001</v>
      </c>
      <c r="HW8" s="148">
        <v>28.526219614117199</v>
      </c>
      <c r="HX8" s="148">
        <v>26.477832126335901</v>
      </c>
      <c r="HY8" s="148">
        <v>25.1229284709576</v>
      </c>
      <c r="HZ8" s="148">
        <v>26.514885803445601</v>
      </c>
      <c r="IA8" s="148">
        <v>24.3951103912365</v>
      </c>
      <c r="IB8" s="148">
        <v>28.1007205915394</v>
      </c>
      <c r="IC8" s="148">
        <v>28.441253175945999</v>
      </c>
      <c r="ID8" s="148">
        <v>27.651083316394601</v>
      </c>
      <c r="IE8" s="148">
        <v>22.658725892194798</v>
      </c>
      <c r="IF8" s="228"/>
    </row>
    <row r="9" spans="1:275" s="142" customFormat="1" ht="16.5" customHeight="1">
      <c r="A9" s="149" t="s">
        <v>194</v>
      </c>
      <c r="B9" s="147"/>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150"/>
      <c r="CH9" s="150"/>
      <c r="CI9" s="150"/>
      <c r="CJ9" s="150"/>
      <c r="CK9" s="150"/>
      <c r="CL9" s="150"/>
      <c r="CM9" s="150"/>
      <c r="CN9" s="150"/>
      <c r="CO9" s="150"/>
      <c r="CP9" s="150"/>
      <c r="CQ9" s="150"/>
      <c r="CR9" s="150"/>
      <c r="CS9" s="150"/>
      <c r="CT9" s="150"/>
      <c r="CU9" s="150"/>
      <c r="CV9" s="150"/>
      <c r="CW9" s="150"/>
      <c r="CX9" s="150"/>
      <c r="CY9" s="150"/>
      <c r="CZ9" s="150"/>
      <c r="DA9" s="150"/>
      <c r="DB9" s="150"/>
      <c r="DC9" s="150"/>
      <c r="DD9" s="150"/>
      <c r="DE9" s="150"/>
      <c r="DF9" s="150"/>
      <c r="DG9" s="150"/>
      <c r="DH9" s="150"/>
      <c r="DI9" s="150"/>
      <c r="DJ9" s="150"/>
      <c r="DK9" s="150"/>
      <c r="DL9" s="150"/>
      <c r="DM9" s="150"/>
      <c r="DN9" s="150"/>
      <c r="DO9" s="150"/>
      <c r="DP9" s="150"/>
      <c r="DQ9" s="150"/>
      <c r="DR9" s="150"/>
      <c r="DS9" s="150"/>
      <c r="DT9" s="150"/>
      <c r="DU9" s="150"/>
      <c r="DV9" s="150"/>
      <c r="DW9" s="150"/>
      <c r="DX9" s="150"/>
      <c r="DY9" s="150"/>
      <c r="DZ9" s="150"/>
      <c r="EA9" s="150"/>
      <c r="EB9" s="150"/>
      <c r="EC9" s="150"/>
      <c r="ED9" s="150"/>
      <c r="EE9" s="150"/>
      <c r="EF9" s="150"/>
      <c r="EG9" s="150"/>
      <c r="EH9" s="150"/>
      <c r="EI9" s="150"/>
      <c r="EJ9" s="150"/>
      <c r="EK9" s="150"/>
      <c r="EL9" s="150"/>
      <c r="EM9" s="150"/>
      <c r="EN9" s="150"/>
      <c r="EO9" s="150"/>
      <c r="EP9" s="150"/>
      <c r="EQ9" s="150"/>
      <c r="ER9" s="150"/>
      <c r="ES9" s="150"/>
      <c r="ET9" s="150"/>
      <c r="EU9" s="150"/>
      <c r="EV9" s="150"/>
      <c r="EW9" s="150"/>
      <c r="EX9" s="150"/>
      <c r="EY9" s="150"/>
      <c r="EZ9" s="150"/>
      <c r="FA9" s="150"/>
      <c r="FB9" s="150"/>
      <c r="FC9" s="150"/>
      <c r="FD9" s="150"/>
      <c r="FE9" s="150"/>
      <c r="FF9" s="150"/>
      <c r="FG9" s="150"/>
      <c r="FH9" s="150"/>
      <c r="FI9" s="150"/>
      <c r="FJ9" s="150"/>
      <c r="FK9" s="150"/>
      <c r="FL9" s="150"/>
      <c r="FM9" s="150"/>
      <c r="FN9" s="150"/>
      <c r="FO9" s="150"/>
      <c r="FP9" s="150"/>
      <c r="FQ9" s="150"/>
      <c r="FR9" s="150"/>
      <c r="FS9" s="150"/>
      <c r="FT9" s="150"/>
      <c r="FU9" s="150"/>
      <c r="FV9" s="150"/>
      <c r="FW9" s="150"/>
      <c r="FX9" s="150"/>
      <c r="FY9" s="150"/>
      <c r="FZ9" s="150"/>
      <c r="GA9" s="150"/>
      <c r="GB9" s="150"/>
      <c r="GC9" s="150"/>
      <c r="GD9" s="150"/>
      <c r="GE9" s="150"/>
      <c r="GF9" s="150"/>
      <c r="GG9" s="150"/>
      <c r="GH9" s="150"/>
      <c r="GI9" s="150"/>
      <c r="GJ9" s="150"/>
      <c r="GK9" s="150"/>
      <c r="GL9" s="150"/>
      <c r="GM9" s="150"/>
      <c r="GN9" s="150"/>
      <c r="GO9" s="150"/>
      <c r="GP9" s="150"/>
      <c r="GQ9" s="150"/>
      <c r="GR9" s="150"/>
      <c r="GS9" s="150"/>
      <c r="GT9" s="150"/>
      <c r="GU9" s="150"/>
      <c r="GV9" s="150"/>
      <c r="GW9" s="150"/>
      <c r="GX9" s="150"/>
      <c r="GY9" s="150"/>
      <c r="GZ9" s="150"/>
      <c r="HA9" s="150"/>
      <c r="HB9" s="150"/>
      <c r="HC9" s="150"/>
      <c r="HD9" s="150"/>
      <c r="HE9" s="150"/>
      <c r="HF9" s="150"/>
      <c r="HG9" s="150"/>
      <c r="HH9" s="150"/>
      <c r="HI9" s="150"/>
      <c r="HJ9" s="148"/>
      <c r="HK9" s="148"/>
      <c r="HL9" s="148"/>
      <c r="HM9" s="148"/>
      <c r="HN9" s="148"/>
      <c r="HO9" s="148"/>
      <c r="HP9" s="148"/>
      <c r="HQ9" s="148"/>
      <c r="HR9" s="148"/>
      <c r="HS9" s="148"/>
      <c r="HT9" s="148"/>
      <c r="HU9" s="148"/>
      <c r="HV9" s="148"/>
      <c r="HW9" s="148"/>
      <c r="HX9" s="148"/>
      <c r="HY9" s="148"/>
      <c r="HZ9" s="148"/>
      <c r="IA9" s="148"/>
      <c r="IB9" s="148"/>
      <c r="IC9" s="148"/>
      <c r="ID9" s="148"/>
      <c r="IE9" s="148"/>
    </row>
    <row r="10" spans="1:275" s="142" customFormat="1" ht="16.5" customHeight="1">
      <c r="A10" s="147"/>
      <c r="B10" s="147" t="s">
        <v>195</v>
      </c>
      <c r="C10" s="150">
        <v>92.340060031251952</v>
      </c>
      <c r="D10" s="150">
        <v>90.925460011332419</v>
      </c>
      <c r="E10" s="150">
        <v>91.365085714161935</v>
      </c>
      <c r="F10" s="150">
        <v>91.104789941477037</v>
      </c>
      <c r="G10" s="150">
        <v>90.438774113612823</v>
      </c>
      <c r="H10" s="150">
        <v>92.147704946383669</v>
      </c>
      <c r="I10" s="150">
        <v>91.912008627662502</v>
      </c>
      <c r="J10" s="150">
        <v>90.338540726393489</v>
      </c>
      <c r="K10" s="150">
        <v>91.510967559860489</v>
      </c>
      <c r="L10" s="150">
        <v>92.416529570680169</v>
      </c>
      <c r="M10" s="150">
        <v>88.575290911505689</v>
      </c>
      <c r="N10" s="150">
        <v>89.766669318957142</v>
      </c>
      <c r="O10" s="150">
        <v>87.792419724959075</v>
      </c>
      <c r="P10" s="150">
        <v>88.574032836780006</v>
      </c>
      <c r="Q10" s="150">
        <v>91.781018457631291</v>
      </c>
      <c r="R10" s="150">
        <v>90.688269753850975</v>
      </c>
      <c r="S10" s="150">
        <v>90.042207796220936</v>
      </c>
      <c r="T10" s="150">
        <v>90.226602123509821</v>
      </c>
      <c r="U10" s="150">
        <v>91.362455452344022</v>
      </c>
      <c r="V10" s="150">
        <v>91.219215689097084</v>
      </c>
      <c r="W10" s="150">
        <v>91.672818753263044</v>
      </c>
      <c r="X10" s="150">
        <v>89.942432141136734</v>
      </c>
      <c r="Y10" s="150">
        <v>90.852484527388171</v>
      </c>
      <c r="Z10" s="150">
        <v>92.458964900038865</v>
      </c>
      <c r="AA10" s="150">
        <v>90.266437701060738</v>
      </c>
      <c r="AB10" s="150">
        <v>94.684248855839499</v>
      </c>
      <c r="AC10" s="150">
        <v>94.726738596604577</v>
      </c>
      <c r="AD10" s="150">
        <v>93.543174127308788</v>
      </c>
      <c r="AE10" s="150">
        <v>94.158332186054565</v>
      </c>
      <c r="AF10" s="150">
        <v>95.064034323145421</v>
      </c>
      <c r="AG10" s="150">
        <v>94.024017363107617</v>
      </c>
      <c r="AH10" s="150">
        <v>93.868607853595293</v>
      </c>
      <c r="AI10" s="150">
        <v>96.144601179295435</v>
      </c>
      <c r="AJ10" s="150">
        <v>91.055884071493523</v>
      </c>
      <c r="AK10" s="150">
        <v>94.452356507220799</v>
      </c>
      <c r="AL10" s="150">
        <v>93.87024652418873</v>
      </c>
      <c r="AM10" s="150">
        <v>91.783869389914003</v>
      </c>
      <c r="AN10" s="150">
        <v>92.780759018541104</v>
      </c>
      <c r="AO10" s="150">
        <v>93.021694830203089</v>
      </c>
      <c r="AP10" s="150">
        <v>90.901792965751753</v>
      </c>
      <c r="AQ10" s="150">
        <v>91.970908804626532</v>
      </c>
      <c r="AR10" s="150">
        <v>90.682429823119236</v>
      </c>
      <c r="AS10" s="150">
        <v>89.856661102026308</v>
      </c>
      <c r="AT10" s="150">
        <v>91.070561444419482</v>
      </c>
      <c r="AU10" s="150">
        <v>90.018768895834071</v>
      </c>
      <c r="AV10" s="150">
        <v>89.886084244239626</v>
      </c>
      <c r="AW10" s="150">
        <v>92.253489768370983</v>
      </c>
      <c r="AX10" s="150">
        <v>91.598467464248969</v>
      </c>
      <c r="AY10" s="150">
        <v>91.322027586500667</v>
      </c>
      <c r="AZ10" s="150">
        <v>87.983508052711315</v>
      </c>
      <c r="BA10" s="150">
        <v>85.808872902819004</v>
      </c>
      <c r="BB10" s="150">
        <v>86.749269102888974</v>
      </c>
      <c r="BC10" s="150">
        <v>90.98827123892066</v>
      </c>
      <c r="BD10" s="150">
        <v>90.989109430687179</v>
      </c>
      <c r="BE10" s="150">
        <v>92.120989948067063</v>
      </c>
      <c r="BF10" s="150">
        <v>93.597151843639651</v>
      </c>
      <c r="BG10" s="150">
        <v>93.07863345744768</v>
      </c>
      <c r="BH10" s="150">
        <v>93.651847267374038</v>
      </c>
      <c r="BI10" s="150">
        <v>89.973971162263439</v>
      </c>
      <c r="BJ10" s="150">
        <v>92.067380151740338</v>
      </c>
      <c r="BK10" s="150">
        <v>91.509756575212947</v>
      </c>
      <c r="BL10" s="150">
        <v>90.708761496604822</v>
      </c>
      <c r="BM10" s="150">
        <v>92.164320861349864</v>
      </c>
      <c r="BN10" s="150">
        <v>93.240738834488127</v>
      </c>
      <c r="BO10" s="150">
        <v>92.674594461548295</v>
      </c>
      <c r="BP10" s="150">
        <v>92.608975892215739</v>
      </c>
      <c r="BQ10" s="150">
        <v>91.2000193815866</v>
      </c>
      <c r="BR10" s="150">
        <v>92.245496516940747</v>
      </c>
      <c r="BS10" s="150">
        <v>89.532255160731196</v>
      </c>
      <c r="BT10" s="150">
        <v>91.431452179069055</v>
      </c>
      <c r="BU10" s="150">
        <v>88.926062227308151</v>
      </c>
      <c r="BV10" s="150">
        <v>91.952729778892021</v>
      </c>
      <c r="BW10" s="150">
        <v>93.492160843161372</v>
      </c>
      <c r="BX10" s="150">
        <v>93.247917883796958</v>
      </c>
      <c r="BY10" s="150">
        <v>91.213699872953995</v>
      </c>
      <c r="BZ10" s="150">
        <v>91.569715588127963</v>
      </c>
      <c r="CA10" s="150">
        <v>91.948834698660207</v>
      </c>
      <c r="CB10" s="150">
        <v>89.482337247195005</v>
      </c>
      <c r="CC10" s="150">
        <v>90.689054210445477</v>
      </c>
      <c r="CD10" s="150">
        <v>88.958364869634423</v>
      </c>
      <c r="CE10" s="150">
        <v>91.251108426195643</v>
      </c>
      <c r="CF10" s="150">
        <v>92.22723649915153</v>
      </c>
      <c r="CG10" s="150">
        <v>92.464804462691035</v>
      </c>
      <c r="CH10" s="150">
        <v>91.498392987336942</v>
      </c>
      <c r="CI10" s="150">
        <v>93.712210278660308</v>
      </c>
      <c r="CJ10" s="150">
        <v>89.993722600042062</v>
      </c>
      <c r="CK10" s="150">
        <v>93.335178918384841</v>
      </c>
      <c r="CL10" s="150">
        <v>88.039186729214208</v>
      </c>
      <c r="CM10" s="150">
        <v>92.986867564200608</v>
      </c>
      <c r="CN10" s="150">
        <v>91.384255151694958</v>
      </c>
      <c r="CO10" s="150">
        <v>87.091661832745942</v>
      </c>
      <c r="CP10" s="150">
        <v>88.347504702082347</v>
      </c>
      <c r="CQ10" s="150">
        <v>90.525328246650673</v>
      </c>
      <c r="CR10" s="150">
        <v>89.320556335526007</v>
      </c>
      <c r="CS10" s="150">
        <v>91.115095160053897</v>
      </c>
      <c r="CT10" s="150">
        <v>91.558547374950138</v>
      </c>
      <c r="CU10" s="150">
        <v>87.796809008104731</v>
      </c>
      <c r="CV10" s="150">
        <v>89.21028911526902</v>
      </c>
      <c r="CW10" s="150">
        <v>89.411094093560706</v>
      </c>
      <c r="CX10" s="150">
        <v>92.936416790887222</v>
      </c>
      <c r="CY10" s="150">
        <v>88.552517346325203</v>
      </c>
      <c r="CZ10" s="150">
        <v>91.344621732964669</v>
      </c>
      <c r="DA10" s="150">
        <v>90.265091346135009</v>
      </c>
      <c r="DB10" s="150">
        <v>92.579714963083589</v>
      </c>
      <c r="DC10" s="150">
        <v>92.995648202175602</v>
      </c>
      <c r="DD10" s="150">
        <v>91.528319860544443</v>
      </c>
      <c r="DE10" s="150">
        <v>88.651170040090932</v>
      </c>
      <c r="DF10" s="150">
        <v>89.203253921667951</v>
      </c>
      <c r="DG10" s="150">
        <v>91.359113786920062</v>
      </c>
      <c r="DH10" s="150">
        <v>87.808901925379473</v>
      </c>
      <c r="DI10" s="150">
        <v>89.793331833578762</v>
      </c>
      <c r="DJ10" s="150">
        <v>89.105438777172424</v>
      </c>
      <c r="DK10" s="150">
        <v>87.243457559233121</v>
      </c>
      <c r="DL10" s="150">
        <v>89.530782056880057</v>
      </c>
      <c r="DM10" s="150">
        <v>90.204894896645797</v>
      </c>
      <c r="DN10" s="150">
        <v>89.324406490318779</v>
      </c>
      <c r="DO10" s="150">
        <v>86.947579829162706</v>
      </c>
      <c r="DP10" s="150">
        <v>89.948458930087284</v>
      </c>
      <c r="DQ10" s="150">
        <v>91.043504827585494</v>
      </c>
      <c r="DR10" s="150">
        <v>89.517096949296288</v>
      </c>
      <c r="DS10" s="150">
        <v>90.512509910563651</v>
      </c>
      <c r="DT10" s="150">
        <v>90.369043445990954</v>
      </c>
      <c r="DU10" s="150">
        <v>90.19551284538359</v>
      </c>
      <c r="DV10" s="150">
        <v>89.286186858023783</v>
      </c>
      <c r="DW10" s="150">
        <v>88.220577295545837</v>
      </c>
      <c r="DX10" s="150">
        <v>88.917723079128294</v>
      </c>
      <c r="DY10" s="150">
        <v>90.637552981211584</v>
      </c>
      <c r="DZ10" s="150">
        <v>87.462787576556877</v>
      </c>
      <c r="EA10" s="150">
        <v>88.48812714140152</v>
      </c>
      <c r="EB10" s="150">
        <v>89.487203994402662</v>
      </c>
      <c r="EC10" s="150">
        <v>86.901927376503451</v>
      </c>
      <c r="ED10" s="150">
        <v>92.727491353739495</v>
      </c>
      <c r="EE10" s="150">
        <v>89.672945572235619</v>
      </c>
      <c r="EF10" s="150">
        <v>88.283935786334837</v>
      </c>
      <c r="EG10" s="150">
        <v>88.115380195858037</v>
      </c>
      <c r="EH10" s="150">
        <v>87.967870809506408</v>
      </c>
      <c r="EI10" s="150">
        <v>90.881528014029556</v>
      </c>
      <c r="EJ10" s="150">
        <v>91.315714183853245</v>
      </c>
      <c r="EK10" s="150">
        <v>89.882197653155586</v>
      </c>
      <c r="EL10" s="150">
        <v>90.015830985294372</v>
      </c>
      <c r="EM10" s="150">
        <v>90.151509871512232</v>
      </c>
      <c r="EN10" s="150">
        <v>89.959770592646962</v>
      </c>
      <c r="EO10" s="150">
        <v>88.301336299419603</v>
      </c>
      <c r="EP10" s="150">
        <v>88.904017733510287</v>
      </c>
      <c r="EQ10" s="150">
        <v>87.591731431585046</v>
      </c>
      <c r="ER10" s="150">
        <v>91.600566886372334</v>
      </c>
      <c r="ES10" s="150">
        <v>93.08453390016804</v>
      </c>
      <c r="ET10" s="150">
        <v>92.473468803559626</v>
      </c>
      <c r="EU10" s="150">
        <v>91.877827234633642</v>
      </c>
      <c r="EV10" s="150">
        <v>91.623431821956572</v>
      </c>
      <c r="EW10" s="150">
        <v>90.12314003813195</v>
      </c>
      <c r="EX10" s="150">
        <v>93.779525106254908</v>
      </c>
      <c r="EY10" s="150">
        <v>92.125526243524689</v>
      </c>
      <c r="EZ10" s="150">
        <v>91.75553797986521</v>
      </c>
      <c r="FA10" s="150">
        <v>92.213562716747063</v>
      </c>
      <c r="FB10" s="150">
        <v>92.654643542373833</v>
      </c>
      <c r="FC10" s="150">
        <v>92.930046276478734</v>
      </c>
      <c r="FD10" s="150">
        <v>91.457395934544678</v>
      </c>
      <c r="FE10" s="150">
        <v>89.388293822371821</v>
      </c>
      <c r="FF10" s="150">
        <v>90.596930289676109</v>
      </c>
      <c r="FG10" s="150">
        <v>91.002170576628544</v>
      </c>
      <c r="FH10" s="150">
        <v>92.403318901895119</v>
      </c>
      <c r="FI10" s="150">
        <v>88.644875860830126</v>
      </c>
      <c r="FJ10" s="150">
        <v>93.602908973651694</v>
      </c>
      <c r="FK10" s="150">
        <v>91.542422800152494</v>
      </c>
      <c r="FL10" s="150">
        <v>90.974069632943383</v>
      </c>
      <c r="FM10" s="150">
        <v>88.150587817844183</v>
      </c>
      <c r="FN10" s="150">
        <v>91.637227498717266</v>
      </c>
      <c r="FO10" s="150">
        <v>89.093399060755218</v>
      </c>
      <c r="FP10" s="150">
        <v>94.144541503085023</v>
      </c>
      <c r="FQ10" s="150">
        <v>92.814356972544076</v>
      </c>
      <c r="FR10" s="150">
        <v>92.791722242172142</v>
      </c>
      <c r="FS10" s="150">
        <v>94.380681555390154</v>
      </c>
      <c r="FT10" s="150">
        <v>93.412700945404396</v>
      </c>
      <c r="FU10" s="150">
        <v>93.093811775734522</v>
      </c>
      <c r="FV10" s="150">
        <v>89.877696515337121</v>
      </c>
      <c r="FW10" s="150">
        <v>90.772187781493386</v>
      </c>
      <c r="FX10" s="150">
        <v>91.303358059967238</v>
      </c>
      <c r="FY10" s="150">
        <v>93.838697153796574</v>
      </c>
      <c r="FZ10" s="150">
        <v>93.038740922573595</v>
      </c>
      <c r="GA10" s="150">
        <v>92.593511695022968</v>
      </c>
      <c r="GB10" s="150">
        <v>91.873725135539274</v>
      </c>
      <c r="GC10" s="150">
        <v>90.214690510704713</v>
      </c>
      <c r="GD10" s="150">
        <v>87.3343777545291</v>
      </c>
      <c r="GE10" s="150">
        <v>90.625886509909094</v>
      </c>
      <c r="GF10" s="150">
        <v>89.047147565717225</v>
      </c>
      <c r="GG10" s="150">
        <v>90.380755388953631</v>
      </c>
      <c r="GH10" s="150">
        <v>87.262949109699377</v>
      </c>
      <c r="GI10" s="150">
        <v>87.239648768628811</v>
      </c>
      <c r="GJ10" s="150">
        <v>89.411485785913101</v>
      </c>
      <c r="GK10" s="150">
        <v>89.552946455241013</v>
      </c>
      <c r="GL10" s="150">
        <v>89.323021726717229</v>
      </c>
      <c r="GM10" s="150">
        <v>89.827522883567596</v>
      </c>
      <c r="GN10" s="150">
        <v>88.033591169202779</v>
      </c>
      <c r="GO10" s="150">
        <v>88.539559029333006</v>
      </c>
      <c r="GP10" s="150">
        <v>92.574792334941506</v>
      </c>
      <c r="GQ10" s="150">
        <v>86.000721424747994</v>
      </c>
      <c r="GR10" s="150">
        <v>90.835492140476006</v>
      </c>
      <c r="GS10" s="150">
        <v>91.111626070458698</v>
      </c>
      <c r="GT10" s="150">
        <v>92.097195739041098</v>
      </c>
      <c r="GU10" s="150">
        <v>92.102087058358805</v>
      </c>
      <c r="GV10" s="150">
        <v>92.752900820157294</v>
      </c>
      <c r="GW10" s="150">
        <v>90.7303776143401</v>
      </c>
      <c r="GX10" s="150">
        <v>92.504366965046401</v>
      </c>
      <c r="GY10" s="150">
        <v>90.842900787125402</v>
      </c>
      <c r="GZ10" s="150">
        <v>91.825339281479614</v>
      </c>
      <c r="HA10" s="150">
        <v>91.898300202863325</v>
      </c>
      <c r="HB10" s="150">
        <v>91.164144352157706</v>
      </c>
      <c r="HC10" s="150">
        <v>92.328497501774862</v>
      </c>
      <c r="HD10" s="150">
        <v>90.702431068895152</v>
      </c>
      <c r="HE10" s="150">
        <v>91.808194010742866</v>
      </c>
      <c r="HF10" s="150">
        <v>92.130833991278749</v>
      </c>
      <c r="HG10" s="150">
        <v>93.657097399733061</v>
      </c>
      <c r="HH10" s="150">
        <v>92.72389440225524</v>
      </c>
      <c r="HI10" s="150">
        <v>93.237533958726928</v>
      </c>
      <c r="HJ10" s="150">
        <v>92.450384030063148</v>
      </c>
      <c r="HK10" s="150">
        <v>93.905253020794035</v>
      </c>
      <c r="HL10" s="150">
        <v>92.457502989126539</v>
      </c>
      <c r="HM10" s="150">
        <v>93.251784169820908</v>
      </c>
      <c r="HN10" s="150">
        <v>94.726717974578875</v>
      </c>
      <c r="HO10" s="150">
        <v>92.274282372401984</v>
      </c>
      <c r="HP10" s="150">
        <v>91.565407430795389</v>
      </c>
      <c r="HQ10" s="150">
        <v>94.747670992411287</v>
      </c>
      <c r="HR10" s="150">
        <v>94.048427243031242</v>
      </c>
      <c r="HS10" s="150">
        <v>92.181728138752021</v>
      </c>
      <c r="HT10" s="150">
        <v>90.935031876680725</v>
      </c>
      <c r="HU10" s="150">
        <v>92.127879662220792</v>
      </c>
      <c r="HV10" s="150">
        <v>92.427701052294083</v>
      </c>
      <c r="HW10" s="150">
        <v>94.802560527646776</v>
      </c>
      <c r="HX10" s="150">
        <v>92.22423096304523</v>
      </c>
      <c r="HY10" s="150">
        <v>92.409863469595464</v>
      </c>
      <c r="HZ10" s="150">
        <v>90.849618123654821</v>
      </c>
      <c r="IA10" s="150">
        <v>93.42835277698866</v>
      </c>
      <c r="IB10" s="150">
        <v>93.225555965739005</v>
      </c>
      <c r="IC10" s="150">
        <v>94.816781024294301</v>
      </c>
      <c r="ID10" s="150">
        <v>93.259839420671199</v>
      </c>
      <c r="IE10" s="150">
        <v>93.196030223550125</v>
      </c>
    </row>
    <row r="11" spans="1:275" s="142" customFormat="1" ht="16.5" customHeight="1">
      <c r="A11" s="147"/>
      <c r="B11" s="147" t="s">
        <v>196</v>
      </c>
      <c r="C11" s="150">
        <v>5.9894009604094114</v>
      </c>
      <c r="D11" s="150">
        <v>6.1185304569907828</v>
      </c>
      <c r="E11" s="150">
        <v>4.778879055188769</v>
      </c>
      <c r="F11" s="150">
        <v>3.8932527378348363</v>
      </c>
      <c r="G11" s="150">
        <v>4.7649032333910259</v>
      </c>
      <c r="H11" s="150">
        <v>4.2343809509344101</v>
      </c>
      <c r="I11" s="150">
        <v>5.4826586741870003</v>
      </c>
      <c r="J11" s="150">
        <v>6.5664335308766502</v>
      </c>
      <c r="K11" s="150">
        <v>4.4112150650415192</v>
      </c>
      <c r="L11" s="150">
        <v>5.0302514335204425</v>
      </c>
      <c r="M11" s="150">
        <v>6.8264378746472261</v>
      </c>
      <c r="N11" s="150">
        <v>7.1841367246737358</v>
      </c>
      <c r="O11" s="150">
        <v>7.4265851184847342</v>
      </c>
      <c r="P11" s="150">
        <v>8.4456901821077803</v>
      </c>
      <c r="Q11" s="150">
        <v>5.6238445310727379</v>
      </c>
      <c r="R11" s="150">
        <v>5.8393006678753245</v>
      </c>
      <c r="S11" s="150">
        <v>5.4448188700734743</v>
      </c>
      <c r="T11" s="150">
        <v>4.4729624900727583</v>
      </c>
      <c r="U11" s="150">
        <v>5.3697847125738125</v>
      </c>
      <c r="V11" s="150">
        <v>5.6972031932358647</v>
      </c>
      <c r="W11" s="150">
        <v>6.4664947341765657</v>
      </c>
      <c r="X11" s="150">
        <v>5.8721074750139639</v>
      </c>
      <c r="Y11" s="150">
        <v>5.1914790711513028</v>
      </c>
      <c r="Z11" s="150">
        <v>4.5524680113809088</v>
      </c>
      <c r="AA11" s="150">
        <v>8.0065719200590095</v>
      </c>
      <c r="AB11" s="150">
        <v>4.3349541502047257</v>
      </c>
      <c r="AC11" s="150">
        <v>3.7288060226720203</v>
      </c>
      <c r="AD11" s="150">
        <v>4.3703918399138368</v>
      </c>
      <c r="AE11" s="150">
        <v>3.7158586973252277</v>
      </c>
      <c r="AF11" s="150">
        <v>3.456541417449519</v>
      </c>
      <c r="AG11" s="150">
        <v>3.4475581731283054</v>
      </c>
      <c r="AH11" s="150">
        <v>2.8997867269281694</v>
      </c>
      <c r="AI11" s="150">
        <v>2.3565269309782302</v>
      </c>
      <c r="AJ11" s="150">
        <v>5.4733075817703831</v>
      </c>
      <c r="AK11" s="150">
        <v>2.9195425408883593</v>
      </c>
      <c r="AL11" s="150">
        <v>4.5815968466508332</v>
      </c>
      <c r="AM11" s="150">
        <v>4.9686052215156522</v>
      </c>
      <c r="AN11" s="150">
        <v>3.9290076649232737</v>
      </c>
      <c r="AO11" s="150">
        <v>3.3650689893305499</v>
      </c>
      <c r="AP11" s="150">
        <v>5.8707019925584945</v>
      </c>
      <c r="AQ11" s="150">
        <v>4.9693703398693305</v>
      </c>
      <c r="AR11" s="150">
        <v>3.8727350150099675</v>
      </c>
      <c r="AS11" s="150">
        <v>5.9628644819164522</v>
      </c>
      <c r="AT11" s="150">
        <v>6.0530737687848166</v>
      </c>
      <c r="AU11" s="150">
        <v>7.1010461253639496</v>
      </c>
      <c r="AV11" s="150">
        <v>7.0045938599454196</v>
      </c>
      <c r="AW11" s="150">
        <v>3.7623888511372536</v>
      </c>
      <c r="AX11" s="150">
        <v>5.8391350624353811</v>
      </c>
      <c r="AY11" s="150">
        <v>4.4111447577273033</v>
      </c>
      <c r="AZ11" s="150">
        <v>5.3855891922248889</v>
      </c>
      <c r="BA11" s="150">
        <v>6.9074779677427811</v>
      </c>
      <c r="BB11" s="150">
        <v>9.9165618286450972</v>
      </c>
      <c r="BC11" s="150">
        <v>6.426404254155579</v>
      </c>
      <c r="BD11" s="150">
        <v>6.4330029268908726</v>
      </c>
      <c r="BE11" s="150">
        <v>5.9729464879939052</v>
      </c>
      <c r="BF11" s="150">
        <v>4.8578898405243063</v>
      </c>
      <c r="BG11" s="150">
        <v>5.133306139090001</v>
      </c>
      <c r="BH11" s="150">
        <v>4.7739466618083757</v>
      </c>
      <c r="BI11" s="150">
        <v>6.7768654541564697</v>
      </c>
      <c r="BJ11" s="150">
        <v>4.755079211069523</v>
      </c>
      <c r="BK11" s="150">
        <v>7.143389695378537</v>
      </c>
      <c r="BL11" s="150">
        <v>6.2526796793873523</v>
      </c>
      <c r="BM11" s="150">
        <v>4.0527806374904021</v>
      </c>
      <c r="BN11" s="150">
        <v>4.3582942745854956</v>
      </c>
      <c r="BO11" s="150">
        <v>3.5373098482344276</v>
      </c>
      <c r="BP11" s="150">
        <v>5.1449297688812141</v>
      </c>
      <c r="BQ11" s="150">
        <v>6.2942693960381826</v>
      </c>
      <c r="BR11" s="150">
        <v>6.018858372101124</v>
      </c>
      <c r="BS11" s="150">
        <v>6.6294037035489932</v>
      </c>
      <c r="BT11" s="150">
        <v>6.23383198509935</v>
      </c>
      <c r="BU11" s="150">
        <v>3.9554588966156947</v>
      </c>
      <c r="BV11" s="150">
        <v>5.3529610790265547</v>
      </c>
      <c r="BW11" s="150">
        <v>4.5911104908600366</v>
      </c>
      <c r="BX11" s="150">
        <v>3.8648373766157942</v>
      </c>
      <c r="BY11" s="150">
        <v>5.2279650092662742</v>
      </c>
      <c r="BZ11" s="150">
        <v>3.0876393216461215</v>
      </c>
      <c r="CA11" s="150">
        <v>4.9832501050730258</v>
      </c>
      <c r="CB11" s="150">
        <v>5.8281835328325098</v>
      </c>
      <c r="CC11" s="150">
        <v>4.078531721356601</v>
      </c>
      <c r="CD11" s="150">
        <v>6.1901123323287042</v>
      </c>
      <c r="CE11" s="150">
        <v>4.6645774998536735</v>
      </c>
      <c r="CF11" s="150">
        <v>6.1237385246016141</v>
      </c>
      <c r="CG11" s="150">
        <v>5.5036708891740727</v>
      </c>
      <c r="CH11" s="150">
        <v>4.4193037120858074</v>
      </c>
      <c r="CI11" s="150">
        <v>4.5469485262883564</v>
      </c>
      <c r="CJ11" s="150">
        <v>4.1350471416037236</v>
      </c>
      <c r="CK11" s="150">
        <v>3.9327415602143589</v>
      </c>
      <c r="CL11" s="150">
        <v>6.8400698065996606</v>
      </c>
      <c r="CM11" s="150">
        <v>6.6108735739139304</v>
      </c>
      <c r="CN11" s="150">
        <v>5.8735190868122453</v>
      </c>
      <c r="CO11" s="150">
        <v>6.7783729351813049</v>
      </c>
      <c r="CP11" s="150">
        <v>6.2852731718530386</v>
      </c>
      <c r="CQ11" s="150">
        <v>5.7056450412680597</v>
      </c>
      <c r="CR11" s="150">
        <v>5.5348982047236861</v>
      </c>
      <c r="CS11" s="150">
        <v>4.6664955711584604</v>
      </c>
      <c r="CT11" s="150">
        <v>6.0763873713475913</v>
      </c>
      <c r="CU11" s="150">
        <v>5.3931393633117279</v>
      </c>
      <c r="CV11" s="150">
        <v>5.2147315027502152</v>
      </c>
      <c r="CW11" s="150">
        <v>5.2064834954251582</v>
      </c>
      <c r="CX11" s="150">
        <v>5.8129889732296283</v>
      </c>
      <c r="CY11" s="150">
        <v>7.0294847475279365</v>
      </c>
      <c r="CZ11" s="150">
        <v>5.8434743455709457</v>
      </c>
      <c r="DA11" s="150">
        <v>6.1591490040043437</v>
      </c>
      <c r="DB11" s="150">
        <v>5.4096454974943873</v>
      </c>
      <c r="DC11" s="150">
        <v>4.4651747707325171</v>
      </c>
      <c r="DD11" s="150">
        <v>5.3834587260813045</v>
      </c>
      <c r="DE11" s="150">
        <v>6.2376337809662097</v>
      </c>
      <c r="DF11" s="150">
        <v>6.147645812722291</v>
      </c>
      <c r="DG11" s="150">
        <v>4.8087192377053691</v>
      </c>
      <c r="DH11" s="150">
        <v>4.0460846315736436</v>
      </c>
      <c r="DI11" s="150">
        <v>4.1082829999071704</v>
      </c>
      <c r="DJ11" s="150">
        <v>7.6522370342800823</v>
      </c>
      <c r="DK11" s="150">
        <v>6.7027477259162884</v>
      </c>
      <c r="DL11" s="150">
        <v>5.5108832093869502</v>
      </c>
      <c r="DM11" s="150">
        <v>6.3061140088980254</v>
      </c>
      <c r="DN11" s="150">
        <v>6.589973211386063</v>
      </c>
      <c r="DO11" s="150">
        <v>6.8916690152312752</v>
      </c>
      <c r="DP11" s="150">
        <v>6.5727343343267357</v>
      </c>
      <c r="DQ11" s="150">
        <v>4.2598750274148118</v>
      </c>
      <c r="DR11" s="150">
        <v>4.0857674544403819</v>
      </c>
      <c r="DS11" s="150">
        <v>6.0540331112501935</v>
      </c>
      <c r="DT11" s="150">
        <v>5.0508214091837766</v>
      </c>
      <c r="DU11" s="150">
        <v>4.0250232814675195</v>
      </c>
      <c r="DV11" s="150">
        <v>4.4380478985136191</v>
      </c>
      <c r="DW11" s="150">
        <v>4.2622790458214341</v>
      </c>
      <c r="DX11" s="150">
        <v>4.9685973851388923</v>
      </c>
      <c r="DY11" s="150">
        <v>4.0357825781854562</v>
      </c>
      <c r="DZ11" s="150">
        <v>6.7193644286096141</v>
      </c>
      <c r="EA11" s="150">
        <v>5.8850993289985061</v>
      </c>
      <c r="EB11" s="150">
        <v>4.1948094791385522</v>
      </c>
      <c r="EC11" s="150">
        <v>6.4756405705773155</v>
      </c>
      <c r="ED11" s="150">
        <v>4.3244438812542505</v>
      </c>
      <c r="EE11" s="150">
        <v>5.7989336587231888</v>
      </c>
      <c r="EF11" s="150">
        <v>6.2642376202265053</v>
      </c>
      <c r="EG11" s="150">
        <v>4.4113894841089758</v>
      </c>
      <c r="EH11" s="150">
        <v>5.4604308751067059</v>
      </c>
      <c r="EI11" s="150">
        <v>4.9170724796891978</v>
      </c>
      <c r="EJ11" s="150">
        <v>3.8574691439402136</v>
      </c>
      <c r="EK11" s="150">
        <v>4.5070375666532581</v>
      </c>
      <c r="EL11" s="150">
        <v>4.0930810561296243</v>
      </c>
      <c r="EM11" s="150">
        <v>5.6538341738479518</v>
      </c>
      <c r="EN11" s="150">
        <v>5.988062793966761</v>
      </c>
      <c r="EO11" s="150">
        <v>3.1522594849179892</v>
      </c>
      <c r="EP11" s="150">
        <v>4.6586615997323193</v>
      </c>
      <c r="EQ11" s="150">
        <v>5.8566824952583385</v>
      </c>
      <c r="ER11" s="150">
        <v>4.27945146043702</v>
      </c>
      <c r="ES11" s="150">
        <v>3.3885821618197913</v>
      </c>
      <c r="ET11" s="150">
        <v>4.0378178493255312</v>
      </c>
      <c r="EU11" s="150">
        <v>3.7042434597557738</v>
      </c>
      <c r="EV11" s="150">
        <v>3.6480010580556854</v>
      </c>
      <c r="EW11" s="150">
        <v>4.6530003841761145</v>
      </c>
      <c r="EX11" s="150">
        <v>3.1199019245790205</v>
      </c>
      <c r="EY11" s="150">
        <v>4.2954360013814208</v>
      </c>
      <c r="EZ11" s="150">
        <v>4.3450332367155902</v>
      </c>
      <c r="FA11" s="150">
        <v>4.6386409173427312</v>
      </c>
      <c r="FB11" s="150">
        <v>4.5835538137235767</v>
      </c>
      <c r="FC11" s="150">
        <v>4.3909335308100301</v>
      </c>
      <c r="FD11" s="150">
        <v>5.0270482358458919</v>
      </c>
      <c r="FE11" s="150">
        <v>4.630776031428562</v>
      </c>
      <c r="FF11" s="150">
        <v>6.8127421901455998</v>
      </c>
      <c r="FG11" s="150">
        <v>4.8477996323231887</v>
      </c>
      <c r="FH11" s="150">
        <v>3.18287361711874</v>
      </c>
      <c r="FI11" s="150">
        <v>1.8472912043994907</v>
      </c>
      <c r="FJ11" s="150">
        <v>3.1745206887921298</v>
      </c>
      <c r="FK11" s="150">
        <v>4.7297349101030202</v>
      </c>
      <c r="FL11" s="150">
        <v>4.3689430770412399</v>
      </c>
      <c r="FM11" s="150">
        <v>3.5003013272871293</v>
      </c>
      <c r="FN11" s="150">
        <v>2.3971851325646889</v>
      </c>
      <c r="FO11" s="150">
        <v>2.9586525068046505</v>
      </c>
      <c r="FP11" s="150">
        <v>3.1012193637326608</v>
      </c>
      <c r="FQ11" s="150">
        <v>4.0784390736934695</v>
      </c>
      <c r="FR11" s="150">
        <v>3.8290754424989117</v>
      </c>
      <c r="FS11" s="150">
        <v>2.7370480373412489</v>
      </c>
      <c r="FT11" s="150">
        <v>2.5739382696748798</v>
      </c>
      <c r="FU11" s="150">
        <v>3.8234330765593914</v>
      </c>
      <c r="FV11" s="150">
        <v>3.2983704998984407</v>
      </c>
      <c r="FW11" s="150">
        <v>3.2433922759915697</v>
      </c>
      <c r="FX11" s="150">
        <v>3.1991165906525314</v>
      </c>
      <c r="FY11" s="150">
        <v>4.389686647108058</v>
      </c>
      <c r="FZ11" s="150">
        <v>4.24024905749335</v>
      </c>
      <c r="GA11" s="150">
        <v>3.6576871136997693</v>
      </c>
      <c r="GB11" s="150">
        <v>4.3618804036127994</v>
      </c>
      <c r="GC11" s="150">
        <v>3.4065264879438004</v>
      </c>
      <c r="GD11" s="150">
        <v>4.19952937106709</v>
      </c>
      <c r="GE11" s="150">
        <v>4.7319826264269196</v>
      </c>
      <c r="GF11" s="150">
        <v>4.4949735267757207</v>
      </c>
      <c r="GG11" s="150">
        <v>5.0986305862756121</v>
      </c>
      <c r="GH11" s="150">
        <v>6.4270683229870169</v>
      </c>
      <c r="GI11" s="150">
        <v>5.6891956383381208</v>
      </c>
      <c r="GJ11" s="150">
        <v>4.9347976299620102</v>
      </c>
      <c r="GK11" s="150">
        <v>6.6635684191301712</v>
      </c>
      <c r="GL11" s="150">
        <v>5.8266450005773116</v>
      </c>
      <c r="GM11" s="150">
        <v>4.4114013856016996</v>
      </c>
      <c r="GN11" s="150">
        <v>6.6707158065440986</v>
      </c>
      <c r="GO11" s="150">
        <v>7.1165092424801699</v>
      </c>
      <c r="GP11" s="150">
        <v>3.67437656195384</v>
      </c>
      <c r="GQ11" s="150">
        <v>5.5714958041156999</v>
      </c>
      <c r="GR11" s="150">
        <v>5.29098186465892</v>
      </c>
      <c r="GS11" s="150">
        <v>3.7323665744657899</v>
      </c>
      <c r="GT11" s="150">
        <v>4.60361539671662</v>
      </c>
      <c r="GU11" s="150">
        <v>5.6708353883557399</v>
      </c>
      <c r="GV11" s="150">
        <v>4.1954957541195101</v>
      </c>
      <c r="GW11" s="150">
        <v>4.9209723779490302</v>
      </c>
      <c r="GX11" s="150">
        <v>3.6914533268685599</v>
      </c>
      <c r="GY11" s="150">
        <v>4.0000253609569301</v>
      </c>
      <c r="GZ11" s="150">
        <v>3.849682430829831</v>
      </c>
      <c r="HA11" s="150">
        <v>3.8618792312158812</v>
      </c>
      <c r="HB11" s="150">
        <v>4.3774525689222896</v>
      </c>
      <c r="HC11" s="150">
        <v>3.5898466604469887</v>
      </c>
      <c r="HD11" s="150">
        <v>5.5085943861738871</v>
      </c>
      <c r="HE11" s="150">
        <v>3.7147442655602685</v>
      </c>
      <c r="HF11" s="150">
        <v>4.6313558508269477</v>
      </c>
      <c r="HG11" s="150">
        <v>2.8046067490941415</v>
      </c>
      <c r="HH11" s="150">
        <v>4.9452409206393231</v>
      </c>
      <c r="HI11" s="150">
        <v>3.073945468722481</v>
      </c>
      <c r="HJ11" s="150">
        <v>4.3845535152200918</v>
      </c>
      <c r="HK11" s="150">
        <v>3.9516178683898313</v>
      </c>
      <c r="HL11" s="150">
        <v>3.8265467596873117</v>
      </c>
      <c r="HM11" s="150">
        <v>3.4803750789596211</v>
      </c>
      <c r="HN11" s="150">
        <v>3.2143520421261695</v>
      </c>
      <c r="HO11" s="150">
        <v>5.0851929630945794</v>
      </c>
      <c r="HP11" s="150">
        <v>4.8750654877256192</v>
      </c>
      <c r="HQ11" s="150">
        <v>2.0153043647585394</v>
      </c>
      <c r="HR11" s="150">
        <v>2.6081850834493414</v>
      </c>
      <c r="HS11" s="150">
        <v>3.3792278565415614</v>
      </c>
      <c r="HT11" s="150">
        <v>2.8603412407496909</v>
      </c>
      <c r="HU11" s="150">
        <v>4.1975466138682194</v>
      </c>
      <c r="HV11" s="150">
        <v>3.423502292078699</v>
      </c>
      <c r="HW11" s="150">
        <v>2.437456122762089</v>
      </c>
      <c r="HX11" s="150">
        <v>2.9453955095133111</v>
      </c>
      <c r="HY11" s="150">
        <v>3.4761498392161685</v>
      </c>
      <c r="HZ11" s="150">
        <v>4.6461780400457711</v>
      </c>
      <c r="IA11" s="150">
        <v>3.0640699867418721</v>
      </c>
      <c r="IB11" s="150">
        <v>3.1180142270028601</v>
      </c>
      <c r="IC11" s="150">
        <v>1.4315729199535101</v>
      </c>
      <c r="ID11" s="150">
        <v>2.8631896206806502</v>
      </c>
      <c r="IE11" s="150">
        <v>4.0445914879291811</v>
      </c>
    </row>
    <row r="12" spans="1:275" s="142" customFormat="1" ht="16.5" customHeight="1">
      <c r="A12" s="147"/>
      <c r="B12" s="147" t="s">
        <v>197</v>
      </c>
      <c r="C12" s="150">
        <v>1.6705390083386273</v>
      </c>
      <c r="D12" s="150">
        <v>2.9560095316767723</v>
      </c>
      <c r="E12" s="150">
        <v>3.8560352306494377</v>
      </c>
      <c r="F12" s="150">
        <v>5.0019573206881311</v>
      </c>
      <c r="G12" s="150">
        <v>4.7963226529961469</v>
      </c>
      <c r="H12" s="150">
        <v>3.6179141026819268</v>
      </c>
      <c r="I12" s="150">
        <v>2.6053326981504954</v>
      </c>
      <c r="J12" s="150">
        <v>3.0950257427298551</v>
      </c>
      <c r="K12" s="150">
        <v>4.0778173750979949</v>
      </c>
      <c r="L12" s="150">
        <v>2.5532189957993787</v>
      </c>
      <c r="M12" s="150">
        <v>4.5982712138470827</v>
      </c>
      <c r="N12" s="150">
        <v>3.0491939563691197</v>
      </c>
      <c r="O12" s="150">
        <v>4.7809951565561972</v>
      </c>
      <c r="P12" s="150">
        <v>2.9802769811122083</v>
      </c>
      <c r="Q12" s="150">
        <v>2.5951370112959853</v>
      </c>
      <c r="R12" s="150">
        <v>3.4724295782737107</v>
      </c>
      <c r="S12" s="150">
        <v>4.5129733337055988</v>
      </c>
      <c r="T12" s="150">
        <v>5.3004353864174076</v>
      </c>
      <c r="U12" s="150">
        <v>3.2677598350821775</v>
      </c>
      <c r="V12" s="150">
        <v>3.083581117667062</v>
      </c>
      <c r="W12" s="150">
        <v>1.8606865125604011</v>
      </c>
      <c r="X12" s="150">
        <v>4.1854603838492865</v>
      </c>
      <c r="Y12" s="150">
        <v>3.9560364014605365</v>
      </c>
      <c r="Z12" s="150">
        <v>2.9885670885802167</v>
      </c>
      <c r="AA12" s="150">
        <v>1.7269903788802703</v>
      </c>
      <c r="AB12" s="150">
        <v>0.98079699395577546</v>
      </c>
      <c r="AC12" s="150">
        <v>1.5444553807234054</v>
      </c>
      <c r="AD12" s="150">
        <v>2.0864340327773836</v>
      </c>
      <c r="AE12" s="150">
        <v>2.1258091166202138</v>
      </c>
      <c r="AF12" s="150">
        <v>1.4794242594050742</v>
      </c>
      <c r="AG12" s="150">
        <v>2.5284244637640727</v>
      </c>
      <c r="AH12" s="150">
        <v>3.231605419476538</v>
      </c>
      <c r="AI12" s="150">
        <v>1.4988718897263396</v>
      </c>
      <c r="AJ12" s="150">
        <v>3.4708083467360913</v>
      </c>
      <c r="AK12" s="150">
        <v>2.6281009518908496</v>
      </c>
      <c r="AL12" s="150">
        <v>1.5481566291604474</v>
      </c>
      <c r="AM12" s="150">
        <v>3.247525388570359</v>
      </c>
      <c r="AN12" s="150">
        <v>3.2902333165356201</v>
      </c>
      <c r="AO12" s="150">
        <v>3.613236180466354</v>
      </c>
      <c r="AP12" s="150">
        <v>3.2275050416897377</v>
      </c>
      <c r="AQ12" s="150">
        <v>3.0597208555041315</v>
      </c>
      <c r="AR12" s="150">
        <v>5.4448351618707971</v>
      </c>
      <c r="AS12" s="150">
        <v>4.1804744160572405</v>
      </c>
      <c r="AT12" s="150">
        <v>2.8763647867956892</v>
      </c>
      <c r="AU12" s="150">
        <v>2.8801849788019784</v>
      </c>
      <c r="AV12" s="150">
        <v>3.1093218958149498</v>
      </c>
      <c r="AW12" s="150">
        <v>3.9841213804917599</v>
      </c>
      <c r="AX12" s="150">
        <v>2.5623974733156585</v>
      </c>
      <c r="AY12" s="150">
        <v>4.2668276557720342</v>
      </c>
      <c r="AZ12" s="150">
        <v>6.6309027550637971</v>
      </c>
      <c r="BA12" s="150">
        <v>7.2836491294382171</v>
      </c>
      <c r="BB12" s="150">
        <v>3.3341690684659406</v>
      </c>
      <c r="BC12" s="150">
        <v>2.585324506923766</v>
      </c>
      <c r="BD12" s="150">
        <v>2.5778876424219366</v>
      </c>
      <c r="BE12" s="150">
        <v>1.9060635639390426</v>
      </c>
      <c r="BF12" s="150">
        <v>1.5449583158360383</v>
      </c>
      <c r="BG12" s="150">
        <v>1.7880604034623346</v>
      </c>
      <c r="BH12" s="150">
        <v>1.5742060708175785</v>
      </c>
      <c r="BI12" s="150">
        <v>3.2491633835800982</v>
      </c>
      <c r="BJ12" s="150">
        <v>3.1775406371901309</v>
      </c>
      <c r="BK12" s="150">
        <v>1.3468537294085015</v>
      </c>
      <c r="BL12" s="150">
        <v>3.0385588240078243</v>
      </c>
      <c r="BM12" s="150">
        <v>3.782898501159742</v>
      </c>
      <c r="BN12" s="150">
        <v>2.4009668909263815</v>
      </c>
      <c r="BO12" s="150">
        <v>3.788095690217272</v>
      </c>
      <c r="BP12" s="150">
        <v>2.2460943389030503</v>
      </c>
      <c r="BQ12" s="150">
        <v>2.5057112223752189</v>
      </c>
      <c r="BR12" s="150">
        <v>1.7356451109581246</v>
      </c>
      <c r="BS12" s="150">
        <v>3.8383411357198054</v>
      </c>
      <c r="BT12" s="150">
        <v>2.3347158358315911</v>
      </c>
      <c r="BU12" s="150">
        <v>7.1184788760761624</v>
      </c>
      <c r="BV12" s="150">
        <v>2.6943091420814214</v>
      </c>
      <c r="BW12" s="150">
        <v>1.9167286659785854</v>
      </c>
      <c r="BX12" s="150">
        <v>2.8872447395872451</v>
      </c>
      <c r="BY12" s="150">
        <v>3.558335117779726</v>
      </c>
      <c r="BZ12" s="150">
        <v>5.3426450902259175</v>
      </c>
      <c r="CA12" s="150">
        <v>3.0679151962667746</v>
      </c>
      <c r="CB12" s="150">
        <v>4.689479219972494</v>
      </c>
      <c r="CC12" s="150">
        <v>5.2324140681979321</v>
      </c>
      <c r="CD12" s="150">
        <v>4.8515227980368714</v>
      </c>
      <c r="CE12" s="150">
        <v>4.0843140739506696</v>
      </c>
      <c r="CF12" s="150">
        <v>1.649024976246849</v>
      </c>
      <c r="CG12" s="150">
        <v>2.0315246481348712</v>
      </c>
      <c r="CH12" s="150">
        <v>4.0823033005772595</v>
      </c>
      <c r="CI12" s="150">
        <v>1.7408411950513445</v>
      </c>
      <c r="CJ12" s="150">
        <v>5.8712302583542186</v>
      </c>
      <c r="CK12" s="150">
        <v>2.7320795214007987</v>
      </c>
      <c r="CL12" s="150">
        <v>5.1207434641861251</v>
      </c>
      <c r="CM12" s="150">
        <v>0.40225886188545801</v>
      </c>
      <c r="CN12" s="150">
        <v>2.7422257614928021</v>
      </c>
      <c r="CO12" s="150">
        <v>6.1299652320727462</v>
      </c>
      <c r="CP12" s="150">
        <v>5.3672221260646049</v>
      </c>
      <c r="CQ12" s="150">
        <v>3.7690267120812719</v>
      </c>
      <c r="CR12" s="150">
        <v>5.144545459750308</v>
      </c>
      <c r="CS12" s="150">
        <v>4.218409268787652</v>
      </c>
      <c r="CT12" s="150">
        <v>2.3650652537022769</v>
      </c>
      <c r="CU12" s="150">
        <v>6.8100516285835351</v>
      </c>
      <c r="CV12" s="150">
        <v>5.5749793819807607</v>
      </c>
      <c r="CW12" s="150">
        <v>5.3824224110141339</v>
      </c>
      <c r="CX12" s="150">
        <v>1.2505942358831503</v>
      </c>
      <c r="CY12" s="150">
        <v>4.4179979061468622</v>
      </c>
      <c r="CZ12" s="150">
        <v>2.8119039214643942</v>
      </c>
      <c r="DA12" s="150">
        <v>3.5757596498606539</v>
      </c>
      <c r="DB12" s="150">
        <v>2.0106395394220096</v>
      </c>
      <c r="DC12" s="150">
        <v>2.5391770270918834</v>
      </c>
      <c r="DD12" s="150">
        <v>3.0882214133742409</v>
      </c>
      <c r="DE12" s="150">
        <v>5.1111961789428548</v>
      </c>
      <c r="DF12" s="150">
        <v>4.6491002656097598</v>
      </c>
      <c r="DG12" s="150">
        <v>3.83216697537457</v>
      </c>
      <c r="DH12" s="150">
        <v>8.1450134430468744</v>
      </c>
      <c r="DI12" s="150">
        <v>6.0983851665140678</v>
      </c>
      <c r="DJ12" s="150">
        <v>3.242324188547502</v>
      </c>
      <c r="DK12" s="150">
        <v>6.0537947148505946</v>
      </c>
      <c r="DL12" s="150">
        <v>4.9583347337330048</v>
      </c>
      <c r="DM12" s="150">
        <v>3.4889910944561771</v>
      </c>
      <c r="DN12" s="150">
        <v>4.0856202982951606</v>
      </c>
      <c r="DO12" s="150">
        <v>6.160751155606019</v>
      </c>
      <c r="DP12" s="150">
        <v>3.4788067355859833</v>
      </c>
      <c r="DQ12" s="150">
        <v>4.6966201449996952</v>
      </c>
      <c r="DR12" s="150">
        <v>6.3971355962633396</v>
      </c>
      <c r="DS12" s="150">
        <v>3.4334569781861481</v>
      </c>
      <c r="DT12" s="150">
        <v>4.5801351448252712</v>
      </c>
      <c r="DU12" s="150">
        <v>5.7794638731488792</v>
      </c>
      <c r="DV12" s="150">
        <v>6.2757652434626001</v>
      </c>
      <c r="DW12" s="150">
        <v>7.5171436586327287</v>
      </c>
      <c r="DX12" s="150">
        <v>6.1136795357328122</v>
      </c>
      <c r="DY12" s="150">
        <v>5.326664440602956</v>
      </c>
      <c r="DZ12" s="150">
        <v>5.8178479948335049</v>
      </c>
      <c r="EA12" s="150">
        <v>5.6267735295999781</v>
      </c>
      <c r="EB12" s="150">
        <v>6.3179865264587836</v>
      </c>
      <c r="EC12" s="150">
        <v>6.6224320529192378</v>
      </c>
      <c r="ED12" s="150">
        <v>2.9480647650062628</v>
      </c>
      <c r="EE12" s="150">
        <v>4.5281207690411929</v>
      </c>
      <c r="EF12" s="150">
        <v>5.4518265934386418</v>
      </c>
      <c r="EG12" s="150">
        <v>7.4732303200329921</v>
      </c>
      <c r="EH12" s="150">
        <v>6.5716983153868824</v>
      </c>
      <c r="EI12" s="150">
        <v>4.2013995062812484</v>
      </c>
      <c r="EJ12" s="150">
        <v>4.8268166722065402</v>
      </c>
      <c r="EK12" s="150">
        <v>5.6107647801911531</v>
      </c>
      <c r="EL12" s="150">
        <v>5.8910879585760165</v>
      </c>
      <c r="EM12" s="150">
        <v>4.194655954639809</v>
      </c>
      <c r="EN12" s="150">
        <v>4.0521666133862917</v>
      </c>
      <c r="EO12" s="150">
        <v>8.5464042156623972</v>
      </c>
      <c r="EP12" s="150">
        <v>6.4373206667573939</v>
      </c>
      <c r="EQ12" s="150">
        <v>6.5515860731566091</v>
      </c>
      <c r="ER12" s="150">
        <v>4.1199816531906484</v>
      </c>
      <c r="ES12" s="150">
        <v>3.5268839380121695</v>
      </c>
      <c r="ET12" s="150">
        <v>3.4887133471148455</v>
      </c>
      <c r="EU12" s="150">
        <v>4.4179293056105911</v>
      </c>
      <c r="EV12" s="150">
        <v>4.7285671199877433</v>
      </c>
      <c r="EW12" s="150">
        <v>5.2238595776919396</v>
      </c>
      <c r="EX12" s="150">
        <v>3.1005729691660697</v>
      </c>
      <c r="EY12" s="150">
        <v>3.5790377550938777</v>
      </c>
      <c r="EZ12" s="150">
        <v>3.8994287834191859</v>
      </c>
      <c r="FA12" s="150">
        <v>3.1477963659102048</v>
      </c>
      <c r="FB12" s="150">
        <v>2.7618026439025916</v>
      </c>
      <c r="FC12" s="150">
        <v>2.6790201927112447</v>
      </c>
      <c r="FD12" s="150">
        <v>3.5155558296094345</v>
      </c>
      <c r="FE12" s="150">
        <v>5.9809301461996141</v>
      </c>
      <c r="FF12" s="150">
        <v>2.5903275201782998</v>
      </c>
      <c r="FG12" s="150">
        <v>4.1500297910482615</v>
      </c>
      <c r="FH12" s="150">
        <v>4.4138074809861312</v>
      </c>
      <c r="FI12" s="150">
        <v>9.5078329347703736</v>
      </c>
      <c r="FJ12" s="150">
        <v>3.2225703375561796</v>
      </c>
      <c r="FK12" s="150">
        <v>3.7278422897444901</v>
      </c>
      <c r="FL12" s="150">
        <v>4.6569872900153788</v>
      </c>
      <c r="FM12" s="150">
        <v>8.3491108548686785</v>
      </c>
      <c r="FN12" s="150">
        <v>5.9655873687180385</v>
      </c>
      <c r="FO12" s="150">
        <v>7.9479484324401311</v>
      </c>
      <c r="FP12" s="150">
        <v>2.7542391331823208</v>
      </c>
      <c r="FQ12" s="150">
        <v>3.1072039537624492</v>
      </c>
      <c r="FR12" s="150">
        <v>3.3792023153289614</v>
      </c>
      <c r="FS12" s="150">
        <v>2.8822704072685887</v>
      </c>
      <c r="FT12" s="150">
        <v>4.01336078492072</v>
      </c>
      <c r="FU12" s="150">
        <v>3.0827551477060808</v>
      </c>
      <c r="FV12" s="150">
        <v>6.8239329847644417</v>
      </c>
      <c r="FW12" s="150">
        <v>5.9844199425150491</v>
      </c>
      <c r="FX12" s="150">
        <v>5.4975253493802327</v>
      </c>
      <c r="FY12" s="150">
        <v>1.7716161990953594</v>
      </c>
      <c r="FZ12" s="150">
        <v>2.7210100199330598</v>
      </c>
      <c r="GA12" s="150">
        <v>3.7488011912772587</v>
      </c>
      <c r="GB12" s="150">
        <v>3.7643944608479285</v>
      </c>
      <c r="GC12" s="150">
        <v>6.3787830013514819</v>
      </c>
      <c r="GD12" s="150">
        <v>8.4660928744038202</v>
      </c>
      <c r="GE12" s="150">
        <v>4.64213086366399</v>
      </c>
      <c r="GF12" s="150">
        <v>6.4578789075070517</v>
      </c>
      <c r="GG12" s="150">
        <v>4.5206140247707705</v>
      </c>
      <c r="GH12" s="150">
        <v>6.3099825673135879</v>
      </c>
      <c r="GI12" s="150">
        <v>7.0711555930330707</v>
      </c>
      <c r="GJ12" s="150">
        <v>5.6537165841248997</v>
      </c>
      <c r="GK12" s="150">
        <v>3.7834851256288102</v>
      </c>
      <c r="GL12" s="150">
        <v>4.8503332727054618</v>
      </c>
      <c r="GM12" s="150">
        <v>5.7610757308306999</v>
      </c>
      <c r="GN12" s="150">
        <v>5.2956930242531381</v>
      </c>
      <c r="GO12" s="150">
        <v>4.3439317281868002</v>
      </c>
      <c r="GP12" s="150">
        <v>3.7508311031046402</v>
      </c>
      <c r="GQ12" s="150">
        <v>8.4277827711362807</v>
      </c>
      <c r="GR12" s="150">
        <v>3.8735259948650702</v>
      </c>
      <c r="GS12" s="150">
        <v>5.1560073550755297</v>
      </c>
      <c r="GT12" s="150">
        <v>3.2991888642422502</v>
      </c>
      <c r="GU12" s="150">
        <v>2.2270775532854201</v>
      </c>
      <c r="GV12" s="150">
        <v>3.0516034257232101</v>
      </c>
      <c r="GW12" s="150">
        <v>4.34865000771092</v>
      </c>
      <c r="GX12" s="150">
        <v>3.80417970808498</v>
      </c>
      <c r="GY12" s="150">
        <v>5.1570738519176498</v>
      </c>
      <c r="GZ12" s="150">
        <v>4.3249782876905503</v>
      </c>
      <c r="HA12" s="150">
        <v>4.2398205659208008</v>
      </c>
      <c r="HB12" s="150">
        <v>4.45840307892</v>
      </c>
      <c r="HC12" s="150">
        <v>4.081655837778138</v>
      </c>
      <c r="HD12" s="150">
        <v>3.7889745449309489</v>
      </c>
      <c r="HE12" s="150">
        <v>4.477061723696858</v>
      </c>
      <c r="HF12" s="150">
        <v>3.2378101578942982</v>
      </c>
      <c r="HG12" s="150">
        <v>3.5382958511728124</v>
      </c>
      <c r="HH12" s="150">
        <v>2.3308646771054313</v>
      </c>
      <c r="HI12" s="150">
        <v>3.6885205725505812</v>
      </c>
      <c r="HJ12" s="150">
        <v>3.1650624547167614</v>
      </c>
      <c r="HK12" s="150">
        <v>2.1431291108161403</v>
      </c>
      <c r="HL12" s="150">
        <v>3.715950251186162</v>
      </c>
      <c r="HM12" s="150">
        <v>3.2678407512194703</v>
      </c>
      <c r="HN12" s="150">
        <v>2.0589299832949597</v>
      </c>
      <c r="HO12" s="150">
        <v>2.6405246645034297</v>
      </c>
      <c r="HP12" s="150">
        <v>3.5595270814789894</v>
      </c>
      <c r="HQ12" s="150">
        <v>3.2370246428301797</v>
      </c>
      <c r="HR12" s="150">
        <v>3.3433876735194215</v>
      </c>
      <c r="HS12" s="150">
        <v>4.4390440047064113</v>
      </c>
      <c r="HT12" s="150">
        <v>6.2046268825695821</v>
      </c>
      <c r="HU12" s="150">
        <v>3.6745737239109797</v>
      </c>
      <c r="HV12" s="150">
        <v>4.1487966556272289</v>
      </c>
      <c r="HW12" s="150">
        <v>2.7599833495911392</v>
      </c>
      <c r="HX12" s="150">
        <v>4.8303735274414716</v>
      </c>
      <c r="HY12" s="150">
        <v>4.1139866911883685</v>
      </c>
      <c r="HZ12" s="150">
        <v>4.5042038362994106</v>
      </c>
      <c r="IA12" s="150">
        <v>3.5075772362694622</v>
      </c>
      <c r="IB12" s="150">
        <v>3.6564298072581298</v>
      </c>
      <c r="IC12" s="150">
        <v>3.75164605575219</v>
      </c>
      <c r="ID12" s="150">
        <v>3.8769709586481493</v>
      </c>
      <c r="IE12" s="150">
        <v>2.759378288520701</v>
      </c>
    </row>
    <row r="13" spans="1:275" s="142" customFormat="1" ht="16.5" customHeight="1">
      <c r="A13" s="151" t="s">
        <v>198</v>
      </c>
      <c r="B13" s="152"/>
      <c r="C13" s="153"/>
      <c r="D13" s="153"/>
      <c r="E13" s="153"/>
      <c r="F13" s="153" t="s">
        <v>138</v>
      </c>
      <c r="G13" s="153" t="s">
        <v>138</v>
      </c>
      <c r="H13" s="153" t="s">
        <v>138</v>
      </c>
      <c r="I13" s="153" t="s">
        <v>138</v>
      </c>
      <c r="J13" s="153" t="s">
        <v>138</v>
      </c>
      <c r="K13" s="153" t="s">
        <v>138</v>
      </c>
      <c r="L13" s="153" t="s">
        <v>138</v>
      </c>
      <c r="M13" s="153" t="s">
        <v>138</v>
      </c>
      <c r="N13" s="153" t="s">
        <v>138</v>
      </c>
      <c r="O13" s="153" t="s">
        <v>138</v>
      </c>
      <c r="P13" s="153" t="s">
        <v>138</v>
      </c>
      <c r="Q13" s="153" t="s">
        <v>138</v>
      </c>
      <c r="R13" s="153" t="s">
        <v>138</v>
      </c>
      <c r="S13" s="153" t="s">
        <v>138</v>
      </c>
      <c r="T13" s="153" t="s">
        <v>138</v>
      </c>
      <c r="U13" s="153" t="s">
        <v>138</v>
      </c>
      <c r="V13" s="153" t="s">
        <v>138</v>
      </c>
      <c r="W13" s="153" t="s">
        <v>138</v>
      </c>
      <c r="X13" s="153" t="s">
        <v>138</v>
      </c>
      <c r="Y13" s="153" t="s">
        <v>138</v>
      </c>
      <c r="Z13" s="153" t="s">
        <v>138</v>
      </c>
      <c r="AA13" s="153" t="s">
        <v>138</v>
      </c>
      <c r="AB13" s="153" t="s">
        <v>138</v>
      </c>
      <c r="AC13" s="153" t="s">
        <v>138</v>
      </c>
      <c r="AD13" s="153" t="s">
        <v>138</v>
      </c>
      <c r="AE13" s="153" t="s">
        <v>138</v>
      </c>
      <c r="AF13" s="153" t="s">
        <v>138</v>
      </c>
      <c r="AG13" s="153" t="s">
        <v>138</v>
      </c>
      <c r="AH13" s="153" t="s">
        <v>138</v>
      </c>
      <c r="AI13" s="153" t="s">
        <v>138</v>
      </c>
      <c r="AJ13" s="153" t="s">
        <v>138</v>
      </c>
      <c r="AK13" s="153" t="s">
        <v>138</v>
      </c>
      <c r="AL13" s="153" t="s">
        <v>138</v>
      </c>
      <c r="AM13" s="153" t="s">
        <v>138</v>
      </c>
      <c r="AN13" s="153" t="s">
        <v>138</v>
      </c>
      <c r="AO13" s="153" t="s">
        <v>138</v>
      </c>
      <c r="AP13" s="153" t="s">
        <v>138</v>
      </c>
      <c r="AQ13" s="153" t="s">
        <v>138</v>
      </c>
      <c r="AR13" s="153" t="s">
        <v>138</v>
      </c>
      <c r="AS13" s="153" t="s">
        <v>138</v>
      </c>
      <c r="AT13" s="153" t="s">
        <v>138</v>
      </c>
      <c r="AU13" s="153" t="s">
        <v>138</v>
      </c>
      <c r="AV13" s="153" t="s">
        <v>138</v>
      </c>
      <c r="AW13" s="153" t="s">
        <v>138</v>
      </c>
      <c r="AX13" s="153" t="s">
        <v>138</v>
      </c>
      <c r="AY13" s="153" t="s">
        <v>138</v>
      </c>
      <c r="AZ13" s="153" t="s">
        <v>138</v>
      </c>
      <c r="BA13" s="153" t="s">
        <v>138</v>
      </c>
      <c r="BB13" s="153" t="s">
        <v>138</v>
      </c>
      <c r="BC13" s="153" t="s">
        <v>138</v>
      </c>
      <c r="BD13" s="153" t="s">
        <v>138</v>
      </c>
      <c r="BE13" s="153" t="s">
        <v>138</v>
      </c>
      <c r="BF13" s="153" t="s">
        <v>138</v>
      </c>
      <c r="BG13" s="153" t="s">
        <v>138</v>
      </c>
      <c r="BH13" s="153" t="s">
        <v>138</v>
      </c>
      <c r="BI13" s="153" t="s">
        <v>138</v>
      </c>
      <c r="BJ13" s="153" t="s">
        <v>138</v>
      </c>
      <c r="BK13" s="153"/>
      <c r="BL13" s="153" t="s">
        <v>199</v>
      </c>
      <c r="BM13" s="153" t="s">
        <v>138</v>
      </c>
      <c r="BN13" s="153" t="s">
        <v>199</v>
      </c>
      <c r="BO13" s="153" t="s">
        <v>199</v>
      </c>
      <c r="BP13" s="153" t="s">
        <v>199</v>
      </c>
      <c r="BQ13" s="153"/>
      <c r="BR13" s="153"/>
      <c r="BS13" s="153"/>
      <c r="BT13" s="153"/>
      <c r="BU13" s="153"/>
      <c r="BV13" s="153"/>
      <c r="BW13" s="153"/>
      <c r="BX13" s="153"/>
      <c r="BY13" s="153"/>
      <c r="BZ13" s="153"/>
      <c r="CA13" s="153"/>
      <c r="CB13" s="153"/>
      <c r="CC13" s="153"/>
      <c r="CD13" s="153"/>
      <c r="CE13" s="153"/>
      <c r="CF13" s="153"/>
      <c r="CG13" s="153"/>
      <c r="CH13" s="153"/>
      <c r="CI13" s="153"/>
      <c r="CJ13" s="153"/>
      <c r="CK13" s="153"/>
      <c r="CL13" s="153"/>
      <c r="CM13" s="153"/>
      <c r="CN13" s="153"/>
      <c r="CO13" s="153"/>
      <c r="CP13" s="153"/>
      <c r="CQ13" s="153"/>
      <c r="CR13" s="153"/>
      <c r="CS13" s="153"/>
      <c r="CT13" s="153"/>
      <c r="CU13" s="153"/>
      <c r="CV13" s="153"/>
      <c r="CW13" s="153"/>
      <c r="CX13" s="153"/>
      <c r="CY13" s="153"/>
      <c r="CZ13" s="153"/>
      <c r="DA13" s="153"/>
      <c r="DB13" s="153"/>
      <c r="DC13" s="153"/>
      <c r="DD13" s="153"/>
      <c r="DE13" s="153"/>
      <c r="DF13" s="153"/>
      <c r="DG13" s="153"/>
      <c r="DH13" s="153"/>
      <c r="DI13" s="153"/>
      <c r="DJ13" s="153"/>
      <c r="DK13" s="153"/>
      <c r="DL13" s="153"/>
      <c r="DM13" s="153"/>
      <c r="DN13" s="153"/>
      <c r="DO13" s="153"/>
      <c r="DP13" s="153"/>
      <c r="DQ13" s="153"/>
      <c r="DR13" s="153"/>
      <c r="DS13" s="153"/>
      <c r="DT13" s="153"/>
      <c r="DU13" s="153"/>
      <c r="DV13" s="153"/>
      <c r="DW13" s="153"/>
      <c r="DX13" s="153"/>
      <c r="DY13" s="153"/>
      <c r="DZ13" s="153"/>
      <c r="EA13" s="153"/>
      <c r="EB13" s="153"/>
      <c r="EC13" s="153"/>
      <c r="ED13" s="153"/>
      <c r="EE13" s="153"/>
      <c r="EF13" s="153"/>
      <c r="EG13" s="153"/>
      <c r="EH13" s="153"/>
      <c r="EI13" s="153"/>
      <c r="EJ13" s="153"/>
      <c r="EK13" s="153"/>
      <c r="EL13" s="153"/>
      <c r="EM13" s="153"/>
      <c r="EN13" s="153"/>
      <c r="EO13" s="153"/>
      <c r="EP13" s="153"/>
      <c r="EQ13" s="153"/>
      <c r="ER13" s="153"/>
      <c r="ES13" s="153" t="s">
        <v>138</v>
      </c>
      <c r="ET13" s="153"/>
      <c r="EU13" s="153"/>
      <c r="EV13" s="153"/>
      <c r="EW13" s="153"/>
      <c r="EX13" s="153"/>
      <c r="EY13" s="153"/>
      <c r="EZ13" s="153"/>
      <c r="FA13" s="153"/>
      <c r="FB13" s="153"/>
      <c r="FC13" s="153"/>
      <c r="FD13" s="153"/>
      <c r="FE13" s="153"/>
      <c r="FF13" s="153"/>
      <c r="FG13" s="153"/>
      <c r="FH13" s="153"/>
      <c r="FI13" s="153"/>
      <c r="FJ13" s="153"/>
      <c r="FK13" s="153"/>
      <c r="FL13" s="153"/>
      <c r="FM13" s="153"/>
      <c r="FN13" s="153"/>
      <c r="FO13" s="153"/>
      <c r="FP13" s="153"/>
      <c r="FQ13" s="153"/>
      <c r="FR13" s="153"/>
      <c r="FS13" s="153"/>
      <c r="FT13" s="153"/>
      <c r="FU13" s="153"/>
      <c r="FV13" s="153"/>
      <c r="FW13" s="153"/>
      <c r="FX13" s="153"/>
      <c r="FY13" s="153"/>
      <c r="FZ13" s="153"/>
      <c r="GA13" s="153"/>
      <c r="GB13" s="153"/>
      <c r="GC13" s="153"/>
      <c r="GD13" s="153"/>
      <c r="GE13" s="153"/>
      <c r="GF13" s="153"/>
      <c r="GG13" s="153"/>
      <c r="GH13" s="153"/>
      <c r="GI13" s="153"/>
      <c r="GJ13" s="153"/>
      <c r="GK13" s="153"/>
      <c r="GL13" s="153"/>
      <c r="GM13" s="153"/>
      <c r="GN13" s="153"/>
      <c r="GO13" s="153"/>
      <c r="GP13" s="153"/>
      <c r="GQ13" s="153"/>
      <c r="GR13" s="153"/>
      <c r="GS13" s="153"/>
      <c r="GT13" s="153"/>
      <c r="GU13" s="153"/>
      <c r="GV13" s="153"/>
      <c r="GW13" s="153"/>
      <c r="GX13" s="153"/>
      <c r="GY13" s="153"/>
      <c r="GZ13" s="153"/>
      <c r="HA13" s="153"/>
      <c r="HB13" s="153"/>
      <c r="HC13" s="153"/>
      <c r="HD13" s="153"/>
      <c r="HE13" s="153"/>
      <c r="HF13" s="153"/>
      <c r="HG13" s="153"/>
      <c r="HH13" s="153"/>
      <c r="HI13" s="153"/>
      <c r="HJ13" s="153"/>
      <c r="HK13" s="153"/>
      <c r="HL13" s="153"/>
      <c r="HM13" s="153"/>
      <c r="HN13" s="153"/>
      <c r="HO13" s="153"/>
      <c r="HP13" s="153"/>
      <c r="HQ13" s="153"/>
      <c r="HR13" s="153"/>
      <c r="HS13" s="153"/>
      <c r="HT13" s="153"/>
      <c r="HU13" s="153"/>
      <c r="HV13" s="153"/>
      <c r="HW13" s="153"/>
      <c r="HX13" s="153"/>
      <c r="HY13" s="153"/>
      <c r="HZ13" s="153"/>
      <c r="IA13" s="153"/>
      <c r="IB13" s="153"/>
      <c r="IC13" s="153"/>
      <c r="ID13" s="153"/>
      <c r="IE13" s="153"/>
    </row>
    <row r="14" spans="1:275" s="142" customFormat="1" ht="16.5" customHeight="1">
      <c r="A14" s="146" t="s">
        <v>170</v>
      </c>
      <c r="B14" s="147"/>
      <c r="C14" s="148">
        <v>3.5449479255974516</v>
      </c>
      <c r="D14" s="148">
        <v>3.5819868384537954</v>
      </c>
      <c r="E14" s="148">
        <v>3.6742392018927212</v>
      </c>
      <c r="F14" s="148">
        <v>3.8473174021442729</v>
      </c>
      <c r="G14" s="148">
        <v>3.422059739971516</v>
      </c>
      <c r="H14" s="148">
        <v>4.3518342687553364</v>
      </c>
      <c r="I14" s="148">
        <v>3.6196084848248695</v>
      </c>
      <c r="J14" s="148">
        <v>3.8136959493867142</v>
      </c>
      <c r="K14" s="148">
        <v>3.272341384322889</v>
      </c>
      <c r="L14" s="148">
        <v>3.4411329671746418</v>
      </c>
      <c r="M14" s="148">
        <v>3.3232521891267339</v>
      </c>
      <c r="N14" s="148">
        <v>3.4341831080600711</v>
      </c>
      <c r="O14" s="148">
        <v>3.8375777806964386</v>
      </c>
      <c r="P14" s="148">
        <v>4.7227296741205995</v>
      </c>
      <c r="Q14" s="148">
        <v>2.953789901136028</v>
      </c>
      <c r="R14" s="148">
        <v>3.6197038043837213</v>
      </c>
      <c r="S14" s="148">
        <v>3.8635568224742936</v>
      </c>
      <c r="T14" s="148">
        <v>4.0345104765131685</v>
      </c>
      <c r="U14" s="148">
        <v>4.2247309215386357</v>
      </c>
      <c r="V14" s="148">
        <v>3.6549807055101877</v>
      </c>
      <c r="W14" s="148">
        <v>3.0200229209598102</v>
      </c>
      <c r="X14" s="148">
        <v>3.7210479828934253</v>
      </c>
      <c r="Y14" s="148">
        <v>3.0004482008304119</v>
      </c>
      <c r="Z14" s="148">
        <v>2.9284977656644107</v>
      </c>
      <c r="AA14" s="148">
        <v>2.8060499205785896</v>
      </c>
      <c r="AB14" s="148">
        <v>2.6251314491564854</v>
      </c>
      <c r="AC14" s="148">
        <v>2.2842955043187438</v>
      </c>
      <c r="AD14" s="148">
        <v>2.1411017274385755</v>
      </c>
      <c r="AE14" s="148">
        <v>2.1366744620275253</v>
      </c>
      <c r="AF14" s="148">
        <v>2.5550401151722681</v>
      </c>
      <c r="AG14" s="148">
        <v>2.5761212965427425</v>
      </c>
      <c r="AH14" s="148">
        <v>2.0617284410131846</v>
      </c>
      <c r="AI14" s="148">
        <v>1.7728354946932461</v>
      </c>
      <c r="AJ14" s="148">
        <v>2.2061894447693011</v>
      </c>
      <c r="AK14" s="148">
        <v>2.2027138416006484</v>
      </c>
      <c r="AL14" s="148">
        <v>2.3680391889586327</v>
      </c>
      <c r="AM14" s="148">
        <v>2.571183387271609</v>
      </c>
      <c r="AN14" s="148">
        <v>2.5767204422712764</v>
      </c>
      <c r="AO14" s="148">
        <v>2.4732252752080779</v>
      </c>
      <c r="AP14" s="148">
        <v>2.8362620494077238</v>
      </c>
      <c r="AQ14" s="148">
        <v>3.1735587423305569</v>
      </c>
      <c r="AR14" s="148">
        <v>3.6646895993220707</v>
      </c>
      <c r="AS14" s="148">
        <v>3.4336681227346517</v>
      </c>
      <c r="AT14" s="148">
        <v>2.8940612750964916</v>
      </c>
      <c r="AU14" s="148">
        <v>3.0494853239186832</v>
      </c>
      <c r="AV14" s="148">
        <v>2.8847197688315913</v>
      </c>
      <c r="AW14" s="148">
        <v>3.3618334917785022</v>
      </c>
      <c r="AX14" s="148">
        <v>3.1745987382616159</v>
      </c>
      <c r="AY14" s="148">
        <v>3.116568537033555</v>
      </c>
      <c r="AZ14" s="148">
        <v>3.4722534606572992</v>
      </c>
      <c r="BA14" s="148">
        <v>3.2893399522812299</v>
      </c>
      <c r="BB14" s="148">
        <v>3.833823484511043</v>
      </c>
      <c r="BC14" s="148">
        <v>3.4433500101063905</v>
      </c>
      <c r="BD14" s="148">
        <v>3.439915368366929</v>
      </c>
      <c r="BE14" s="148">
        <v>3.1557471622750715</v>
      </c>
      <c r="BF14" s="148">
        <v>3.1578878044485323</v>
      </c>
      <c r="BG14" s="148">
        <v>3.237804098307326</v>
      </c>
      <c r="BH14" s="148">
        <v>3.3481970914479522</v>
      </c>
      <c r="BI14" s="148">
        <v>3.1440621617863456</v>
      </c>
      <c r="BJ14" s="148">
        <v>2.9630949574379337</v>
      </c>
      <c r="BK14" s="148">
        <v>2.921899182323112</v>
      </c>
      <c r="BL14" s="148">
        <v>3.2809369328246212</v>
      </c>
      <c r="BM14" s="148">
        <v>3.5345280252814746</v>
      </c>
      <c r="BN14" s="148">
        <v>3.151835268529271</v>
      </c>
      <c r="BO14" s="148">
        <v>2.7956179740004252</v>
      </c>
      <c r="BP14" s="148">
        <v>3.2549277636418683</v>
      </c>
      <c r="BQ14" s="148">
        <v>2.3807115487229842</v>
      </c>
      <c r="BR14" s="148">
        <v>2.3578402253586503</v>
      </c>
      <c r="BS14" s="148">
        <v>2.6787842999157978</v>
      </c>
      <c r="BT14" s="148">
        <v>2.5939845347867503</v>
      </c>
      <c r="BU14" s="148">
        <v>2.3469866563544799</v>
      </c>
      <c r="BV14" s="148">
        <v>2.658762002884254</v>
      </c>
      <c r="BW14" s="148">
        <v>2.4139413476389144</v>
      </c>
      <c r="BX14" s="148">
        <v>2.7372814068693727</v>
      </c>
      <c r="BY14" s="148">
        <v>2.4141163266717753</v>
      </c>
      <c r="BZ14" s="148">
        <v>2.6676925248502896</v>
      </c>
      <c r="CA14" s="148">
        <v>2.4307673276455466</v>
      </c>
      <c r="CB14" s="148">
        <v>2.7150753356592991</v>
      </c>
      <c r="CC14" s="148">
        <v>3.0450625622210303</v>
      </c>
      <c r="CD14" s="148">
        <v>2.492431686626972</v>
      </c>
      <c r="CE14" s="148">
        <v>2.4337014920410556</v>
      </c>
      <c r="CF14" s="148">
        <v>3.3369541799181586</v>
      </c>
      <c r="CG14" s="148">
        <v>2.5292804205886736</v>
      </c>
      <c r="CH14" s="148">
        <v>2.3993780035414836</v>
      </c>
      <c r="CI14" s="148">
        <v>2.7621285978991192</v>
      </c>
      <c r="CJ14" s="148">
        <v>3.1125535035828253</v>
      </c>
      <c r="CK14" s="148">
        <v>2.6673644762207451</v>
      </c>
      <c r="CL14" s="148">
        <v>3.008750257067379</v>
      </c>
      <c r="CM14" s="148">
        <v>2.4243352552635726</v>
      </c>
      <c r="CN14" s="148">
        <v>3.0436764011929549</v>
      </c>
      <c r="CO14" s="148">
        <v>2.7812021291300812</v>
      </c>
      <c r="CP14" s="148">
        <v>2.029094093092791</v>
      </c>
      <c r="CQ14" s="148">
        <v>2.336858389362233</v>
      </c>
      <c r="CR14" s="148">
        <v>2.5704259003084919</v>
      </c>
      <c r="CS14" s="148">
        <v>2.1734114096497672</v>
      </c>
      <c r="CT14" s="148">
        <v>2.6547297021024834</v>
      </c>
      <c r="CU14" s="148">
        <v>2.7612070672300066</v>
      </c>
      <c r="CV14" s="148">
        <v>2.582291125412516</v>
      </c>
      <c r="CW14" s="148">
        <v>3.0238204467376781</v>
      </c>
      <c r="CX14" s="148">
        <v>2.7194459241176125</v>
      </c>
      <c r="CY14" s="148">
        <v>2.2743096891662273</v>
      </c>
      <c r="CZ14" s="148">
        <v>3.1688856484826409</v>
      </c>
      <c r="DA14" s="148">
        <v>2.7091527592465061</v>
      </c>
      <c r="DB14" s="148">
        <v>2.5595322600758643</v>
      </c>
      <c r="DC14" s="148">
        <v>2.4117411163311315</v>
      </c>
      <c r="DD14" s="148">
        <v>2.5038517354213097</v>
      </c>
      <c r="DE14" s="148">
        <v>2.4466002718662425</v>
      </c>
      <c r="DF14" s="148">
        <v>2.4637638537477491</v>
      </c>
      <c r="DG14" s="148">
        <v>2.4793525231796658</v>
      </c>
      <c r="DH14" s="148">
        <v>2.2299676859840218</v>
      </c>
      <c r="DI14" s="148">
        <v>2.2960971788173334</v>
      </c>
      <c r="DJ14" s="148">
        <v>2.5068964225768506</v>
      </c>
      <c r="DK14" s="148">
        <v>2.3336134092702179</v>
      </c>
      <c r="DL14" s="148">
        <v>2.5074945812301128</v>
      </c>
      <c r="DM14" s="148">
        <v>2.2686867037173486</v>
      </c>
      <c r="DN14" s="148">
        <v>2.1151573771756063</v>
      </c>
      <c r="DO14" s="148">
        <v>2.0644828049199369</v>
      </c>
      <c r="DP14" s="148">
        <v>2.2464599571011221</v>
      </c>
      <c r="DQ14" s="148">
        <v>2.2570904121706494</v>
      </c>
      <c r="DR14" s="148">
        <v>2.3142836996530138</v>
      </c>
      <c r="DS14" s="148">
        <v>2.3745852819575397</v>
      </c>
      <c r="DT14" s="148">
        <v>2.5662282189324879</v>
      </c>
      <c r="DU14" s="148">
        <v>2.2448426918427575</v>
      </c>
      <c r="DV14" s="148">
        <v>2.8190870135218837</v>
      </c>
      <c r="DW14" s="148">
        <v>2.3743126565571924</v>
      </c>
      <c r="DX14" s="148">
        <v>3.0427041808013735</v>
      </c>
      <c r="DY14" s="148">
        <v>2.6360492580903965</v>
      </c>
      <c r="DZ14" s="148">
        <v>2.3841450030756706</v>
      </c>
      <c r="EA14" s="148">
        <v>2.3683528289652469</v>
      </c>
      <c r="EB14" s="148">
        <v>2.1696432077814527</v>
      </c>
      <c r="EC14" s="148">
        <v>2.5426183482057447</v>
      </c>
      <c r="ED14" s="148">
        <v>2.3164372668413256</v>
      </c>
      <c r="EE14" s="148">
        <v>2.5320309171947852</v>
      </c>
      <c r="EF14" s="148">
        <v>2.61746422571925</v>
      </c>
      <c r="EG14" s="148">
        <v>2.4811061327008259</v>
      </c>
      <c r="EH14" s="148">
        <v>2.7029332956578367</v>
      </c>
      <c r="EI14" s="148">
        <v>2.417548964121381</v>
      </c>
      <c r="EJ14" s="148">
        <v>2.7444842339004296</v>
      </c>
      <c r="EK14" s="148">
        <v>2.008518696143522</v>
      </c>
      <c r="EL14" s="148">
        <v>1.96698285592495</v>
      </c>
      <c r="EM14" s="148">
        <v>1.7913618420282909</v>
      </c>
      <c r="EN14" s="148">
        <v>1.6853794319343731</v>
      </c>
      <c r="EO14" s="148">
        <v>1.698935514683473</v>
      </c>
      <c r="EP14" s="148">
        <v>1.607748014516426</v>
      </c>
      <c r="EQ14" s="148">
        <v>1.8101824274978604</v>
      </c>
      <c r="ER14" s="148">
        <v>1.7552170599145205</v>
      </c>
      <c r="ES14" s="148">
        <v>1.494715543671028</v>
      </c>
      <c r="ET14" s="148">
        <v>2.1926338619275256</v>
      </c>
      <c r="EU14" s="148">
        <v>2.0032665969957475</v>
      </c>
      <c r="EV14" s="148">
        <v>2.3667502529270084</v>
      </c>
      <c r="EW14" s="148">
        <v>1.7427507225250309</v>
      </c>
      <c r="EX14" s="148">
        <v>1.7323310731876786</v>
      </c>
      <c r="EY14" s="148">
        <v>1.6605008754713582</v>
      </c>
      <c r="EZ14" s="148">
        <v>1.6290763091868721</v>
      </c>
      <c r="FA14" s="148">
        <v>1.8858473896596135</v>
      </c>
      <c r="FB14" s="148">
        <v>1.7662377898677135</v>
      </c>
      <c r="FC14" s="148">
        <v>1.7370235531291047</v>
      </c>
      <c r="FD14" s="148">
        <v>1.7436334623668566</v>
      </c>
      <c r="FE14" s="148">
        <v>1.6744589221562554</v>
      </c>
      <c r="FF14" s="148">
        <v>1.6233365926163095</v>
      </c>
      <c r="FG14" s="148">
        <v>1.6350694301742816</v>
      </c>
      <c r="FH14" s="148">
        <v>1.5085481440820101</v>
      </c>
      <c r="FI14" s="148">
        <v>0.45792679452804502</v>
      </c>
      <c r="FJ14" s="148">
        <v>0.41073132659123701</v>
      </c>
      <c r="FK14" s="148">
        <v>0.74062881166245098</v>
      </c>
      <c r="FL14" s="148">
        <v>0.83690498465046403</v>
      </c>
      <c r="FM14" s="148">
        <v>0.91226497334246703</v>
      </c>
      <c r="FN14" s="148">
        <v>0.98265660615779304</v>
      </c>
      <c r="FO14" s="148">
        <v>1.15234151410774</v>
      </c>
      <c r="FP14" s="148">
        <v>1.29913410059656</v>
      </c>
      <c r="FQ14" s="148">
        <v>1.3486624669748499</v>
      </c>
      <c r="FR14" s="148">
        <v>1.6829015632862001</v>
      </c>
      <c r="FS14" s="148">
        <v>1.5816974659456899</v>
      </c>
      <c r="FT14" s="148">
        <v>2.2220111222180701</v>
      </c>
      <c r="FU14" s="148">
        <v>1.89044003322448</v>
      </c>
      <c r="FV14" s="148">
        <v>1.5054784746747401</v>
      </c>
      <c r="FW14" s="148">
        <v>1.49286466968765</v>
      </c>
      <c r="FX14" s="148">
        <v>1.74195604108263</v>
      </c>
      <c r="FY14" s="148">
        <v>2.11157280112928</v>
      </c>
      <c r="FZ14" s="148">
        <v>2.2776754555319698</v>
      </c>
      <c r="GA14" s="148">
        <v>2.3456057506841099</v>
      </c>
      <c r="GB14" s="148">
        <v>2.4947973683650102</v>
      </c>
      <c r="GC14" s="148">
        <v>2.1798225910978499</v>
      </c>
      <c r="GD14" s="148">
        <v>2.6564379119302202</v>
      </c>
      <c r="GE14" s="148">
        <v>2.5179084565538998</v>
      </c>
      <c r="GF14" s="148">
        <v>3.19217540657512</v>
      </c>
      <c r="GG14" s="148">
        <v>2.5390193278507698</v>
      </c>
      <c r="GH14" s="148">
        <v>2.5657393609922998</v>
      </c>
      <c r="GI14" s="148">
        <v>2.3857054948041299</v>
      </c>
      <c r="GJ14" s="148">
        <v>2.4892081748193502</v>
      </c>
      <c r="GK14" s="148">
        <v>2.5778173187915199</v>
      </c>
      <c r="GL14" s="148">
        <v>2.3718274498801</v>
      </c>
      <c r="GM14" s="148">
        <v>2.32240575271359</v>
      </c>
      <c r="GN14" s="148">
        <v>2.5484670641254299</v>
      </c>
      <c r="GO14" s="148">
        <v>2.0502500789454801</v>
      </c>
      <c r="GP14" s="148">
        <v>2.5709212022966601</v>
      </c>
      <c r="GQ14" s="148">
        <v>2.3247289708966701</v>
      </c>
      <c r="GR14" s="148">
        <v>2.8899144740196299</v>
      </c>
      <c r="GS14" s="148">
        <v>2.3945192896942702</v>
      </c>
      <c r="GT14" s="148">
        <v>2.2032068501802402</v>
      </c>
      <c r="GU14" s="148">
        <v>2.12869747888689</v>
      </c>
      <c r="GV14" s="148">
        <v>2.1832762847495299</v>
      </c>
      <c r="GW14" s="148">
        <v>2.2344520736798001</v>
      </c>
      <c r="GX14" s="148">
        <v>1.97373855056532</v>
      </c>
      <c r="GY14" s="148">
        <v>1.86486316818321</v>
      </c>
      <c r="GZ14" s="148">
        <v>1.9051347103132199</v>
      </c>
      <c r="HA14" s="148">
        <v>1.63986741964978</v>
      </c>
      <c r="HB14" s="148">
        <v>2.0175686588414501</v>
      </c>
      <c r="HC14" s="148">
        <v>1.6644493297655301</v>
      </c>
      <c r="HD14" s="148">
        <v>1.70021480501181</v>
      </c>
      <c r="HE14" s="148">
        <v>1.55982021542397</v>
      </c>
      <c r="HF14" s="148">
        <v>1.4608487852966101</v>
      </c>
      <c r="HG14" s="148">
        <v>1.4260350779822</v>
      </c>
      <c r="HH14" s="148">
        <v>1.67375936667294</v>
      </c>
      <c r="HI14" s="148">
        <v>1.7753674166578699</v>
      </c>
      <c r="HJ14" s="148">
        <v>1.8016972318673901</v>
      </c>
      <c r="HK14" s="148">
        <v>1.93128388471839</v>
      </c>
      <c r="HL14" s="148">
        <v>1.8067398190269199</v>
      </c>
      <c r="HM14" s="148">
        <v>1.7408293568387201</v>
      </c>
      <c r="HN14" s="148">
        <v>2.0650580979978499</v>
      </c>
      <c r="HO14" s="148">
        <v>2.0252371569957202</v>
      </c>
      <c r="HP14" s="148">
        <v>2.1626863309080302</v>
      </c>
      <c r="HQ14" s="148">
        <v>1.9258616785354801</v>
      </c>
      <c r="HR14" s="148">
        <v>1.9124155166536201</v>
      </c>
      <c r="HS14" s="148">
        <v>1.8573672394351699</v>
      </c>
      <c r="HT14" s="148">
        <v>1.94394175589431</v>
      </c>
      <c r="HU14" s="148">
        <v>2.0054827285764398</v>
      </c>
      <c r="HV14" s="148">
        <v>2.1021474096154602</v>
      </c>
      <c r="HW14" s="148">
        <v>2.1990712782397099</v>
      </c>
      <c r="HX14" s="148">
        <v>1.83879594765243</v>
      </c>
      <c r="HY14" s="148">
        <v>1.95868451981976</v>
      </c>
      <c r="HZ14" s="148">
        <v>2.1521887819682899</v>
      </c>
      <c r="IA14" s="148">
        <v>2.0239138260653098</v>
      </c>
      <c r="IB14" s="148">
        <v>2.5829083163680102</v>
      </c>
      <c r="IC14" s="148">
        <v>2.0893224658443499</v>
      </c>
      <c r="ID14" s="148">
        <v>1.9593510736719599</v>
      </c>
      <c r="IE14" s="148">
        <v>1.6597372628479601</v>
      </c>
    </row>
    <row r="15" spans="1:275" s="142" customFormat="1" ht="16.5" customHeight="1">
      <c r="A15" s="147" t="s">
        <v>200</v>
      </c>
      <c r="B15" s="154"/>
      <c r="C15" s="155">
        <v>2.6993941744556151</v>
      </c>
      <c r="D15" s="155">
        <v>2.0023579320736804</v>
      </c>
      <c r="E15" s="155">
        <v>2.0609099021432145</v>
      </c>
      <c r="F15" s="155">
        <v>1.9841878598552136</v>
      </c>
      <c r="G15" s="155">
        <v>2.6203447989695245</v>
      </c>
      <c r="H15" s="155">
        <v>2.3184983916608379</v>
      </c>
      <c r="I15" s="155">
        <v>2.7807647630107928</v>
      </c>
      <c r="J15" s="155">
        <v>2.240522428061801</v>
      </c>
      <c r="K15" s="155">
        <v>1.8205413122353138</v>
      </c>
      <c r="L15" s="155">
        <v>1.9420168866409273</v>
      </c>
      <c r="M15" s="155">
        <v>2.3159318718815851</v>
      </c>
      <c r="N15" s="155">
        <v>2.0929736088907656</v>
      </c>
      <c r="O15" s="155">
        <v>1.832469360210395</v>
      </c>
      <c r="P15" s="155">
        <v>1.9709531669943992</v>
      </c>
      <c r="Q15" s="155">
        <v>1.631319837835387</v>
      </c>
      <c r="R15" s="155">
        <v>1.6771964918615663</v>
      </c>
      <c r="S15" s="155">
        <v>1.3653780458709781</v>
      </c>
      <c r="T15" s="155">
        <v>1.755460241192506</v>
      </c>
      <c r="U15" s="155">
        <v>2.6368669795886706</v>
      </c>
      <c r="V15" s="155">
        <v>2.2335903221525344</v>
      </c>
      <c r="W15" s="155">
        <v>1.9972719407562907</v>
      </c>
      <c r="X15" s="155">
        <v>2.4532772658463124</v>
      </c>
      <c r="Y15" s="155">
        <v>1.6575899785787769</v>
      </c>
      <c r="Z15" s="155">
        <v>2.0081267573112727</v>
      </c>
      <c r="AA15" s="155">
        <v>1.9072273570583786</v>
      </c>
      <c r="AB15" s="155">
        <v>1.4955122364021927</v>
      </c>
      <c r="AC15" s="155">
        <v>1.3371872178722102</v>
      </c>
      <c r="AD15" s="155">
        <v>1.4612578662005193</v>
      </c>
      <c r="AE15" s="155">
        <v>0.52028764929022697</v>
      </c>
      <c r="AF15" s="155">
        <v>1.0992944048443256</v>
      </c>
      <c r="AG15" s="155">
        <v>1.4658456825266768</v>
      </c>
      <c r="AH15" s="155">
        <v>1.0855176750382092</v>
      </c>
      <c r="AI15" s="155">
        <v>1.3358355044404444</v>
      </c>
      <c r="AJ15" s="155">
        <v>1.1787989981413363</v>
      </c>
      <c r="AK15" s="155">
        <v>1.207731119313262</v>
      </c>
      <c r="AL15" s="155">
        <v>1.4005599121513022</v>
      </c>
      <c r="AM15" s="155">
        <v>1.4900677944793193</v>
      </c>
      <c r="AN15" s="155">
        <v>1.5179217967203389</v>
      </c>
      <c r="AO15" s="155">
        <v>0.9965866477887636</v>
      </c>
      <c r="AP15" s="155">
        <v>1.7502707258869616</v>
      </c>
      <c r="AQ15" s="155">
        <v>1.8574044311877531</v>
      </c>
      <c r="AR15" s="155">
        <v>2.1957886650316283</v>
      </c>
      <c r="AS15" s="155">
        <v>3.0252603696222709</v>
      </c>
      <c r="AT15" s="155">
        <v>2.0109082660043565</v>
      </c>
      <c r="AU15" s="155">
        <v>1.850108313427808</v>
      </c>
      <c r="AV15" s="155">
        <v>1.7627221165524003</v>
      </c>
      <c r="AW15" s="155">
        <v>3.1204859894414216</v>
      </c>
      <c r="AX15" s="155">
        <v>3.2581310455311576</v>
      </c>
      <c r="AY15" s="155">
        <v>1.3306215396422465</v>
      </c>
      <c r="AZ15" s="155">
        <v>2.9342345248673216</v>
      </c>
      <c r="BA15" s="155">
        <v>2.5236644260902743</v>
      </c>
      <c r="BB15" s="155">
        <v>3.4555046046139584</v>
      </c>
      <c r="BC15" s="155">
        <v>3.019536639117558</v>
      </c>
      <c r="BD15" s="155">
        <v>2.0691374228201918</v>
      </c>
      <c r="BE15" s="155">
        <v>2.0928372515908196</v>
      </c>
      <c r="BF15" s="155">
        <v>1.3741047286750396</v>
      </c>
      <c r="BG15" s="155">
        <v>2.1073398950225188</v>
      </c>
      <c r="BH15" s="155">
        <v>1.494999113646132</v>
      </c>
      <c r="BI15" s="155">
        <v>2.4998066417911358</v>
      </c>
      <c r="BJ15" s="155">
        <v>1.9905558574665705</v>
      </c>
      <c r="BK15" s="155">
        <v>1.6133237455188538</v>
      </c>
      <c r="BL15" s="155">
        <v>1.1625118313308269</v>
      </c>
      <c r="BM15" s="155">
        <v>0.88320232877550742</v>
      </c>
      <c r="BN15" s="155">
        <v>0.97377825201632429</v>
      </c>
      <c r="BO15" s="155">
        <v>1.2279082375014385</v>
      </c>
      <c r="BP15" s="155">
        <v>1.4206339532917538</v>
      </c>
      <c r="BQ15" s="155">
        <v>1.3432192056513905</v>
      </c>
      <c r="BR15" s="155">
        <v>1.8462988867051322</v>
      </c>
      <c r="BS15" s="155">
        <v>1.839280536090419</v>
      </c>
      <c r="BT15" s="155">
        <v>1.5948620782140341</v>
      </c>
      <c r="BU15" s="155">
        <v>1.6939843950400042</v>
      </c>
      <c r="BV15" s="155">
        <v>1.4476704701785774</v>
      </c>
      <c r="BW15" s="155">
        <v>1.5793419168537195</v>
      </c>
      <c r="BX15" s="155">
        <v>1.5148335800797992</v>
      </c>
      <c r="BY15" s="155">
        <v>1.0589841027018556</v>
      </c>
      <c r="BZ15" s="155">
        <v>0.9459937760661804</v>
      </c>
      <c r="CA15" s="155">
        <v>1.130840759424431</v>
      </c>
      <c r="CB15" s="155">
        <v>1.8530760259977579</v>
      </c>
      <c r="CC15" s="155">
        <v>1.5888828811129685</v>
      </c>
      <c r="CD15" s="155">
        <v>1.9317066912847323</v>
      </c>
      <c r="CE15" s="155">
        <v>1.6803402261432145</v>
      </c>
      <c r="CF15" s="155">
        <v>1.1190864080299325</v>
      </c>
      <c r="CG15" s="155">
        <v>2.1143232564508985</v>
      </c>
      <c r="CH15" s="155">
        <v>1.9428753735002258</v>
      </c>
      <c r="CI15" s="155">
        <v>1.2678245491446323</v>
      </c>
      <c r="CJ15" s="155">
        <v>1.0085298448371256</v>
      </c>
      <c r="CK15" s="155">
        <v>1.4880656072401695</v>
      </c>
      <c r="CL15" s="155">
        <v>2.5799672933657836</v>
      </c>
      <c r="CM15" s="155">
        <v>1.8497259130602257</v>
      </c>
      <c r="CN15" s="155">
        <v>3.5400024309645146</v>
      </c>
      <c r="CO15" s="155">
        <v>1.9296674576654282</v>
      </c>
      <c r="CP15" s="155">
        <v>1.7183316725740676</v>
      </c>
      <c r="CQ15" s="155">
        <v>1.8631171410310989</v>
      </c>
      <c r="CR15" s="155">
        <v>2.1036809067778064</v>
      </c>
      <c r="CS15" s="155">
        <v>2.6108324532465179</v>
      </c>
      <c r="CT15" s="155">
        <v>3.286678683796044</v>
      </c>
      <c r="CU15" s="155">
        <v>3.3513507053156428</v>
      </c>
      <c r="CV15" s="155">
        <v>3.7858235066368136</v>
      </c>
      <c r="CW15" s="155">
        <v>3.4562147189660122</v>
      </c>
      <c r="CX15" s="155">
        <v>3.1884369307826477</v>
      </c>
      <c r="CY15" s="155">
        <v>2.9869779212317735</v>
      </c>
      <c r="CZ15" s="155">
        <v>4.1290873761894789</v>
      </c>
      <c r="DA15" s="155">
        <v>4.2853647880799084</v>
      </c>
      <c r="DB15" s="155">
        <v>4.28097771845799</v>
      </c>
      <c r="DC15" s="155">
        <v>2.4464685912756199</v>
      </c>
      <c r="DD15" s="155">
        <v>2.0835600202273628</v>
      </c>
      <c r="DE15" s="155">
        <v>3.1184527984829948</v>
      </c>
      <c r="DF15" s="155">
        <v>2.9814744785278662</v>
      </c>
      <c r="DG15" s="155">
        <v>1.1859621116627366</v>
      </c>
      <c r="DH15" s="155">
        <v>1.354042372588028</v>
      </c>
      <c r="DI15" s="155">
        <v>1.1315759520233648</v>
      </c>
      <c r="DJ15" s="155">
        <v>1.3085539232580554</v>
      </c>
      <c r="DK15" s="155">
        <v>1.7247901166053934</v>
      </c>
      <c r="DL15" s="155">
        <v>1.5050651880808545</v>
      </c>
      <c r="DM15" s="155">
        <v>1.7996488531765977</v>
      </c>
      <c r="DN15" s="155">
        <v>1.758293792234888</v>
      </c>
      <c r="DO15" s="155">
        <v>1.8928696878454709</v>
      </c>
      <c r="DP15" s="155">
        <v>1.6144381451510752</v>
      </c>
      <c r="DQ15" s="155">
        <v>1.9868654894000408</v>
      </c>
      <c r="DR15" s="155">
        <v>1.8049418730682127</v>
      </c>
      <c r="DS15" s="155">
        <v>1.7868350773065578</v>
      </c>
      <c r="DT15" s="155">
        <v>1.3424831141314115</v>
      </c>
      <c r="DU15" s="155">
        <v>1.0409770313848175</v>
      </c>
      <c r="DV15" s="155">
        <v>1.5496398147939838</v>
      </c>
      <c r="DW15" s="155">
        <v>1.5723163887677627</v>
      </c>
      <c r="DX15" s="155">
        <v>1.8481776360342612</v>
      </c>
      <c r="DY15" s="155">
        <v>2.1049851273721587</v>
      </c>
      <c r="DZ15" s="155">
        <v>1.8152551026906438</v>
      </c>
      <c r="EA15" s="155">
        <v>2.3104940988576375</v>
      </c>
      <c r="EB15" s="155">
        <v>1.9072297669425167</v>
      </c>
      <c r="EC15" s="155">
        <v>1.888005558318729</v>
      </c>
      <c r="ED15" s="155">
        <v>2.1287803175100906</v>
      </c>
      <c r="EE15" s="155">
        <v>1.5941340022262034</v>
      </c>
      <c r="EF15" s="155">
        <v>1.5599613517113922</v>
      </c>
      <c r="EG15" s="155">
        <v>1.1660407619974569</v>
      </c>
      <c r="EH15" s="155">
        <v>1.2962260673838564</v>
      </c>
      <c r="EI15" s="155">
        <v>1.5528466732756985</v>
      </c>
      <c r="EJ15" s="155">
        <v>1.7747271248591354</v>
      </c>
      <c r="EK15" s="155">
        <v>1.7113606560290147</v>
      </c>
      <c r="EL15" s="155">
        <v>1.8114582388940352</v>
      </c>
      <c r="EM15" s="155">
        <v>1.8788391692324855</v>
      </c>
      <c r="EN15" s="155">
        <v>1.4253554480849813</v>
      </c>
      <c r="EO15" s="155">
        <v>1.4779543376877671</v>
      </c>
      <c r="EP15" s="155">
        <v>1.4744979310168187</v>
      </c>
      <c r="EQ15" s="155">
        <v>1.3019768557898843</v>
      </c>
      <c r="ER15" s="155">
        <v>1.3657581364155118</v>
      </c>
      <c r="ES15" s="155">
        <v>0.88932324657298467</v>
      </c>
      <c r="ET15" s="155">
        <v>1.2641184665666654</v>
      </c>
      <c r="EU15" s="155">
        <v>1.485366650241051</v>
      </c>
      <c r="EV15" s="155">
        <v>2.1781108935861626</v>
      </c>
      <c r="EW15" s="155">
        <v>1.5571347960997006</v>
      </c>
      <c r="EX15" s="155">
        <v>1.6298152375666217</v>
      </c>
      <c r="EY15" s="155">
        <v>1.7905867023068431</v>
      </c>
      <c r="EZ15" s="155">
        <v>1.8583107659599898</v>
      </c>
      <c r="FA15" s="155">
        <v>2.6322208092591333</v>
      </c>
      <c r="FB15" s="155">
        <v>2.8371216888290118</v>
      </c>
      <c r="FC15" s="155">
        <v>1.999188000754482</v>
      </c>
      <c r="FD15" s="155">
        <v>1.3980764565298414</v>
      </c>
      <c r="FE15" s="155">
        <v>1.2947982016036497</v>
      </c>
      <c r="FF15" s="155">
        <v>1.2124655342294737</v>
      </c>
      <c r="FG15" s="155">
        <v>1.3435854590950753</v>
      </c>
      <c r="FH15" s="155">
        <v>1.30966002104032</v>
      </c>
      <c r="FI15" s="155">
        <v>0.51746632660090996</v>
      </c>
      <c r="FJ15" s="155">
        <v>0.40943948592117402</v>
      </c>
      <c r="FK15" s="155">
        <v>0.36318911781919599</v>
      </c>
      <c r="FL15" s="155">
        <v>0.54495109235657802</v>
      </c>
      <c r="FM15" s="155">
        <v>0.87404707301806295</v>
      </c>
      <c r="FN15" s="155">
        <v>0.74725184548059098</v>
      </c>
      <c r="FO15" s="155">
        <v>0.86167038392805495</v>
      </c>
      <c r="FP15" s="155">
        <v>0.904840521881495</v>
      </c>
      <c r="FQ15" s="155">
        <v>0.76267447152669399</v>
      </c>
      <c r="FR15" s="155">
        <v>0.88171746147749597</v>
      </c>
      <c r="FS15" s="155">
        <v>1.08410540161589</v>
      </c>
      <c r="FT15" s="155">
        <v>1.2262256957868001</v>
      </c>
      <c r="FU15" s="155">
        <v>1.55721580863624</v>
      </c>
      <c r="FV15" s="155">
        <v>1.3159750996375701</v>
      </c>
      <c r="FW15" s="155">
        <v>1.6111070311250899</v>
      </c>
      <c r="FX15" s="155">
        <v>1.3926890858582599</v>
      </c>
      <c r="FY15" s="155">
        <v>1.68627958909853</v>
      </c>
      <c r="FZ15" s="155">
        <v>1.6879676389218301</v>
      </c>
      <c r="GA15" s="155">
        <v>1.71548073104751</v>
      </c>
      <c r="GB15" s="155">
        <v>1.6240793765131001</v>
      </c>
      <c r="GC15" s="155">
        <v>1.67742166179159</v>
      </c>
      <c r="GD15" s="155">
        <v>1.8024538077721299</v>
      </c>
      <c r="GE15" s="155">
        <v>1.7380401050699299</v>
      </c>
      <c r="GF15" s="155">
        <v>3.18869221335548</v>
      </c>
      <c r="GG15" s="155">
        <v>2.3992006002006301</v>
      </c>
      <c r="GH15" s="155">
        <v>2.2959224336638999</v>
      </c>
      <c r="GI15" s="155">
        <v>2.1186873371086699</v>
      </c>
      <c r="GJ15" s="155">
        <v>2.0296473639271699</v>
      </c>
      <c r="GK15" s="155">
        <v>2.96586297570233</v>
      </c>
      <c r="GL15" s="155">
        <v>2.3531461057835301</v>
      </c>
      <c r="GM15" s="155">
        <v>1.81121325709351</v>
      </c>
      <c r="GN15" s="155">
        <v>1.4725840557462699</v>
      </c>
      <c r="GO15" s="155">
        <v>0.74819935270087801</v>
      </c>
      <c r="GP15" s="155">
        <v>1.21092154068675</v>
      </c>
      <c r="GQ15" s="155">
        <v>1.17451348025463</v>
      </c>
      <c r="GR15" s="155">
        <v>1.94668534229408</v>
      </c>
      <c r="GS15" s="155">
        <v>1.3142760448991999</v>
      </c>
      <c r="GT15" s="155">
        <v>1.3371548140260601</v>
      </c>
      <c r="GU15" s="155">
        <v>1.3365279816229401</v>
      </c>
      <c r="GV15" s="155">
        <v>1.07189400158166</v>
      </c>
      <c r="GW15" s="155">
        <v>1.5223018858408399</v>
      </c>
      <c r="GX15" s="155">
        <v>1.6800846979806701</v>
      </c>
      <c r="GY15" s="155">
        <v>0.91814025082081197</v>
      </c>
      <c r="GZ15" s="155">
        <v>1.2022108543122401</v>
      </c>
      <c r="HA15" s="155">
        <v>1.0644964174268099</v>
      </c>
      <c r="HB15" s="155">
        <v>0.99059797837097896</v>
      </c>
      <c r="HC15" s="155">
        <v>0.94121501948254604</v>
      </c>
      <c r="HD15" s="155">
        <v>0.96992489491769995</v>
      </c>
      <c r="HE15" s="155">
        <v>1.41184517757448</v>
      </c>
      <c r="HF15" s="155">
        <v>1.02862601488519</v>
      </c>
      <c r="HG15" s="155">
        <v>0.99161863097778402</v>
      </c>
      <c r="HH15" s="155">
        <v>0.84585530801130204</v>
      </c>
      <c r="HI15" s="155">
        <v>1.3886143157524</v>
      </c>
      <c r="HJ15" s="155">
        <v>1.50306033868702</v>
      </c>
      <c r="HK15" s="155">
        <v>1.0013323049784399</v>
      </c>
      <c r="HL15" s="155">
        <v>0.97897027578352402</v>
      </c>
      <c r="HM15" s="155">
        <v>0.72444981579316003</v>
      </c>
      <c r="HN15" s="155">
        <v>1.0744939912826199</v>
      </c>
      <c r="HO15" s="155">
        <v>0.91515069162045404</v>
      </c>
      <c r="HP15" s="155">
        <v>1.4063179001922299</v>
      </c>
      <c r="HQ15" s="155">
        <v>1.317337374816</v>
      </c>
      <c r="HR15" s="155">
        <v>1.0887401240291299</v>
      </c>
      <c r="HS15" s="155">
        <v>1.0114255037403901</v>
      </c>
      <c r="HT15" s="155">
        <v>0.79564148044449901</v>
      </c>
      <c r="HU15" s="155">
        <v>1.33044456077827</v>
      </c>
      <c r="HV15" s="155">
        <v>1.4033366277591299</v>
      </c>
      <c r="HW15" s="155">
        <v>1.1051893336283001</v>
      </c>
      <c r="HX15" s="155">
        <v>0.92371929871987102</v>
      </c>
      <c r="HY15" s="155">
        <v>1.07161516395062</v>
      </c>
      <c r="HZ15" s="155">
        <v>0.806450492634877</v>
      </c>
      <c r="IA15" s="155">
        <v>1.1998633396079801</v>
      </c>
      <c r="IB15" s="155">
        <v>1.6569419895612501</v>
      </c>
      <c r="IC15" s="155">
        <v>1.0393543169946799</v>
      </c>
      <c r="ID15" s="155">
        <v>1.08967634235111</v>
      </c>
      <c r="IE15" s="155">
        <v>0.88394912006430404</v>
      </c>
    </row>
    <row r="16" spans="1:275" s="142" customFormat="1" ht="16.5" customHeight="1">
      <c r="A16" s="147" t="s">
        <v>201</v>
      </c>
      <c r="B16" s="147"/>
      <c r="C16" s="155">
        <v>2.2180584750509835</v>
      </c>
      <c r="D16" s="155">
        <v>1.8823855762192647</v>
      </c>
      <c r="E16" s="155">
        <v>2.7394424472483867</v>
      </c>
      <c r="F16" s="155">
        <v>1.9324715111871025</v>
      </c>
      <c r="G16" s="155">
        <v>2.0496343196790652</v>
      </c>
      <c r="H16" s="155">
        <v>4.9631806827004157</v>
      </c>
      <c r="I16" s="155">
        <v>3.8098514427650212</v>
      </c>
      <c r="J16" s="155">
        <v>2.672877286494967</v>
      </c>
      <c r="K16" s="155">
        <v>1.9355825682123569</v>
      </c>
      <c r="L16" s="155">
        <v>1.8179940340783487</v>
      </c>
      <c r="M16" s="155">
        <v>2.0928781512490708</v>
      </c>
      <c r="N16" s="155">
        <v>2.0204058488377519</v>
      </c>
      <c r="O16" s="155">
        <v>2.3991341455681807</v>
      </c>
      <c r="P16" s="155">
        <v>2.0685908757698388</v>
      </c>
      <c r="Q16" s="155">
        <v>1.7077283620012293</v>
      </c>
      <c r="R16" s="155">
        <v>1.7870986644502465</v>
      </c>
      <c r="S16" s="155">
        <v>2.4398168185044722</v>
      </c>
      <c r="T16" s="155">
        <v>4.181524901173832</v>
      </c>
      <c r="U16" s="155">
        <v>3.1212133341592412</v>
      </c>
      <c r="V16" s="155">
        <v>2.3255989850231162</v>
      </c>
      <c r="W16" s="155">
        <v>2.0069322833969556</v>
      </c>
      <c r="X16" s="155">
        <v>2.0048452516955275</v>
      </c>
      <c r="Y16" s="155">
        <v>2.1905137042741574</v>
      </c>
      <c r="Z16" s="155">
        <v>1.8724684375778888</v>
      </c>
      <c r="AA16" s="155">
        <v>1.8622485897630185</v>
      </c>
      <c r="AB16" s="155">
        <v>1.58745713792609</v>
      </c>
      <c r="AC16" s="155">
        <v>1.2333592764192258</v>
      </c>
      <c r="AD16" s="155">
        <v>1.1159287589849478</v>
      </c>
      <c r="AE16" s="155">
        <v>1.7232606696393753</v>
      </c>
      <c r="AF16" s="155">
        <v>3.0203373826994775</v>
      </c>
      <c r="AG16" s="155">
        <v>1.6975764443325474</v>
      </c>
      <c r="AH16" s="155">
        <v>1.2541400429727427</v>
      </c>
      <c r="AI16" s="155">
        <v>1.2420367551443026</v>
      </c>
      <c r="AJ16" s="155">
        <v>1.5453293300511051</v>
      </c>
      <c r="AK16" s="155">
        <v>1.9379611799632637</v>
      </c>
      <c r="AL16" s="155">
        <v>1.6830271560262202</v>
      </c>
      <c r="AM16" s="155">
        <v>1.4768447052925573</v>
      </c>
      <c r="AN16" s="155">
        <v>1.6858631974360674</v>
      </c>
      <c r="AO16" s="155">
        <v>1.6136989885641828</v>
      </c>
      <c r="AP16" s="155">
        <v>1.6886409990112328</v>
      </c>
      <c r="AQ16" s="155">
        <v>2.0908210545562413</v>
      </c>
      <c r="AR16" s="155">
        <v>3.327190835502142</v>
      </c>
      <c r="AS16" s="155">
        <v>2.0450868963966689</v>
      </c>
      <c r="AT16" s="155">
        <v>1.7896326395308526</v>
      </c>
      <c r="AU16" s="155">
        <v>2.0801645941282869</v>
      </c>
      <c r="AV16" s="155">
        <v>1.9882132042222069</v>
      </c>
      <c r="AW16" s="155">
        <v>2.0696092875325998</v>
      </c>
      <c r="AX16" s="155">
        <v>2.1606789743014212</v>
      </c>
      <c r="AY16" s="155">
        <v>2.7253488886797803</v>
      </c>
      <c r="AZ16" s="155">
        <v>2.4377121999511764</v>
      </c>
      <c r="BA16" s="155">
        <v>2.0498750714847693</v>
      </c>
      <c r="BB16" s="155">
        <v>1.9514705795132945</v>
      </c>
      <c r="BC16" s="155">
        <v>2.9036167364587158</v>
      </c>
      <c r="BD16" s="155">
        <v>4.0650604152873893</v>
      </c>
      <c r="BE16" s="155">
        <v>2.2455269278683145</v>
      </c>
      <c r="BF16" s="155">
        <v>2.5582494885637503</v>
      </c>
      <c r="BG16" s="155">
        <v>2.332810018757034</v>
      </c>
      <c r="BH16" s="155">
        <v>2.1661091874168257</v>
      </c>
      <c r="BI16" s="155">
        <v>2.1637799635474901</v>
      </c>
      <c r="BJ16" s="155">
        <v>1.8556274293557371</v>
      </c>
      <c r="BK16" s="155">
        <v>1.6062256817172569</v>
      </c>
      <c r="BL16" s="155">
        <v>1.5611760485639554</v>
      </c>
      <c r="BM16" s="155">
        <v>1.3610471843397194</v>
      </c>
      <c r="BN16" s="155">
        <v>1.3673026855996602</v>
      </c>
      <c r="BO16" s="155">
        <v>2.245344039747363</v>
      </c>
      <c r="BP16" s="155">
        <v>2.9751051593738111</v>
      </c>
      <c r="BQ16" s="155">
        <v>2.0241470558112988</v>
      </c>
      <c r="BR16" s="155">
        <v>1.7177893388229486</v>
      </c>
      <c r="BS16" s="155">
        <v>1.699956805122558</v>
      </c>
      <c r="BT16" s="155">
        <v>2.8287545284874542</v>
      </c>
      <c r="BU16" s="155">
        <v>1.6097331794455376</v>
      </c>
      <c r="BV16" s="155">
        <v>1.7010208918926688</v>
      </c>
      <c r="BW16" s="155">
        <v>1.5588642866574216</v>
      </c>
      <c r="BX16" s="155">
        <v>1.6163007174810975</v>
      </c>
      <c r="BY16" s="155">
        <v>1.3830519632395903</v>
      </c>
      <c r="BZ16" s="155">
        <v>1.2552319103307443</v>
      </c>
      <c r="CA16" s="155">
        <v>1.8885240997335337</v>
      </c>
      <c r="CB16" s="155">
        <v>2.8329510255989421</v>
      </c>
      <c r="CC16" s="155">
        <v>2.2020259144120891</v>
      </c>
      <c r="CD16" s="155">
        <v>2.4392194014598219</v>
      </c>
      <c r="CE16" s="155">
        <v>1.7520208508264461</v>
      </c>
      <c r="CF16" s="155">
        <v>2.0305974131686884</v>
      </c>
      <c r="CG16" s="155">
        <v>1.8824539887088183</v>
      </c>
      <c r="CH16" s="155">
        <v>1.7018373091021988</v>
      </c>
      <c r="CI16" s="155">
        <v>1.9960407146846486</v>
      </c>
      <c r="CJ16" s="155">
        <v>1.7056612872031196</v>
      </c>
      <c r="CK16" s="155">
        <v>2.0535088539069171</v>
      </c>
      <c r="CL16" s="155">
        <v>1.9489118627022743</v>
      </c>
      <c r="CM16" s="155">
        <v>1.8068526365723452</v>
      </c>
      <c r="CN16" s="155">
        <v>3.8632644599511572</v>
      </c>
      <c r="CO16" s="155">
        <v>2.624768121983549</v>
      </c>
      <c r="CP16" s="155">
        <v>2.134632782750292</v>
      </c>
      <c r="CQ16" s="155">
        <v>1.7428099108604518</v>
      </c>
      <c r="CR16" s="155">
        <v>2.1766530137724174</v>
      </c>
      <c r="CS16" s="155">
        <v>1.8901077590892472</v>
      </c>
      <c r="CT16" s="155">
        <v>2.6131075868717999</v>
      </c>
      <c r="CU16" s="155">
        <v>2.1129932287810735</v>
      </c>
      <c r="CV16" s="155">
        <v>1.497582264069131</v>
      </c>
      <c r="CW16" s="155">
        <v>1.8862054482747606</v>
      </c>
      <c r="CX16" s="155">
        <v>1.7028336007103568</v>
      </c>
      <c r="CY16" s="155">
        <v>1.8791221814711738</v>
      </c>
      <c r="CZ16" s="155">
        <v>3.9986011326396356</v>
      </c>
      <c r="DA16" s="155">
        <v>1.9336506142172236</v>
      </c>
      <c r="DB16" s="155">
        <v>1.5357393037559033</v>
      </c>
      <c r="DC16" s="155">
        <v>1.7150926138044835</v>
      </c>
      <c r="DD16" s="155">
        <v>1.4990730446099549</v>
      </c>
      <c r="DE16" s="155">
        <v>1.9900441475967792</v>
      </c>
      <c r="DF16" s="155">
        <v>1.6565238980866068</v>
      </c>
      <c r="DG16" s="155">
        <v>1.5763813686237638</v>
      </c>
      <c r="DH16" s="155">
        <v>1.428624751857295</v>
      </c>
      <c r="DI16" s="155">
        <v>1.2670757680061073</v>
      </c>
      <c r="DJ16" s="155">
        <v>2.033421503257328</v>
      </c>
      <c r="DK16" s="155">
        <v>2.4260395350932629</v>
      </c>
      <c r="DL16" s="155">
        <v>3.3018920502714177</v>
      </c>
      <c r="DM16" s="155">
        <v>2.2372230328771443</v>
      </c>
      <c r="DN16" s="155">
        <v>1.5615385184593804</v>
      </c>
      <c r="DO16" s="155">
        <v>1.669249127942098</v>
      </c>
      <c r="DP16" s="155">
        <v>1.5309433143726481</v>
      </c>
      <c r="DQ16" s="155">
        <v>1.7861446636425926</v>
      </c>
      <c r="DR16" s="155">
        <v>1.8035156792670906</v>
      </c>
      <c r="DS16" s="155">
        <v>1.7137056520688378</v>
      </c>
      <c r="DT16" s="155">
        <v>1.6814515302686355</v>
      </c>
      <c r="DU16" s="155">
        <v>1.3109780767224344</v>
      </c>
      <c r="DV16" s="155">
        <v>1.43548777412121</v>
      </c>
      <c r="DW16" s="155">
        <v>1.8237590170699991</v>
      </c>
      <c r="DX16" s="155">
        <v>3.3083777326907051</v>
      </c>
      <c r="DY16" s="155">
        <v>2.5400404390791911</v>
      </c>
      <c r="DZ16" s="155">
        <v>1.9375485583819685</v>
      </c>
      <c r="EA16" s="155">
        <v>1.9390877546198055</v>
      </c>
      <c r="EB16" s="155">
        <v>1.5209703064110363</v>
      </c>
      <c r="EC16" s="155">
        <v>2.2536286497890967</v>
      </c>
      <c r="ED16" s="155">
        <v>1.5144683053924219</v>
      </c>
      <c r="EE16" s="155">
        <v>1.815682823186707</v>
      </c>
      <c r="EF16" s="155">
        <v>1.3326308368933122</v>
      </c>
      <c r="EG16" s="155">
        <v>1.5171053158158407</v>
      </c>
      <c r="EH16" s="155">
        <v>1.6412068258708834</v>
      </c>
      <c r="EI16" s="155">
        <v>1.8324903927090388</v>
      </c>
      <c r="EJ16" s="155">
        <v>2.9621613164953491</v>
      </c>
      <c r="EK16" s="155">
        <v>1.5877690996116891</v>
      </c>
      <c r="EL16" s="155">
        <v>1.6907078884617222</v>
      </c>
      <c r="EM16" s="155">
        <v>1.5929016016358881</v>
      </c>
      <c r="EN16" s="155">
        <v>1.1315319515486442</v>
      </c>
      <c r="EO16" s="155">
        <v>1.3652038205003003</v>
      </c>
      <c r="EP16" s="155">
        <v>1.4907789689672877</v>
      </c>
      <c r="EQ16" s="155">
        <v>1.3374075881225203</v>
      </c>
      <c r="ER16" s="155">
        <v>1.0592675652684385</v>
      </c>
      <c r="ES16" s="155">
        <v>0.74922316724562399</v>
      </c>
      <c r="ET16" s="155">
        <v>1.2636747916097677</v>
      </c>
      <c r="EU16" s="155">
        <v>1.108148697341351</v>
      </c>
      <c r="EV16" s="155">
        <v>2.8042277364391999</v>
      </c>
      <c r="EW16" s="155">
        <v>1.9203860497231457</v>
      </c>
      <c r="EX16" s="155">
        <v>1.4348055441452336</v>
      </c>
      <c r="EY16" s="155">
        <v>1.1512626251297489</v>
      </c>
      <c r="EZ16" s="155">
        <v>1.1799698539392631</v>
      </c>
      <c r="FA16" s="155">
        <v>1.5208023903235317</v>
      </c>
      <c r="FB16" s="155">
        <v>1.2641573304124201</v>
      </c>
      <c r="FC16" s="155">
        <v>1.3226913045456816</v>
      </c>
      <c r="FD16" s="155">
        <v>1.1826207942093832</v>
      </c>
      <c r="FE16" s="155">
        <v>1.2077589643124231</v>
      </c>
      <c r="FF16" s="155">
        <v>1.1660859088480484</v>
      </c>
      <c r="FG16" s="155">
        <v>1.4963862943559862</v>
      </c>
      <c r="FH16" s="155">
        <v>1.6496839415250499</v>
      </c>
      <c r="FI16" s="155">
        <v>0.45381343135263902</v>
      </c>
      <c r="FJ16" s="155">
        <v>0.325871399262182</v>
      </c>
      <c r="FK16" s="155">
        <v>0.74599240454452997</v>
      </c>
      <c r="FL16" s="155">
        <v>0.66144067335795997</v>
      </c>
      <c r="FM16" s="155">
        <v>0.73450376722134303</v>
      </c>
      <c r="FN16" s="155">
        <v>0.62786583250783001</v>
      </c>
      <c r="FO16" s="155">
        <v>0.81171611452561199</v>
      </c>
      <c r="FP16" s="155">
        <v>0.74647328490486498</v>
      </c>
      <c r="FQ16" s="155">
        <v>0.81503235285497</v>
      </c>
      <c r="FR16" s="155">
        <v>0.97936899165354596</v>
      </c>
      <c r="FS16" s="155">
        <v>1.29881304545661</v>
      </c>
      <c r="FT16" s="155">
        <v>2.2666934261074601</v>
      </c>
      <c r="FU16" s="155">
        <v>1.6512324321540399</v>
      </c>
      <c r="FV16" s="155">
        <v>1.33346416014633</v>
      </c>
      <c r="FW16" s="155">
        <v>1.2369639825234899</v>
      </c>
      <c r="FX16" s="155">
        <v>1.2968912123234999</v>
      </c>
      <c r="FY16" s="155">
        <v>1.95077824880344</v>
      </c>
      <c r="FZ16" s="155">
        <v>1.6377243296731301</v>
      </c>
      <c r="GA16" s="155">
        <v>1.6444877740619701</v>
      </c>
      <c r="GB16" s="155">
        <v>1.73922347989044</v>
      </c>
      <c r="GC16" s="155">
        <v>1.46614581877946</v>
      </c>
      <c r="GD16" s="155">
        <v>1.71584829686213</v>
      </c>
      <c r="GE16" s="155">
        <v>2.6047029843310798</v>
      </c>
      <c r="GF16" s="155">
        <v>3.2797640714260399</v>
      </c>
      <c r="GG16" s="155">
        <v>2.1907762427445201</v>
      </c>
      <c r="GH16" s="155">
        <v>2.0549761751392999</v>
      </c>
      <c r="GI16" s="155">
        <v>2.0385263975694801</v>
      </c>
      <c r="GJ16" s="155">
        <v>1.76976693664935</v>
      </c>
      <c r="GK16" s="155">
        <v>2.1118238004993102</v>
      </c>
      <c r="GL16" s="155">
        <v>1.8184645184158099</v>
      </c>
      <c r="GM16" s="155">
        <v>1.7341816242787</v>
      </c>
      <c r="GN16" s="155">
        <v>1.72341469375068</v>
      </c>
      <c r="GO16" s="155">
        <v>0.99379657422493906</v>
      </c>
      <c r="GP16" s="155">
        <v>1.5421753380821901</v>
      </c>
      <c r="GQ16" s="155">
        <v>1.65818080009786</v>
      </c>
      <c r="GR16" s="155">
        <v>3.05653330786929</v>
      </c>
      <c r="GS16" s="155">
        <v>2.0005167049543799</v>
      </c>
      <c r="GT16" s="155">
        <v>1.57009751850267</v>
      </c>
      <c r="GU16" s="155">
        <v>1.6172932480686499</v>
      </c>
      <c r="GV16" s="155">
        <v>1.46787764136681</v>
      </c>
      <c r="GW16" s="155">
        <v>1.59711238729773</v>
      </c>
      <c r="GX16" s="155">
        <v>1.2744715438504099</v>
      </c>
      <c r="GY16" s="155">
        <v>1.2846361332360801</v>
      </c>
      <c r="GZ16" s="155">
        <v>1.2632375688039601</v>
      </c>
      <c r="HA16" s="155">
        <v>0.88268780491912202</v>
      </c>
      <c r="HB16" s="155">
        <v>1.1988460522514399</v>
      </c>
      <c r="HC16" s="155">
        <v>1.50670788958576</v>
      </c>
      <c r="HD16" s="155">
        <v>1.92433744142421</v>
      </c>
      <c r="HE16" s="155">
        <v>1.3302366196240401</v>
      </c>
      <c r="HF16" s="155">
        <v>1.3080873116227201</v>
      </c>
      <c r="HG16" s="155">
        <v>1.1854527495432701</v>
      </c>
      <c r="HH16" s="155">
        <v>1.1332557078980301</v>
      </c>
      <c r="HI16" s="155">
        <v>1.4586052521164701</v>
      </c>
      <c r="HJ16" s="155">
        <v>1.1340093993981999</v>
      </c>
      <c r="HK16" s="155">
        <v>1.43230605177957</v>
      </c>
      <c r="HL16" s="155">
        <v>1.1292866113028299</v>
      </c>
      <c r="HM16" s="155">
        <v>1.0024775985489001</v>
      </c>
      <c r="HN16" s="155">
        <v>1.2666006972080699</v>
      </c>
      <c r="HO16" s="155">
        <v>1.7024721439897801</v>
      </c>
      <c r="HP16" s="155">
        <v>1.8523138575478699</v>
      </c>
      <c r="HQ16" s="155">
        <v>1.33612070482705</v>
      </c>
      <c r="HR16" s="155">
        <v>1.35365879134635</v>
      </c>
      <c r="HS16" s="155">
        <v>1.3588601211955</v>
      </c>
      <c r="HT16" s="155">
        <v>1.2429284051637599</v>
      </c>
      <c r="HU16" s="155">
        <v>1.5519663499841101</v>
      </c>
      <c r="HV16" s="155">
        <v>1.4158270737823999</v>
      </c>
      <c r="HW16" s="155">
        <v>1.44438466352129</v>
      </c>
      <c r="HX16" s="155">
        <v>1.3241177158347699</v>
      </c>
      <c r="HY16" s="155">
        <v>1.1855007452911399</v>
      </c>
      <c r="HZ16" s="155">
        <v>1.0857182457699199</v>
      </c>
      <c r="IA16" s="155">
        <v>1.7179660449908301</v>
      </c>
      <c r="IB16" s="155">
        <v>2.2527088973317002</v>
      </c>
      <c r="IC16" s="155">
        <v>1.61296111052297</v>
      </c>
      <c r="ID16" s="155">
        <v>1.4037179017877801</v>
      </c>
      <c r="IE16" s="155">
        <v>1.5387716758495</v>
      </c>
    </row>
    <row r="17" spans="1:239" s="142" customFormat="1" ht="16.5" customHeight="1">
      <c r="A17" s="147" t="s">
        <v>202</v>
      </c>
      <c r="B17" s="154"/>
      <c r="C17" s="155">
        <v>3.1677784605339139</v>
      </c>
      <c r="D17" s="155">
        <v>3.3462264854415684</v>
      </c>
      <c r="E17" s="155">
        <v>3.3742050860385833</v>
      </c>
      <c r="F17" s="155">
        <v>3.5102655079370444</v>
      </c>
      <c r="G17" s="155">
        <v>3.0829816403638586</v>
      </c>
      <c r="H17" s="155">
        <v>3.5652804412849521</v>
      </c>
      <c r="I17" s="155">
        <v>2.8779821130256762</v>
      </c>
      <c r="J17" s="155">
        <v>3.5213439065632679</v>
      </c>
      <c r="K17" s="155">
        <v>3.3782416703881419</v>
      </c>
      <c r="L17" s="155">
        <v>3.7558089800836152</v>
      </c>
      <c r="M17" s="155">
        <v>3.5180831990538843</v>
      </c>
      <c r="N17" s="155">
        <v>3.5894033462373174</v>
      </c>
      <c r="O17" s="155">
        <v>3.7184074529055549</v>
      </c>
      <c r="P17" s="155">
        <v>4.1800789525505699</v>
      </c>
      <c r="Q17" s="155">
        <v>2.8513526207852515</v>
      </c>
      <c r="R17" s="155">
        <v>3.6845279754429203</v>
      </c>
      <c r="S17" s="155">
        <v>4.2890028546177597</v>
      </c>
      <c r="T17" s="155">
        <v>3.8604478992085571</v>
      </c>
      <c r="U17" s="155">
        <v>4.4985034781047926</v>
      </c>
      <c r="V17" s="155">
        <v>3.7495572613140924</v>
      </c>
      <c r="W17" s="155">
        <v>2.9785928280255241</v>
      </c>
      <c r="X17" s="155">
        <v>3.95742239245565</v>
      </c>
      <c r="Y17" s="155">
        <v>2.9620536698233617</v>
      </c>
      <c r="Z17" s="155">
        <v>3.0442495861488412</v>
      </c>
      <c r="AA17" s="155">
        <v>2.9127330361379986</v>
      </c>
      <c r="AB17" s="155">
        <v>2.6624962060740187</v>
      </c>
      <c r="AC17" s="155">
        <v>2.61528304559722</v>
      </c>
      <c r="AD17" s="155">
        <v>2.1177979876883795</v>
      </c>
      <c r="AE17" s="155">
        <v>2.1341573423871627</v>
      </c>
      <c r="AF17" s="155">
        <v>1.9507461373999495</v>
      </c>
      <c r="AG17" s="155">
        <v>2.4866228612058583</v>
      </c>
      <c r="AH17" s="155">
        <v>1.9650330323446832</v>
      </c>
      <c r="AI17" s="155">
        <v>1.7362111286208342</v>
      </c>
      <c r="AJ17" s="155">
        <v>2.1953862544433971</v>
      </c>
      <c r="AK17" s="155">
        <v>2.0237704178142235</v>
      </c>
      <c r="AL17" s="155">
        <v>2.5364265304748295</v>
      </c>
      <c r="AM17" s="155">
        <v>2.7336920552046768</v>
      </c>
      <c r="AN17" s="155">
        <v>2.674179299897395</v>
      </c>
      <c r="AO17" s="155">
        <v>2.3609378258270803</v>
      </c>
      <c r="AP17" s="155">
        <v>2.8038393025642483</v>
      </c>
      <c r="AQ17" s="155">
        <v>3.0803077806308785</v>
      </c>
      <c r="AR17" s="155">
        <v>3.4905038435482547</v>
      </c>
      <c r="AS17" s="155">
        <v>3.6293516823103023</v>
      </c>
      <c r="AT17" s="155">
        <v>3.0554487595851314</v>
      </c>
      <c r="AU17" s="155">
        <v>2.8718494850017717</v>
      </c>
      <c r="AV17" s="155">
        <v>2.7725176572505457</v>
      </c>
      <c r="AW17" s="155">
        <v>3.1562498334157021</v>
      </c>
      <c r="AX17" s="155">
        <v>2.9457760415427727</v>
      </c>
      <c r="AY17" s="155">
        <v>3.1920964643982765</v>
      </c>
      <c r="AZ17" s="155">
        <v>3.0069038998399895</v>
      </c>
      <c r="BA17" s="155">
        <v>3.0167180249764174</v>
      </c>
      <c r="BB17" s="155">
        <v>3.9485674752315236</v>
      </c>
      <c r="BC17" s="155">
        <v>3.1781215702531869</v>
      </c>
      <c r="BD17" s="155">
        <v>3.1124335850036307</v>
      </c>
      <c r="BE17" s="155">
        <v>3.2143524875824561</v>
      </c>
      <c r="BF17" s="155">
        <v>3.3736251493107785</v>
      </c>
      <c r="BG17" s="155">
        <v>3.417976309812623</v>
      </c>
      <c r="BH17" s="155">
        <v>3.6168337271174642</v>
      </c>
      <c r="BI17" s="155">
        <v>3.1871743780111461</v>
      </c>
      <c r="BJ17" s="155">
        <v>3.1136062739268455</v>
      </c>
      <c r="BK17" s="155">
        <v>2.9853944020433705</v>
      </c>
      <c r="BL17" s="155">
        <v>3.2065511867229342</v>
      </c>
      <c r="BM17" s="155">
        <v>3.0728209959073332</v>
      </c>
      <c r="BN17" s="155">
        <v>3.334269503016738</v>
      </c>
      <c r="BO17" s="155">
        <v>2.7732337113701315</v>
      </c>
      <c r="BP17" s="155">
        <v>3.4216427403695198</v>
      </c>
      <c r="BQ17" s="155">
        <v>2.3244565696048554</v>
      </c>
      <c r="BR17" s="155">
        <v>2.3679260262631976</v>
      </c>
      <c r="BS17" s="155">
        <v>2.7958252925933285</v>
      </c>
      <c r="BT17" s="155">
        <v>2.3995989479273314</v>
      </c>
      <c r="BU17" s="155">
        <v>2.3087533172513393</v>
      </c>
      <c r="BV17" s="155">
        <v>2.7220960395519556</v>
      </c>
      <c r="BW17" s="155">
        <v>2.3092370839539318</v>
      </c>
      <c r="BX17" s="155">
        <v>2.8765704956558413</v>
      </c>
      <c r="BY17" s="155">
        <v>2.4211967115412381</v>
      </c>
      <c r="BZ17" s="155">
        <v>2.6687843653933063</v>
      </c>
      <c r="CA17" s="155">
        <v>2.201579902949899</v>
      </c>
      <c r="CB17" s="155">
        <v>2.5841028512748361</v>
      </c>
      <c r="CC17" s="155">
        <v>3.1036697428763049</v>
      </c>
      <c r="CD17" s="155">
        <v>2.123287488399769</v>
      </c>
      <c r="CE17" s="155">
        <v>2.2801293373371538</v>
      </c>
      <c r="CF17" s="155">
        <v>2.9459084346146591</v>
      </c>
      <c r="CG17" s="155">
        <v>2.2864387251579568</v>
      </c>
      <c r="CH17" s="155">
        <v>2.2091540789012938</v>
      </c>
      <c r="CI17" s="155">
        <v>2.5730599180368645</v>
      </c>
      <c r="CJ17" s="155">
        <v>2.5044853848318054</v>
      </c>
      <c r="CK17" s="155">
        <v>2.0609655593463994</v>
      </c>
      <c r="CL17" s="155">
        <v>2.8345519937342956</v>
      </c>
      <c r="CM17" s="155">
        <v>2.1956609927104305</v>
      </c>
      <c r="CN17" s="155">
        <v>2.1587197397076929</v>
      </c>
      <c r="CO17" s="155">
        <v>2.3686607946248328</v>
      </c>
      <c r="CP17" s="155">
        <v>1.6737536650961375</v>
      </c>
      <c r="CQ17" s="155">
        <v>2.2442351774906646</v>
      </c>
      <c r="CR17" s="155">
        <v>2.3117180987927965</v>
      </c>
      <c r="CS17" s="155">
        <v>1.8465236727943219</v>
      </c>
      <c r="CT17" s="155">
        <v>2.0967834792724038</v>
      </c>
      <c r="CU17" s="155">
        <v>2.5855974453131063</v>
      </c>
      <c r="CV17" s="155">
        <v>2.3954597790287262</v>
      </c>
      <c r="CW17" s="155">
        <v>2.838971554363789</v>
      </c>
      <c r="CX17" s="155">
        <v>2.4902440103954753</v>
      </c>
      <c r="CY17" s="155">
        <v>2.0317136497746664</v>
      </c>
      <c r="CZ17" s="155">
        <v>2.358157247712465</v>
      </c>
      <c r="DA17" s="155">
        <v>2.3631003380876483</v>
      </c>
      <c r="DB17" s="155">
        <v>2.144140334707656</v>
      </c>
      <c r="DC17" s="155">
        <v>2.2664216995878861</v>
      </c>
      <c r="DD17" s="155">
        <v>2.6232136075681907</v>
      </c>
      <c r="DE17" s="155">
        <v>2.0234661265765266</v>
      </c>
      <c r="DF17" s="155">
        <v>2.2945674986286488</v>
      </c>
      <c r="DG17" s="155">
        <v>2.327652579743428</v>
      </c>
      <c r="DH17" s="155">
        <v>2.168791587818987</v>
      </c>
      <c r="DI17" s="155">
        <v>2.3900672939282259</v>
      </c>
      <c r="DJ17" s="155">
        <v>2.3344478732338985</v>
      </c>
      <c r="DK17" s="155">
        <v>2.0957911433015597</v>
      </c>
      <c r="DL17" s="155">
        <v>2.1062887152339607</v>
      </c>
      <c r="DM17" s="155">
        <v>2.0578002410338283</v>
      </c>
      <c r="DN17" s="155">
        <v>2.0942354793333391</v>
      </c>
      <c r="DO17" s="155">
        <v>2.0252651983877246</v>
      </c>
      <c r="DP17" s="155">
        <v>2.0267248368790276</v>
      </c>
      <c r="DQ17" s="155">
        <v>1.9295747872149962</v>
      </c>
      <c r="DR17" s="155">
        <v>2.0873510900491103</v>
      </c>
      <c r="DS17" s="155">
        <v>2.1790454105272876</v>
      </c>
      <c r="DT17" s="155">
        <v>2.2735384813919315</v>
      </c>
      <c r="DU17" s="155">
        <v>2.1443020452254631</v>
      </c>
      <c r="DV17" s="155">
        <v>3.0188319666981296</v>
      </c>
      <c r="DW17" s="155">
        <v>2.1735084747926279</v>
      </c>
      <c r="DX17" s="155">
        <v>2.4778915217160713</v>
      </c>
      <c r="DY17" s="155">
        <v>2.3173433610622785</v>
      </c>
      <c r="DZ17" s="155">
        <v>1.9513885996761084</v>
      </c>
      <c r="EA17" s="155">
        <v>2.0369766829272979</v>
      </c>
      <c r="EB17" s="155">
        <v>2.1117666673731454</v>
      </c>
      <c r="EC17" s="155">
        <v>2.0036196850094812</v>
      </c>
      <c r="ED17" s="155">
        <v>1.9149366636061076</v>
      </c>
      <c r="EE17" s="155">
        <v>2.1396887020143751</v>
      </c>
      <c r="EF17" s="155">
        <v>2.1853010901921968</v>
      </c>
      <c r="EG17" s="155">
        <v>2.1044817700117942</v>
      </c>
      <c r="EH17" s="155">
        <v>2.3763762751391497</v>
      </c>
      <c r="EI17" s="155">
        <v>2.1614195719135578</v>
      </c>
      <c r="EJ17" s="155">
        <v>2.0689164107739746</v>
      </c>
      <c r="EK17" s="155">
        <v>1.8612627009286544</v>
      </c>
      <c r="EL17" s="155">
        <v>1.7147917154343595</v>
      </c>
      <c r="EM17" s="155">
        <v>1.5781306845876326</v>
      </c>
      <c r="EN17" s="155">
        <v>1.5477554424670281</v>
      </c>
      <c r="EO17" s="155">
        <v>1.7008084804389929</v>
      </c>
      <c r="EP17" s="155">
        <v>1.3802127130850887</v>
      </c>
      <c r="EQ17" s="155">
        <v>1.4794572860937816</v>
      </c>
      <c r="ER17" s="155">
        <v>1.4710751052113225</v>
      </c>
      <c r="ES17" s="155">
        <v>1.2726857521086896</v>
      </c>
      <c r="ET17" s="155">
        <v>1.9709534841534755</v>
      </c>
      <c r="EU17" s="155">
        <v>1.8363595239862445</v>
      </c>
      <c r="EV17" s="155">
        <v>1.9147044335324805</v>
      </c>
      <c r="EW17" s="155">
        <v>1.5662933295908981</v>
      </c>
      <c r="EX17" s="155">
        <v>1.6590363368192</v>
      </c>
      <c r="EY17" s="155">
        <v>1.5847946616192679</v>
      </c>
      <c r="EZ17" s="155">
        <v>1.5149775206528489</v>
      </c>
      <c r="FA17" s="155">
        <v>1.7315492976518898</v>
      </c>
      <c r="FB17" s="155">
        <v>1.6567487466300905</v>
      </c>
      <c r="FC17" s="155">
        <v>1.6402662196347815</v>
      </c>
      <c r="FD17" s="155">
        <v>1.6663006246429086</v>
      </c>
      <c r="FE17" s="155">
        <v>1.5595878081082521</v>
      </c>
      <c r="FF17" s="155">
        <v>1.6562904214243339</v>
      </c>
      <c r="FG17" s="155">
        <v>1.5727254275838602</v>
      </c>
      <c r="FH17" s="155">
        <v>1.28107966595818</v>
      </c>
      <c r="FI17" s="155">
        <v>0.32003212345926402</v>
      </c>
      <c r="FJ17" s="155">
        <v>0.36565412350582599</v>
      </c>
      <c r="FK17" s="155">
        <v>0.68707733171013397</v>
      </c>
      <c r="FL17" s="155">
        <v>0.87955206226578797</v>
      </c>
      <c r="FM17" s="155">
        <v>0.891945400247944</v>
      </c>
      <c r="FN17" s="155">
        <v>1.0460540840560999</v>
      </c>
      <c r="FO17" s="155">
        <v>1.2095275391535101</v>
      </c>
      <c r="FP17" s="155">
        <v>1.36830106187717</v>
      </c>
      <c r="FQ17" s="155">
        <v>1.43238537810914</v>
      </c>
      <c r="FR17" s="155">
        <v>1.6916318743315299</v>
      </c>
      <c r="FS17" s="155">
        <v>1.5277279457645701</v>
      </c>
      <c r="FT17" s="155">
        <v>1.9366868005978</v>
      </c>
      <c r="FU17" s="155">
        <v>1.6218785803484601</v>
      </c>
      <c r="FV17" s="155">
        <v>1.4001895243303399</v>
      </c>
      <c r="FW17" s="155">
        <v>1.2903709750819701</v>
      </c>
      <c r="FX17" s="155">
        <v>1.5936521420747001</v>
      </c>
      <c r="FY17" s="155">
        <v>1.87760767693313</v>
      </c>
      <c r="FZ17" s="155">
        <v>1.96676542915758</v>
      </c>
      <c r="GA17" s="155">
        <v>1.9089662707274</v>
      </c>
      <c r="GB17" s="155">
        <v>1.99717696352149</v>
      </c>
      <c r="GC17" s="155">
        <v>2.1188402003312099</v>
      </c>
      <c r="GD17" s="155">
        <v>2.55760475481955</v>
      </c>
      <c r="GE17" s="155">
        <v>2.1482488039032002</v>
      </c>
      <c r="GF17" s="155">
        <v>2.5165574553069501</v>
      </c>
      <c r="GG17" s="155">
        <v>2.2297851269588902</v>
      </c>
      <c r="GH17" s="155">
        <v>2.26010299549029</v>
      </c>
      <c r="GI17" s="155">
        <v>2.1637840376588402</v>
      </c>
      <c r="GJ17" s="155">
        <v>2.3438201779128698</v>
      </c>
      <c r="GK17" s="155">
        <v>2.1753783781497602</v>
      </c>
      <c r="GL17" s="155">
        <v>2.30324330602821</v>
      </c>
      <c r="GM17" s="155">
        <v>2.2300099360403101</v>
      </c>
      <c r="GN17" s="155">
        <v>2.5113072316931602</v>
      </c>
      <c r="GO17" s="155">
        <v>2.1279732790767301</v>
      </c>
      <c r="GP17" s="155">
        <v>2.65229662019996</v>
      </c>
      <c r="GQ17" s="155">
        <v>2.0937194176567901</v>
      </c>
      <c r="GR17" s="155">
        <v>2.5081882475323298</v>
      </c>
      <c r="GS17" s="155">
        <v>2.13389982495285</v>
      </c>
      <c r="GT17" s="155">
        <v>2.17313522620017</v>
      </c>
      <c r="GU17" s="155">
        <v>2.0971982628284498</v>
      </c>
      <c r="GV17" s="155">
        <v>1.9982092018250399</v>
      </c>
      <c r="GW17" s="155">
        <v>2.0815353909082499</v>
      </c>
      <c r="GX17" s="155">
        <v>1.9414685199168</v>
      </c>
      <c r="GY17" s="155">
        <v>1.6738942083914401</v>
      </c>
      <c r="GZ17" s="155">
        <v>1.7828225265451501</v>
      </c>
      <c r="HA17" s="155">
        <v>1.6021721015812</v>
      </c>
      <c r="HB17" s="155">
        <v>1.9308838557404</v>
      </c>
      <c r="HC17" s="155">
        <v>1.4202082241673399</v>
      </c>
      <c r="HD17" s="155">
        <v>1.3707957521815499</v>
      </c>
      <c r="HE17" s="155">
        <v>1.3667036068303899</v>
      </c>
      <c r="HF17" s="155">
        <v>1.23977225703981</v>
      </c>
      <c r="HG17" s="155">
        <v>1.31344645577339</v>
      </c>
      <c r="HH17" s="155">
        <v>1.7504027004573399</v>
      </c>
      <c r="HI17" s="155">
        <v>1.6799008128611601</v>
      </c>
      <c r="HJ17" s="155">
        <v>1.72777940418958</v>
      </c>
      <c r="HK17" s="155">
        <v>1.74551987447919</v>
      </c>
      <c r="HL17" s="155">
        <v>1.63425807926401</v>
      </c>
      <c r="HM17" s="155">
        <v>1.5290267696687001</v>
      </c>
      <c r="HN17" s="155">
        <v>1.92153100527625</v>
      </c>
      <c r="HO17" s="155">
        <v>1.6612320531898701</v>
      </c>
      <c r="HP17" s="155">
        <v>1.8168556715444</v>
      </c>
      <c r="HQ17" s="155">
        <v>1.85631372689457</v>
      </c>
      <c r="HR17" s="155">
        <v>1.7120324951513199</v>
      </c>
      <c r="HS17" s="155">
        <v>1.60748927055289</v>
      </c>
      <c r="HT17" s="155">
        <v>1.98628909938159</v>
      </c>
      <c r="HU17" s="155">
        <v>1.8350996956149801</v>
      </c>
      <c r="HV17" s="155">
        <v>1.91130164723934</v>
      </c>
      <c r="HW17" s="155">
        <v>2.1858404645988201</v>
      </c>
      <c r="HX17" s="155">
        <v>1.7167400694555099</v>
      </c>
      <c r="HY17" s="155">
        <v>1.94812527988384</v>
      </c>
      <c r="HZ17" s="155">
        <v>2.23321298336087</v>
      </c>
      <c r="IA17" s="155">
        <v>1.79262332074524</v>
      </c>
      <c r="IB17" s="155">
        <v>2.2429508090238399</v>
      </c>
      <c r="IC17" s="155">
        <v>2.03703783925108</v>
      </c>
      <c r="ID17" s="155">
        <v>2.0377978376619001</v>
      </c>
      <c r="IE17" s="155">
        <v>1.51830373719625</v>
      </c>
    </row>
    <row r="18" spans="1:239" s="142" customFormat="1" ht="16.5" customHeight="1">
      <c r="A18" s="152" t="s">
        <v>203</v>
      </c>
      <c r="B18" s="152"/>
      <c r="C18" s="156">
        <v>5.6768473786961922</v>
      </c>
      <c r="D18" s="156">
        <v>6.0580733603079997</v>
      </c>
      <c r="E18" s="156">
        <v>5.532023161213349</v>
      </c>
      <c r="F18" s="156">
        <v>6.6959953404160917</v>
      </c>
      <c r="G18" s="156">
        <v>5.5664702302386777</v>
      </c>
      <c r="H18" s="156">
        <v>6.1954896126980419</v>
      </c>
      <c r="I18" s="156">
        <v>5.4429411667147205</v>
      </c>
      <c r="J18" s="156">
        <v>6.1464715051835741</v>
      </c>
      <c r="K18" s="156">
        <v>4.8100068536627854</v>
      </c>
      <c r="L18" s="156">
        <v>4.7959954064153374</v>
      </c>
      <c r="M18" s="156">
        <v>4.5971585100888888</v>
      </c>
      <c r="N18" s="156">
        <v>5.2755081734009392</v>
      </c>
      <c r="O18" s="156">
        <v>6.5225391607554819</v>
      </c>
      <c r="P18" s="156">
        <v>9.9567492475713255</v>
      </c>
      <c r="Q18" s="156">
        <v>5.0297597163993251</v>
      </c>
      <c r="R18" s="156">
        <v>6.3263484082269796</v>
      </c>
      <c r="S18" s="156">
        <v>5.5147600215078718</v>
      </c>
      <c r="T18" s="156">
        <v>5.3306540974247802</v>
      </c>
      <c r="U18" s="156">
        <v>5.4793476731515156</v>
      </c>
      <c r="V18" s="156">
        <v>5.738861048681847</v>
      </c>
      <c r="W18" s="156">
        <v>4.8424042587721257</v>
      </c>
      <c r="X18" s="156">
        <v>5.6722203207687709</v>
      </c>
      <c r="Y18" s="156">
        <v>4.6307494194613232</v>
      </c>
      <c r="Z18" s="156">
        <v>4.2250308912371821</v>
      </c>
      <c r="AA18" s="156">
        <v>4.1128453260615929</v>
      </c>
      <c r="AB18" s="156">
        <v>4.3618577275355737</v>
      </c>
      <c r="AC18" s="156">
        <v>3.200252141752471</v>
      </c>
      <c r="AD18" s="156">
        <v>4.0025401665448461</v>
      </c>
      <c r="AE18" s="156">
        <v>3.6228784346534093</v>
      </c>
      <c r="AF18" s="156">
        <v>4.396153320686726</v>
      </c>
      <c r="AG18" s="156">
        <v>4.4937846866843341</v>
      </c>
      <c r="AH18" s="156">
        <v>3.7628239829687931</v>
      </c>
      <c r="AI18" s="156">
        <v>2.7201993254462211</v>
      </c>
      <c r="AJ18" s="156">
        <v>3.5454823990069708</v>
      </c>
      <c r="AK18" s="156">
        <v>3.2795931672395437</v>
      </c>
      <c r="AL18" s="156">
        <v>3.1778022561194539</v>
      </c>
      <c r="AM18" s="156">
        <v>3.9070416844803462</v>
      </c>
      <c r="AN18" s="156">
        <v>3.8462342477842069</v>
      </c>
      <c r="AO18" s="156">
        <v>4.3703805061394068</v>
      </c>
      <c r="AP18" s="156">
        <v>4.6177186295036368</v>
      </c>
      <c r="AQ18" s="156">
        <v>4.9804143816935991</v>
      </c>
      <c r="AR18" s="156">
        <v>5.0327351407800966</v>
      </c>
      <c r="AS18" s="156">
        <v>4.58891227873454</v>
      </c>
      <c r="AT18" s="156">
        <v>4.0961672487112377</v>
      </c>
      <c r="AU18" s="156">
        <v>5.0620272427188251</v>
      </c>
      <c r="AV18" s="156">
        <v>4.4723709129839415</v>
      </c>
      <c r="AW18" s="156">
        <v>5.1909281059996291</v>
      </c>
      <c r="AX18" s="156">
        <v>4.6780971788950314</v>
      </c>
      <c r="AY18" s="156">
        <v>4.115938714994507</v>
      </c>
      <c r="AZ18" s="156">
        <v>5.9309702081658493</v>
      </c>
      <c r="BA18" s="156">
        <v>5.5916296077566416</v>
      </c>
      <c r="BB18" s="156">
        <v>5.7286328600558543</v>
      </c>
      <c r="BC18" s="156">
        <v>4.675440610074352</v>
      </c>
      <c r="BD18" s="156">
        <v>4.2266095014669132</v>
      </c>
      <c r="BE18" s="156">
        <v>4.4382867768301928</v>
      </c>
      <c r="BF18" s="156">
        <v>3.9225626253290553</v>
      </c>
      <c r="BG18" s="156">
        <v>4.1214559451396608</v>
      </c>
      <c r="BH18" s="156">
        <v>4.4943831537621453</v>
      </c>
      <c r="BI18" s="156">
        <v>4.2601216173736596</v>
      </c>
      <c r="BJ18" s="156">
        <v>4.1254247686583039</v>
      </c>
      <c r="BK18" s="156">
        <v>4.5267809063559703</v>
      </c>
      <c r="BL18" s="156">
        <v>5.6134587494479309</v>
      </c>
      <c r="BM18" s="156">
        <v>7.5678986036277331</v>
      </c>
      <c r="BN18" s="156">
        <v>5.0852619498467204</v>
      </c>
      <c r="BO18" s="156">
        <v>3.9710419538440838</v>
      </c>
      <c r="BP18" s="156">
        <v>3.7778444205861641</v>
      </c>
      <c r="BQ18" s="156">
        <v>3.2420695165945519</v>
      </c>
      <c r="BR18" s="156">
        <v>3.2073232236846057</v>
      </c>
      <c r="BS18" s="156">
        <v>3.8043579320333141</v>
      </c>
      <c r="BT18" s="156">
        <v>3.3096559331840232</v>
      </c>
      <c r="BU18" s="156">
        <v>3.6081450974512959</v>
      </c>
      <c r="BV18" s="156">
        <v>4.0994219652611701</v>
      </c>
      <c r="BW18" s="156">
        <v>4.0969368177211605</v>
      </c>
      <c r="BX18" s="156">
        <v>4.2795082074717863</v>
      </c>
      <c r="BY18" s="156">
        <v>4.2684649367805916</v>
      </c>
      <c r="BZ18" s="156">
        <v>5.1398692952941989</v>
      </c>
      <c r="CA18" s="156">
        <v>4.4479501481911043</v>
      </c>
      <c r="CB18" s="156">
        <v>3.3804334072839963</v>
      </c>
      <c r="CC18" s="156">
        <v>4.6130610227304425</v>
      </c>
      <c r="CD18" s="156">
        <v>3.9584703178796108</v>
      </c>
      <c r="CE18" s="156">
        <v>3.8300845658249387</v>
      </c>
      <c r="CF18" s="156">
        <v>6.5115468191940113</v>
      </c>
      <c r="CG18" s="156">
        <v>3.9529050045612379</v>
      </c>
      <c r="CH18" s="156">
        <v>3.830493814419822</v>
      </c>
      <c r="CI18" s="156">
        <v>4.6692720782240311</v>
      </c>
      <c r="CJ18" s="156">
        <v>6.9356831162362589</v>
      </c>
      <c r="CK18" s="156">
        <v>5.2372890415474744</v>
      </c>
      <c r="CL18" s="156">
        <v>4.8593357942366762</v>
      </c>
      <c r="CM18" s="156">
        <v>3.9007829510442313</v>
      </c>
      <c r="CN18" s="156">
        <v>4.3853816935812073</v>
      </c>
      <c r="CO18" s="156">
        <v>4.4839306212525667</v>
      </c>
      <c r="CP18" s="156">
        <v>3.0809634901273375</v>
      </c>
      <c r="CQ18" s="156">
        <v>3.6394497300301567</v>
      </c>
      <c r="CR18" s="156">
        <v>4.08265705861327</v>
      </c>
      <c r="CS18" s="156">
        <v>3.2489849820902661</v>
      </c>
      <c r="CT18" s="156">
        <v>4.0636074592442855</v>
      </c>
      <c r="CU18" s="156">
        <v>3.8295144751123065</v>
      </c>
      <c r="CV18" s="156">
        <v>3.8700976252348278</v>
      </c>
      <c r="CW18" s="156">
        <v>4.629348107850392</v>
      </c>
      <c r="CX18" s="156">
        <v>4.4135420953424198</v>
      </c>
      <c r="CY18" s="156">
        <v>3.1347554963194884</v>
      </c>
      <c r="CZ18" s="156">
        <v>3.9996790126784978</v>
      </c>
      <c r="DA18" s="156">
        <v>3.889608347213902</v>
      </c>
      <c r="DB18" s="156">
        <v>4.0662552363839133</v>
      </c>
      <c r="DC18" s="156">
        <v>3.5753758799087847</v>
      </c>
      <c r="DD18" s="156">
        <v>3.5890103556635857</v>
      </c>
      <c r="DE18" s="156">
        <v>3.8501910224596134</v>
      </c>
      <c r="DF18" s="156">
        <v>3.6548585913725056</v>
      </c>
      <c r="DG18" s="156">
        <v>4.5527465792198081</v>
      </c>
      <c r="DH18" s="156">
        <v>3.7526711549683331</v>
      </c>
      <c r="DI18" s="156">
        <v>3.8367601715528292</v>
      </c>
      <c r="DJ18" s="156">
        <v>4.1393975755879016</v>
      </c>
      <c r="DK18" s="156">
        <v>3.144810972937262</v>
      </c>
      <c r="DL18" s="156">
        <v>3.118396308585861</v>
      </c>
      <c r="DM18" s="156">
        <v>3.0444633408782256</v>
      </c>
      <c r="DN18" s="156">
        <v>3.0089230300994285</v>
      </c>
      <c r="DO18" s="156">
        <v>2.702853289416594</v>
      </c>
      <c r="DP18" s="156">
        <v>3.9581200661223477</v>
      </c>
      <c r="DQ18" s="156">
        <v>3.7512767466134571</v>
      </c>
      <c r="DR18" s="156">
        <v>3.6858813725266164</v>
      </c>
      <c r="DS18" s="156">
        <v>3.8713601019891035</v>
      </c>
      <c r="DT18" s="156">
        <v>4.7425907842035331</v>
      </c>
      <c r="DU18" s="156">
        <v>3.9960344196422102</v>
      </c>
      <c r="DV18" s="156">
        <v>4.3869595982950313</v>
      </c>
      <c r="DW18" s="156">
        <v>3.8646587321455406</v>
      </c>
      <c r="DX18" s="156">
        <v>4.6692864470583277</v>
      </c>
      <c r="DY18" s="156">
        <v>3.8372021982876903</v>
      </c>
      <c r="DZ18" s="156">
        <v>4.4113972718904781</v>
      </c>
      <c r="EA18" s="156">
        <v>3.8762517652346862</v>
      </c>
      <c r="EB18" s="156">
        <v>3.2904254044689241</v>
      </c>
      <c r="EC18" s="156">
        <v>4.6174043427483227</v>
      </c>
      <c r="ED18" s="156">
        <v>4.3256838073290469</v>
      </c>
      <c r="EE18" s="156">
        <v>4.8708599903325958</v>
      </c>
      <c r="EF18" s="156">
        <v>5.8552641907166167</v>
      </c>
      <c r="EG18" s="156">
        <v>5.3226279849672231</v>
      </c>
      <c r="EH18" s="156">
        <v>5.6592531060723577</v>
      </c>
      <c r="EI18" s="156">
        <v>4.3681332012663114</v>
      </c>
      <c r="EJ18" s="156">
        <v>4.9195832630642267</v>
      </c>
      <c r="EK18" s="156">
        <v>3.1332335954481225</v>
      </c>
      <c r="EL18" s="156">
        <v>3.1201312020729897</v>
      </c>
      <c r="EM18" s="156">
        <v>2.6434323749163231</v>
      </c>
      <c r="EN18" s="156">
        <v>3.0007452947398265</v>
      </c>
      <c r="EO18" s="156">
        <v>2.2653134972435396</v>
      </c>
      <c r="EP18" s="156">
        <v>2.5246999723252768</v>
      </c>
      <c r="EQ18" s="156">
        <v>3.7071971243602437</v>
      </c>
      <c r="ER18" s="156">
        <v>3.648028423913892</v>
      </c>
      <c r="ES18" s="156">
        <v>3.3953068427280533</v>
      </c>
      <c r="ET18" s="156">
        <v>4.4400284177015639</v>
      </c>
      <c r="EU18" s="156">
        <v>3.8833649432488619</v>
      </c>
      <c r="EV18" s="156">
        <v>3.1153058922070085</v>
      </c>
      <c r="EW18" s="156">
        <v>2.0881887274245283</v>
      </c>
      <c r="EX18" s="156">
        <v>2.3729783944262648</v>
      </c>
      <c r="EY18" s="156">
        <v>2.509870679732439</v>
      </c>
      <c r="EZ18" s="156">
        <v>2.4556001716354756</v>
      </c>
      <c r="FA18" s="156">
        <v>2.4532339147451765</v>
      </c>
      <c r="FB18" s="156">
        <v>2.2359426298007246</v>
      </c>
      <c r="FC18" s="156">
        <v>2.4704144972683193</v>
      </c>
      <c r="FD18" s="156">
        <v>2.9946994683584944</v>
      </c>
      <c r="FE18" s="156">
        <v>2.912184338843824</v>
      </c>
      <c r="FF18" s="156">
        <v>2.3953057799001236</v>
      </c>
      <c r="FG18" s="156">
        <v>2.1689128725804139</v>
      </c>
      <c r="FH18" s="156">
        <v>2.0669082090814799</v>
      </c>
      <c r="FI18" s="156">
        <v>0.76134790929495499</v>
      </c>
      <c r="FJ18" s="156">
        <v>0.73040577519314098</v>
      </c>
      <c r="FK18" s="156">
        <v>1.1707147703849199</v>
      </c>
      <c r="FL18" s="156">
        <v>1.15537383352378</v>
      </c>
      <c r="FM18" s="156">
        <v>1.2893429989249601</v>
      </c>
      <c r="FN18" s="156">
        <v>1.5799336088361899</v>
      </c>
      <c r="FO18" s="156">
        <v>1.44318057335445</v>
      </c>
      <c r="FP18" s="156">
        <v>2.1004491037349999</v>
      </c>
      <c r="FQ18" s="156">
        <v>2.24043308665216</v>
      </c>
      <c r="FR18" s="156">
        <v>3.0807201814184002</v>
      </c>
      <c r="FS18" s="156">
        <v>2.35294006683475</v>
      </c>
      <c r="FT18" s="156">
        <v>3.4478473079090901</v>
      </c>
      <c r="FU18" s="156">
        <v>2.9411099974763402</v>
      </c>
      <c r="FV18" s="156">
        <v>2.10293422333688</v>
      </c>
      <c r="FW18" s="156">
        <v>2.27495538227241</v>
      </c>
      <c r="FX18" s="156">
        <v>2.74834993469607</v>
      </c>
      <c r="FY18" s="156">
        <v>3.0977645066925898</v>
      </c>
      <c r="FZ18" s="156">
        <v>4.0104981172670202</v>
      </c>
      <c r="GA18" s="156">
        <v>4.3259632043201099</v>
      </c>
      <c r="GB18" s="156">
        <v>4.9313167487302101</v>
      </c>
      <c r="GC18" s="156">
        <v>3.6548372330624499</v>
      </c>
      <c r="GD18" s="156">
        <v>4.3017443255020096</v>
      </c>
      <c r="GE18" s="156">
        <v>3.4122079786722699</v>
      </c>
      <c r="GF18" s="156">
        <v>4.0087180826916899</v>
      </c>
      <c r="GG18" s="156">
        <v>3.1581249097339499</v>
      </c>
      <c r="GH18" s="156">
        <v>3.3208171247502798</v>
      </c>
      <c r="GI18" s="156">
        <v>3.3075464287163099</v>
      </c>
      <c r="GJ18" s="156">
        <v>4.0787995692582104</v>
      </c>
      <c r="GK18" s="156">
        <v>4.11101719200472</v>
      </c>
      <c r="GL18" s="156">
        <v>3.4556182092621199</v>
      </c>
      <c r="GM18" s="156">
        <v>3.65845403763729</v>
      </c>
      <c r="GN18" s="156">
        <v>4.19687053286279</v>
      </c>
      <c r="GO18" s="156">
        <v>3.3393506978995702</v>
      </c>
      <c r="GP18" s="156">
        <v>4.6001306716964603</v>
      </c>
      <c r="GQ18" s="156">
        <v>4.1050891868008001</v>
      </c>
      <c r="GR18" s="156">
        <v>4.1720643107549797</v>
      </c>
      <c r="GS18" s="156">
        <v>4.1229537438700996</v>
      </c>
      <c r="GT18" s="156">
        <v>3.5667363653427899</v>
      </c>
      <c r="GU18" s="156">
        <v>3.24764035827216</v>
      </c>
      <c r="GV18" s="156">
        <v>3.8243405176582002</v>
      </c>
      <c r="GW18" s="156">
        <v>3.7554561967634599</v>
      </c>
      <c r="GX18" s="156">
        <v>3.0120424052312198</v>
      </c>
      <c r="GY18" s="156">
        <v>3.38320798535436</v>
      </c>
      <c r="GZ18" s="156">
        <v>3.01121116595866</v>
      </c>
      <c r="HA18" s="156">
        <v>2.9140795841320002</v>
      </c>
      <c r="HB18" s="156">
        <v>3.50850867083075</v>
      </c>
      <c r="HC18" s="156">
        <v>2.9645550482006402</v>
      </c>
      <c r="HD18" s="156">
        <v>2.5513752864527102</v>
      </c>
      <c r="HE18" s="156">
        <v>2.3735265544522499</v>
      </c>
      <c r="HF18" s="156">
        <v>2.4659325641418399</v>
      </c>
      <c r="HG18" s="156">
        <v>2.2845964857821301</v>
      </c>
      <c r="HH18" s="156">
        <v>2.5915661145405702</v>
      </c>
      <c r="HI18" s="156">
        <v>2.73135080818943</v>
      </c>
      <c r="HJ18" s="156">
        <v>2.8950165685383502</v>
      </c>
      <c r="HK18" s="156">
        <v>3.36943811276487</v>
      </c>
      <c r="HL18" s="156">
        <v>3.5063178403842699</v>
      </c>
      <c r="HM18" s="156">
        <v>3.4563761350312801</v>
      </c>
      <c r="HN18" s="156">
        <v>3.93762388943719</v>
      </c>
      <c r="HO18" s="156">
        <v>3.8839402950858499</v>
      </c>
      <c r="HP18" s="156">
        <v>3.4929584818514701</v>
      </c>
      <c r="HQ18" s="156">
        <v>2.9234907489789101</v>
      </c>
      <c r="HR18" s="156">
        <v>3.5853037277312101</v>
      </c>
      <c r="HS18" s="156">
        <v>3.6231186411178098</v>
      </c>
      <c r="HT18" s="156">
        <v>3.34712650789016</v>
      </c>
      <c r="HU18" s="156">
        <v>3.15225047207355</v>
      </c>
      <c r="HV18" s="156">
        <v>4.0072949068937396</v>
      </c>
      <c r="HW18" s="156">
        <v>3.8639814730115498</v>
      </c>
      <c r="HX18" s="156">
        <v>3.3761550015922199</v>
      </c>
      <c r="HY18" s="156">
        <v>3.8980289188255299</v>
      </c>
      <c r="HZ18" s="156">
        <v>4.3572715415137999</v>
      </c>
      <c r="IA18" s="156">
        <v>3.40982283416011</v>
      </c>
      <c r="IB18" s="156">
        <v>4.67541155076165</v>
      </c>
      <c r="IC18" s="156">
        <v>3.6299207858842801</v>
      </c>
      <c r="ID18" s="156">
        <v>2.78993672275001</v>
      </c>
      <c r="IE18" s="156">
        <v>2.7701991247818301</v>
      </c>
    </row>
    <row r="19" spans="1:239" s="142" customFormat="1" ht="16.5" customHeight="1">
      <c r="A19" s="147"/>
      <c r="B19" s="147"/>
      <c r="F19" s="142" t="s">
        <v>138</v>
      </c>
      <c r="G19" s="142" t="s">
        <v>138</v>
      </c>
      <c r="H19" s="142" t="s">
        <v>138</v>
      </c>
      <c r="I19" s="142" t="s">
        <v>138</v>
      </c>
      <c r="J19" s="142" t="s">
        <v>138</v>
      </c>
      <c r="K19" s="142" t="s">
        <v>138</v>
      </c>
      <c r="L19" s="142" t="s">
        <v>138</v>
      </c>
      <c r="M19" s="142" t="s">
        <v>138</v>
      </c>
      <c r="N19" s="142" t="s">
        <v>138</v>
      </c>
      <c r="O19" s="142" t="s">
        <v>138</v>
      </c>
      <c r="P19" s="142" t="s">
        <v>138</v>
      </c>
      <c r="Q19" s="142" t="s">
        <v>138</v>
      </c>
      <c r="R19" s="142" t="s">
        <v>138</v>
      </c>
      <c r="S19" s="142" t="s">
        <v>138</v>
      </c>
      <c r="T19" s="142" t="s">
        <v>138</v>
      </c>
      <c r="U19" s="142" t="s">
        <v>138</v>
      </c>
      <c r="V19" s="142" t="s">
        <v>138</v>
      </c>
      <c r="W19" s="142" t="s">
        <v>138</v>
      </c>
      <c r="X19" s="142" t="s">
        <v>138</v>
      </c>
      <c r="Y19" s="142" t="s">
        <v>138</v>
      </c>
      <c r="Z19" s="142" t="s">
        <v>138</v>
      </c>
      <c r="AA19" s="142" t="s">
        <v>138</v>
      </c>
      <c r="AB19" s="142" t="s">
        <v>138</v>
      </c>
      <c r="AC19" s="142" t="s">
        <v>138</v>
      </c>
      <c r="AD19" s="142" t="s">
        <v>138</v>
      </c>
      <c r="AE19" s="142" t="s">
        <v>138</v>
      </c>
      <c r="AF19" s="142" t="s">
        <v>138</v>
      </c>
      <c r="AG19" s="142" t="s">
        <v>138</v>
      </c>
      <c r="AH19" s="142" t="s">
        <v>138</v>
      </c>
      <c r="AI19" s="142" t="s">
        <v>138</v>
      </c>
      <c r="AJ19" s="142" t="s">
        <v>138</v>
      </c>
      <c r="AK19" s="142" t="s">
        <v>138</v>
      </c>
      <c r="AL19" s="142" t="s">
        <v>138</v>
      </c>
      <c r="AM19" s="142" t="s">
        <v>138</v>
      </c>
      <c r="AN19" s="142" t="s">
        <v>138</v>
      </c>
      <c r="AO19" s="142" t="s">
        <v>138</v>
      </c>
      <c r="AP19" s="142" t="s">
        <v>138</v>
      </c>
      <c r="AQ19" s="142" t="s">
        <v>138</v>
      </c>
      <c r="AR19" s="142" t="s">
        <v>138</v>
      </c>
      <c r="AS19" s="142" t="s">
        <v>138</v>
      </c>
      <c r="AT19" s="142" t="s">
        <v>138</v>
      </c>
      <c r="AU19" s="142" t="s">
        <v>138</v>
      </c>
      <c r="AV19" s="142" t="s">
        <v>138</v>
      </c>
      <c r="AW19" s="142" t="s">
        <v>138</v>
      </c>
      <c r="AX19" s="142" t="s">
        <v>138</v>
      </c>
      <c r="AY19" s="142" t="s">
        <v>138</v>
      </c>
      <c r="AZ19" s="142" t="s">
        <v>138</v>
      </c>
      <c r="BA19" s="142" t="s">
        <v>138</v>
      </c>
      <c r="BB19" s="142" t="s">
        <v>138</v>
      </c>
      <c r="BC19" s="142" t="s">
        <v>138</v>
      </c>
      <c r="BD19" s="142" t="s">
        <v>138</v>
      </c>
      <c r="BE19" s="142" t="s">
        <v>138</v>
      </c>
      <c r="BF19" s="142" t="s">
        <v>138</v>
      </c>
      <c r="BG19" s="142" t="s">
        <v>138</v>
      </c>
      <c r="BH19" s="142" t="s">
        <v>138</v>
      </c>
      <c r="BI19" s="142" t="s">
        <v>138</v>
      </c>
      <c r="BJ19" s="142" t="s">
        <v>138</v>
      </c>
      <c r="BL19" s="142" t="s">
        <v>199</v>
      </c>
      <c r="BM19" s="142" t="s">
        <v>138</v>
      </c>
      <c r="BN19" s="142" t="s">
        <v>199</v>
      </c>
      <c r="BO19" s="142" t="s">
        <v>199</v>
      </c>
      <c r="BP19" s="142" t="s">
        <v>199</v>
      </c>
      <c r="FE19" s="142" t="s">
        <v>138</v>
      </c>
    </row>
    <row r="20" spans="1:239" s="142" customFormat="1" ht="16.5" customHeight="1" thickBot="1">
      <c r="A20" s="157" t="s">
        <v>204</v>
      </c>
      <c r="B20" s="158"/>
      <c r="C20" s="159"/>
      <c r="D20" s="159"/>
      <c r="E20" s="159"/>
      <c r="F20" s="159" t="s">
        <v>138</v>
      </c>
      <c r="G20" s="159" t="s">
        <v>138</v>
      </c>
      <c r="H20" s="159" t="s">
        <v>138</v>
      </c>
      <c r="I20" s="159" t="s">
        <v>138</v>
      </c>
      <c r="J20" s="159" t="s">
        <v>138</v>
      </c>
      <c r="K20" s="159" t="s">
        <v>138</v>
      </c>
      <c r="L20" s="159" t="s">
        <v>138</v>
      </c>
      <c r="M20" s="159" t="s">
        <v>138</v>
      </c>
      <c r="N20" s="159" t="s">
        <v>138</v>
      </c>
      <c r="O20" s="159" t="s">
        <v>138</v>
      </c>
      <c r="P20" s="159" t="s">
        <v>138</v>
      </c>
      <c r="Q20" s="159" t="s">
        <v>138</v>
      </c>
      <c r="R20" s="159" t="s">
        <v>138</v>
      </c>
      <c r="S20" s="159" t="s">
        <v>138</v>
      </c>
      <c r="T20" s="159" t="s">
        <v>138</v>
      </c>
      <c r="U20" s="159" t="s">
        <v>138</v>
      </c>
      <c r="V20" s="159" t="s">
        <v>138</v>
      </c>
      <c r="W20" s="159" t="s">
        <v>138</v>
      </c>
      <c r="X20" s="159" t="s">
        <v>138</v>
      </c>
      <c r="Y20" s="159" t="s">
        <v>138</v>
      </c>
      <c r="Z20" s="159" t="s">
        <v>138</v>
      </c>
      <c r="AA20" s="159" t="s">
        <v>138</v>
      </c>
      <c r="AB20" s="159" t="s">
        <v>138</v>
      </c>
      <c r="AC20" s="159" t="s">
        <v>138</v>
      </c>
      <c r="AD20" s="159" t="s">
        <v>138</v>
      </c>
      <c r="AE20" s="159" t="s">
        <v>138</v>
      </c>
      <c r="AF20" s="159" t="s">
        <v>138</v>
      </c>
      <c r="AG20" s="159" t="s">
        <v>138</v>
      </c>
      <c r="AH20" s="159" t="s">
        <v>138</v>
      </c>
      <c r="AI20" s="159" t="s">
        <v>138</v>
      </c>
      <c r="AJ20" s="159" t="s">
        <v>138</v>
      </c>
      <c r="AK20" s="159" t="s">
        <v>138</v>
      </c>
      <c r="AL20" s="159" t="s">
        <v>138</v>
      </c>
      <c r="AM20" s="159" t="s">
        <v>138</v>
      </c>
      <c r="AN20" s="159" t="s">
        <v>138</v>
      </c>
      <c r="AO20" s="159" t="s">
        <v>138</v>
      </c>
      <c r="AP20" s="159" t="s">
        <v>138</v>
      </c>
      <c r="AQ20" s="159" t="s">
        <v>138</v>
      </c>
      <c r="AR20" s="159" t="s">
        <v>138</v>
      </c>
      <c r="AS20" s="159" t="s">
        <v>138</v>
      </c>
      <c r="AT20" s="159" t="s">
        <v>138</v>
      </c>
      <c r="AU20" s="159" t="s">
        <v>138</v>
      </c>
      <c r="AV20" s="159" t="s">
        <v>138</v>
      </c>
      <c r="AW20" s="159" t="s">
        <v>138</v>
      </c>
      <c r="AX20" s="159" t="s">
        <v>138</v>
      </c>
      <c r="AY20" s="159" t="s">
        <v>138</v>
      </c>
      <c r="AZ20" s="159" t="s">
        <v>138</v>
      </c>
      <c r="BA20" s="159" t="s">
        <v>138</v>
      </c>
      <c r="BB20" s="159" t="s">
        <v>138</v>
      </c>
      <c r="BC20" s="159" t="s">
        <v>138</v>
      </c>
      <c r="BD20" s="159" t="s">
        <v>138</v>
      </c>
      <c r="BE20" s="159" t="s">
        <v>138</v>
      </c>
      <c r="BF20" s="159" t="s">
        <v>138</v>
      </c>
      <c r="BG20" s="159" t="s">
        <v>138</v>
      </c>
      <c r="BH20" s="159" t="s">
        <v>138</v>
      </c>
      <c r="BI20" s="159" t="s">
        <v>138</v>
      </c>
      <c r="BJ20" s="159" t="s">
        <v>138</v>
      </c>
      <c r="BK20" s="159"/>
      <c r="BL20" s="159" t="s">
        <v>199</v>
      </c>
      <c r="BM20" s="159" t="s">
        <v>138</v>
      </c>
      <c r="BN20" s="159" t="s">
        <v>199</v>
      </c>
      <c r="BO20" s="159" t="s">
        <v>199</v>
      </c>
      <c r="BP20" s="159" t="s">
        <v>199</v>
      </c>
      <c r="BQ20" s="159"/>
      <c r="BR20" s="159"/>
      <c r="BS20" s="159"/>
      <c r="BT20" s="159"/>
      <c r="BU20" s="159"/>
      <c r="BV20" s="159"/>
      <c r="BW20" s="159"/>
      <c r="BX20" s="159"/>
      <c r="BY20" s="159"/>
      <c r="BZ20" s="159"/>
      <c r="CA20" s="159"/>
      <c r="CB20" s="159"/>
      <c r="CC20" s="159"/>
      <c r="CD20" s="159"/>
      <c r="CE20" s="159"/>
      <c r="CF20" s="159"/>
      <c r="CG20" s="159"/>
      <c r="CH20" s="159"/>
      <c r="CI20" s="159"/>
      <c r="CJ20" s="159"/>
      <c r="CK20" s="159"/>
      <c r="CL20" s="159"/>
      <c r="CM20" s="159"/>
      <c r="CN20" s="159"/>
      <c r="CO20" s="159"/>
      <c r="CP20" s="159"/>
      <c r="CQ20" s="159"/>
      <c r="CR20" s="159"/>
      <c r="CS20" s="159"/>
      <c r="CT20" s="159"/>
      <c r="CU20" s="159"/>
      <c r="CV20" s="159"/>
      <c r="CW20" s="159"/>
      <c r="CX20" s="159"/>
      <c r="CY20" s="159"/>
      <c r="CZ20" s="159"/>
      <c r="DA20" s="159"/>
      <c r="DB20" s="159"/>
      <c r="DC20" s="159"/>
      <c r="DD20" s="159"/>
      <c r="DE20" s="159"/>
      <c r="DF20" s="159"/>
      <c r="DG20" s="159"/>
      <c r="DH20" s="159"/>
      <c r="DI20" s="159"/>
      <c r="DJ20" s="159"/>
      <c r="DK20" s="159"/>
      <c r="DL20" s="159"/>
      <c r="DM20" s="159"/>
      <c r="DN20" s="159"/>
      <c r="DO20" s="159"/>
      <c r="DP20" s="159"/>
      <c r="DQ20" s="159"/>
      <c r="DR20" s="159"/>
      <c r="DS20" s="159"/>
      <c r="DT20" s="159"/>
      <c r="DU20" s="159"/>
      <c r="DV20" s="159"/>
      <c r="DW20" s="159"/>
      <c r="DX20" s="159"/>
      <c r="DY20" s="159"/>
      <c r="DZ20" s="159"/>
      <c r="EA20" s="159"/>
      <c r="EB20" s="159"/>
      <c r="EC20" s="159"/>
      <c r="ED20" s="159"/>
      <c r="EE20" s="159"/>
      <c r="EF20" s="159"/>
      <c r="EG20" s="159"/>
      <c r="EH20" s="159"/>
      <c r="EI20" s="159"/>
      <c r="EJ20" s="159"/>
      <c r="EK20" s="159"/>
      <c r="EL20" s="159"/>
      <c r="EM20" s="159"/>
      <c r="EN20" s="159"/>
      <c r="EO20" s="159"/>
      <c r="EP20" s="159"/>
      <c r="EQ20" s="159"/>
      <c r="ER20" s="159"/>
      <c r="ES20" s="159"/>
      <c r="ET20" s="159"/>
      <c r="EU20" s="159"/>
      <c r="EV20" s="159"/>
      <c r="EW20" s="159"/>
      <c r="EX20" s="159"/>
      <c r="EY20" s="159"/>
      <c r="EZ20" s="159"/>
      <c r="FA20" s="159"/>
      <c r="FB20" s="159"/>
      <c r="FC20" s="159"/>
      <c r="FD20" s="159"/>
      <c r="FE20" s="159"/>
      <c r="FF20" s="159"/>
      <c r="FG20" s="159"/>
      <c r="FH20" s="159"/>
      <c r="FI20" s="159"/>
      <c r="FJ20" s="159"/>
      <c r="FK20" s="159"/>
      <c r="FL20" s="159"/>
      <c r="FM20" s="159"/>
      <c r="FN20" s="159"/>
      <c r="FO20" s="159"/>
      <c r="FP20" s="159"/>
      <c r="FQ20" s="159"/>
      <c r="FR20" s="159"/>
      <c r="FS20" s="159"/>
      <c r="FT20" s="159"/>
      <c r="FU20" s="159"/>
      <c r="FV20" s="159"/>
      <c r="FW20" s="159"/>
      <c r="FX20" s="159"/>
      <c r="FY20" s="159"/>
      <c r="FZ20" s="159"/>
      <c r="GA20" s="159"/>
      <c r="GB20" s="159"/>
      <c r="GC20" s="159"/>
      <c r="GD20" s="159"/>
      <c r="GE20" s="159"/>
      <c r="GF20" s="159"/>
      <c r="GG20" s="159"/>
      <c r="GH20" s="159"/>
      <c r="GI20" s="159"/>
      <c r="GJ20" s="159"/>
      <c r="GK20" s="159"/>
      <c r="GL20" s="159"/>
      <c r="GM20" s="159"/>
      <c r="GN20" s="159"/>
      <c r="GO20" s="159"/>
      <c r="GP20" s="159"/>
      <c r="GQ20" s="159"/>
      <c r="GR20" s="159"/>
      <c r="GS20" s="159"/>
      <c r="GT20" s="159"/>
      <c r="GU20" s="159"/>
      <c r="GV20" s="159"/>
      <c r="GW20" s="159"/>
      <c r="GX20" s="159"/>
      <c r="GY20" s="159"/>
      <c r="GZ20" s="159"/>
      <c r="HA20" s="159"/>
      <c r="HB20" s="159"/>
      <c r="HC20" s="159"/>
      <c r="HD20" s="159"/>
      <c r="HE20" s="159"/>
      <c r="HF20" s="159"/>
      <c r="HG20" s="159"/>
      <c r="HH20" s="159"/>
      <c r="HI20" s="159"/>
      <c r="HJ20" s="159"/>
      <c r="HK20" s="159"/>
      <c r="HL20" s="159"/>
      <c r="HM20" s="159"/>
      <c r="HN20" s="159"/>
      <c r="HO20" s="159"/>
      <c r="HP20" s="159"/>
      <c r="HQ20" s="159"/>
      <c r="HR20" s="159"/>
      <c r="HS20" s="159"/>
      <c r="HT20" s="159"/>
      <c r="HU20" s="159"/>
      <c r="HV20" s="159"/>
      <c r="HW20" s="159"/>
      <c r="HX20" s="159"/>
      <c r="HY20" s="159"/>
      <c r="HZ20" s="159"/>
      <c r="IA20" s="159"/>
      <c r="IB20" s="159"/>
      <c r="IC20" s="159"/>
      <c r="ID20" s="159"/>
      <c r="IE20" s="159"/>
    </row>
    <row r="21" spans="1:239" s="142" customFormat="1" ht="16.5" customHeight="1">
      <c r="A21" s="146" t="s">
        <v>170</v>
      </c>
      <c r="B21" s="147"/>
      <c r="C21" s="148">
        <v>99.999999999999858</v>
      </c>
      <c r="D21" s="148">
        <v>99.999999999999787</v>
      </c>
      <c r="E21" s="148">
        <v>100.00000000000013</v>
      </c>
      <c r="F21" s="148">
        <v>100.00000000000014</v>
      </c>
      <c r="G21" s="148">
        <v>100</v>
      </c>
      <c r="H21" s="148">
        <v>99.999999999999801</v>
      </c>
      <c r="I21" s="148">
        <v>99.999999999999986</v>
      </c>
      <c r="J21" s="148">
        <v>100.00000000000003</v>
      </c>
      <c r="K21" s="148">
        <v>99.999999999999972</v>
      </c>
      <c r="L21" s="148">
        <v>100.00000000000011</v>
      </c>
      <c r="M21" s="148">
        <v>100.00000000000006</v>
      </c>
      <c r="N21" s="148">
        <v>99.999999999999986</v>
      </c>
      <c r="O21" s="148">
        <v>99.999999999999957</v>
      </c>
      <c r="P21" s="148">
        <v>99.999999999999943</v>
      </c>
      <c r="Q21" s="148">
        <v>100.00000000000009</v>
      </c>
      <c r="R21" s="148">
        <v>99.999999999999957</v>
      </c>
      <c r="S21" s="148">
        <v>100.0000000000001</v>
      </c>
      <c r="T21" s="148">
        <v>100.00000000000009</v>
      </c>
      <c r="U21" s="148">
        <v>100.00000000000017</v>
      </c>
      <c r="V21" s="148">
        <v>99.999999999999943</v>
      </c>
      <c r="W21" s="148">
        <v>100.00000000000004</v>
      </c>
      <c r="X21" s="148">
        <v>100.00000000000004</v>
      </c>
      <c r="Y21" s="148">
        <v>99.999999999999844</v>
      </c>
      <c r="Z21" s="148">
        <v>99.999999999999901</v>
      </c>
      <c r="AA21" s="148">
        <v>99.999999999999915</v>
      </c>
      <c r="AB21" s="148">
        <v>100.00000000000006</v>
      </c>
      <c r="AC21" s="148">
        <v>100.00000000000009</v>
      </c>
      <c r="AD21" s="148">
        <v>100.00000000000004</v>
      </c>
      <c r="AE21" s="148">
        <v>100.00000000000006</v>
      </c>
      <c r="AF21" s="148">
        <v>100.0000000000001</v>
      </c>
      <c r="AG21" s="148">
        <v>99.999999999999957</v>
      </c>
      <c r="AH21" s="148">
        <v>99.999999999999872</v>
      </c>
      <c r="AI21" s="148">
        <v>100.00000000000003</v>
      </c>
      <c r="AJ21" s="148">
        <v>99.999999999999915</v>
      </c>
      <c r="AK21" s="148">
        <v>99.999999999999915</v>
      </c>
      <c r="AL21" s="148">
        <v>100</v>
      </c>
      <c r="AM21" s="148">
        <v>100.00000000000006</v>
      </c>
      <c r="AN21" s="148">
        <v>100.00000000000016</v>
      </c>
      <c r="AO21" s="148">
        <v>99.999999999999929</v>
      </c>
      <c r="AP21" s="148">
        <v>100.00000000000001</v>
      </c>
      <c r="AQ21" s="148">
        <v>100.00000000000006</v>
      </c>
      <c r="AR21" s="148">
        <v>99.999999999999943</v>
      </c>
      <c r="AS21" s="148">
        <v>99.999999999999858</v>
      </c>
      <c r="AT21" s="148">
        <v>99.999999999999815</v>
      </c>
      <c r="AU21" s="148">
        <v>99.999999999999986</v>
      </c>
      <c r="AV21" s="148">
        <v>100.00000000000023</v>
      </c>
      <c r="AW21" s="148">
        <v>99.999999999999929</v>
      </c>
      <c r="AX21" s="148">
        <v>99.999999999999943</v>
      </c>
      <c r="AY21" s="148">
        <v>99.999999999999972</v>
      </c>
      <c r="AZ21" s="148">
        <v>100.00000000000007</v>
      </c>
      <c r="BA21" s="148">
        <v>100.00000000000003</v>
      </c>
      <c r="BB21" s="148">
        <v>99.999999999999929</v>
      </c>
      <c r="BC21" s="148">
        <v>100.00000000000007</v>
      </c>
      <c r="BD21" s="148">
        <v>99.999999999999915</v>
      </c>
      <c r="BE21" s="148">
        <v>99.999999999999943</v>
      </c>
      <c r="BF21" s="148">
        <v>100.00000000000006</v>
      </c>
      <c r="BG21" s="148">
        <v>100.00000000000009</v>
      </c>
      <c r="BH21" s="148">
        <v>99.999999999999687</v>
      </c>
      <c r="BI21" s="148">
        <v>100.00000000000003</v>
      </c>
      <c r="BJ21" s="148">
        <v>99.999999999999943</v>
      </c>
      <c r="BK21" s="148">
        <v>100</v>
      </c>
      <c r="BL21" s="148">
        <v>99.999999999999929</v>
      </c>
      <c r="BM21" s="148">
        <v>99.999999999999886</v>
      </c>
      <c r="BN21" s="148">
        <v>100.00000000000009</v>
      </c>
      <c r="BO21" s="148">
        <v>99.999999999999986</v>
      </c>
      <c r="BP21" s="148">
        <v>99.999999999999844</v>
      </c>
      <c r="BQ21" s="148">
        <v>99.999999999999972</v>
      </c>
      <c r="BR21" s="148">
        <v>100.00000000000009</v>
      </c>
      <c r="BS21" s="148">
        <v>100</v>
      </c>
      <c r="BT21" s="148">
        <v>100.00000000000014</v>
      </c>
      <c r="BU21" s="148">
        <v>100.00000000000013</v>
      </c>
      <c r="BV21" s="148">
        <v>100.00000000000006</v>
      </c>
      <c r="BW21" s="148">
        <v>99.999999999999943</v>
      </c>
      <c r="BX21" s="148">
        <v>99.999999999999886</v>
      </c>
      <c r="BY21" s="148">
        <v>100</v>
      </c>
      <c r="BZ21" s="148">
        <v>99.999999999999915</v>
      </c>
      <c r="CA21" s="148">
        <v>99.999999999999986</v>
      </c>
      <c r="CB21" s="148">
        <v>99.999999999999972</v>
      </c>
      <c r="CC21" s="148">
        <v>99.999999999999943</v>
      </c>
      <c r="CD21" s="148">
        <v>100.00000000000011</v>
      </c>
      <c r="CE21" s="148">
        <v>99.999999999999972</v>
      </c>
      <c r="CF21" s="148">
        <v>100.00000000000009</v>
      </c>
      <c r="CG21" s="148">
        <v>99.999999999999943</v>
      </c>
      <c r="CH21" s="148">
        <v>99.999999999999986</v>
      </c>
      <c r="CI21" s="148">
        <v>100.00000000000004</v>
      </c>
      <c r="CJ21" s="148">
        <v>100.00000000000016</v>
      </c>
      <c r="CK21" s="148">
        <v>100.00000000000003</v>
      </c>
      <c r="CL21" s="148">
        <v>99.999999999999886</v>
      </c>
      <c r="CM21" s="148">
        <v>100.00000000000009</v>
      </c>
      <c r="CN21" s="148">
        <v>100.00000000000003</v>
      </c>
      <c r="CO21" s="148">
        <v>100.00000000000007</v>
      </c>
      <c r="CP21" s="148">
        <v>99.999999999999858</v>
      </c>
      <c r="CQ21" s="148">
        <v>99.999999999999943</v>
      </c>
      <c r="CR21" s="148">
        <v>100.00000000000009</v>
      </c>
      <c r="CS21" s="148">
        <v>100.0000000000001</v>
      </c>
      <c r="CT21" s="148">
        <v>100.00000000000017</v>
      </c>
      <c r="CU21" s="148">
        <v>100.00000000000003</v>
      </c>
      <c r="CV21" s="148">
        <v>99.999999999999986</v>
      </c>
      <c r="CW21" s="148">
        <v>99.999999999999972</v>
      </c>
      <c r="CX21" s="148">
        <v>100.00000000000001</v>
      </c>
      <c r="CY21" s="148">
        <v>100.00000000000003</v>
      </c>
      <c r="CZ21" s="148">
        <v>99.999999999999943</v>
      </c>
      <c r="DA21" s="148">
        <v>99.999999999999943</v>
      </c>
      <c r="DB21" s="148">
        <v>100.0000000000001</v>
      </c>
      <c r="DC21" s="148">
        <v>99.999999999999972</v>
      </c>
      <c r="DD21" s="148">
        <v>100</v>
      </c>
      <c r="DE21" s="148">
        <v>99.999999999999872</v>
      </c>
      <c r="DF21" s="148">
        <v>100.00000000000009</v>
      </c>
      <c r="DG21" s="148">
        <v>100.00000000000006</v>
      </c>
      <c r="DH21" s="148">
        <v>99.999999999999844</v>
      </c>
      <c r="DI21" s="148">
        <v>99.999999999999929</v>
      </c>
      <c r="DJ21" s="148">
        <v>100.00000000000009</v>
      </c>
      <c r="DK21" s="148">
        <v>100.0000000000001</v>
      </c>
      <c r="DL21" s="148">
        <v>100.00000000000001</v>
      </c>
      <c r="DM21" s="148">
        <v>99.999999999999929</v>
      </c>
      <c r="DN21" s="148">
        <v>99.999999999999901</v>
      </c>
      <c r="DO21" s="148">
        <v>99.999999999999972</v>
      </c>
      <c r="DP21" s="148">
        <v>99.999999999999943</v>
      </c>
      <c r="DQ21" s="148">
        <v>100</v>
      </c>
      <c r="DR21" s="148">
        <v>99.999999999999915</v>
      </c>
      <c r="DS21" s="148">
        <v>99.999999999999972</v>
      </c>
      <c r="DT21" s="148">
        <v>99.999999999999972</v>
      </c>
      <c r="DU21" s="148">
        <v>100.00000000000006</v>
      </c>
      <c r="DV21" s="148">
        <v>100.00000000000004</v>
      </c>
      <c r="DW21" s="148">
        <v>99.999999999999972</v>
      </c>
      <c r="DX21" s="148">
        <v>99.999999999999943</v>
      </c>
      <c r="DY21" s="148">
        <v>99.999999999999957</v>
      </c>
      <c r="DZ21" s="148">
        <v>100</v>
      </c>
      <c r="EA21" s="148">
        <v>100.00000000000013</v>
      </c>
      <c r="EB21" s="148">
        <v>100.00000000000003</v>
      </c>
      <c r="EC21" s="148">
        <v>100</v>
      </c>
      <c r="ED21" s="148">
        <v>99.999999999999986</v>
      </c>
      <c r="EE21" s="148">
        <v>99.999999999999986</v>
      </c>
      <c r="EF21" s="148">
        <v>100.00000000000003</v>
      </c>
      <c r="EG21" s="148">
        <v>99.999999999999886</v>
      </c>
      <c r="EH21" s="148">
        <v>99.999999999999957</v>
      </c>
      <c r="EI21" s="148">
        <v>100.00000000000003</v>
      </c>
      <c r="EJ21" s="148">
        <v>100.0000000000001</v>
      </c>
      <c r="EK21" s="148">
        <v>100.00000000000003</v>
      </c>
      <c r="EL21" s="148">
        <v>100</v>
      </c>
      <c r="EM21" s="148">
        <v>99.999999999999986</v>
      </c>
      <c r="EN21" s="148">
        <v>100</v>
      </c>
      <c r="EO21" s="148">
        <v>99.999999999999901</v>
      </c>
      <c r="EP21" s="148">
        <v>100.00000000000009</v>
      </c>
      <c r="EQ21" s="148">
        <v>99.999999999999972</v>
      </c>
      <c r="ER21" s="148">
        <v>100</v>
      </c>
      <c r="ES21" s="148">
        <v>100.00000000000007</v>
      </c>
      <c r="ET21" s="148">
        <v>100.00000000000009</v>
      </c>
      <c r="EU21" s="148">
        <v>99.999999999999943</v>
      </c>
      <c r="EV21" s="148">
        <v>100.00000000000004</v>
      </c>
      <c r="EW21" s="148">
        <v>100</v>
      </c>
      <c r="EX21" s="148">
        <v>99.999999999999943</v>
      </c>
      <c r="EY21" s="148">
        <v>100.00000000000009</v>
      </c>
      <c r="EZ21" s="148">
        <v>99.999999999999901</v>
      </c>
      <c r="FA21" s="148">
        <v>99.605552113037575</v>
      </c>
      <c r="FB21" s="148">
        <v>100.00000000000017</v>
      </c>
      <c r="FC21" s="148">
        <v>99.999999999999858</v>
      </c>
      <c r="FD21" s="148">
        <v>100.00000000000003</v>
      </c>
      <c r="FE21" s="148">
        <v>100.00000000000003</v>
      </c>
      <c r="FF21" s="148">
        <v>100.00000000000004</v>
      </c>
      <c r="FG21" s="148">
        <v>100</v>
      </c>
      <c r="FH21" s="148">
        <v>100.00000000000003</v>
      </c>
      <c r="FI21" s="148">
        <v>100.00000000000001</v>
      </c>
      <c r="FJ21" s="148">
        <v>100.00000000000004</v>
      </c>
      <c r="FK21" s="148">
        <v>100.00000000000001</v>
      </c>
      <c r="FL21" s="148">
        <v>100.00000000000007</v>
      </c>
      <c r="FM21" s="148">
        <v>100.00000000000009</v>
      </c>
      <c r="FN21" s="148">
        <v>100.00000000000003</v>
      </c>
      <c r="FO21" s="148">
        <v>99.999999999999972</v>
      </c>
      <c r="FP21" s="148">
        <v>100</v>
      </c>
      <c r="FQ21" s="148">
        <v>100.00000000000006</v>
      </c>
      <c r="FR21" s="148">
        <v>100.00000000000006</v>
      </c>
      <c r="FS21" s="148">
        <v>99.999999999999943</v>
      </c>
      <c r="FT21" s="148">
        <v>99.999999999999943</v>
      </c>
      <c r="FU21" s="148">
        <v>99.999999999999957</v>
      </c>
      <c r="FV21" s="148">
        <v>99.999999999999929</v>
      </c>
      <c r="FW21" s="148">
        <v>99.999999999999972</v>
      </c>
      <c r="FX21" s="148">
        <v>99.999999999999943</v>
      </c>
      <c r="FY21" s="148">
        <v>100.00000000000003</v>
      </c>
      <c r="FZ21" s="148">
        <v>100</v>
      </c>
      <c r="GA21" s="148">
        <v>99.999999999999972</v>
      </c>
      <c r="GB21" s="148">
        <v>99.999999999999986</v>
      </c>
      <c r="GC21" s="148">
        <v>100</v>
      </c>
      <c r="GD21" s="148">
        <v>99.999999999999986</v>
      </c>
      <c r="GE21" s="148">
        <v>99.999999999999915</v>
      </c>
      <c r="GF21" s="148">
        <v>99.999999999999972</v>
      </c>
      <c r="GG21" s="148">
        <v>100.00000000000003</v>
      </c>
      <c r="GH21" s="148">
        <v>100.00000000000003</v>
      </c>
      <c r="GI21" s="148">
        <v>100.00000000000003</v>
      </c>
      <c r="GJ21" s="148">
        <v>100.00000000000003</v>
      </c>
      <c r="GK21" s="148">
        <v>100.00000000000009</v>
      </c>
      <c r="GL21" s="148">
        <v>99.999999999999986</v>
      </c>
      <c r="GM21" s="148">
        <v>100.00000000000006</v>
      </c>
      <c r="GN21" s="148">
        <v>99.999999999999943</v>
      </c>
      <c r="GO21" s="148">
        <v>99.999999999999986</v>
      </c>
      <c r="GP21" s="148">
        <v>100</v>
      </c>
      <c r="GQ21" s="148">
        <v>100.00000000000006</v>
      </c>
      <c r="GR21" s="148">
        <v>99.999999999999972</v>
      </c>
      <c r="GS21" s="148">
        <v>99.999999999999972</v>
      </c>
      <c r="GT21" s="148">
        <v>100.00000000000001</v>
      </c>
      <c r="GU21" s="148">
        <v>100</v>
      </c>
      <c r="GV21" s="148">
        <v>100.00000000000007</v>
      </c>
      <c r="GW21" s="148">
        <v>100</v>
      </c>
      <c r="GX21" s="148">
        <v>99.999999999999972</v>
      </c>
      <c r="GY21" s="148">
        <v>100</v>
      </c>
      <c r="GZ21" s="148">
        <v>100</v>
      </c>
      <c r="HA21" s="148">
        <v>99.999999999999957</v>
      </c>
      <c r="HB21" s="148">
        <v>99.999999999999929</v>
      </c>
      <c r="HC21" s="148">
        <v>99.999999999999915</v>
      </c>
      <c r="HD21" s="148">
        <v>100</v>
      </c>
      <c r="HE21" s="148">
        <v>100</v>
      </c>
      <c r="HF21" s="148">
        <v>99.999999999999986</v>
      </c>
      <c r="HG21" s="148">
        <v>99.999999999999986</v>
      </c>
      <c r="HH21" s="148">
        <v>100.00000000000007</v>
      </c>
      <c r="HI21" s="148">
        <v>100</v>
      </c>
      <c r="HJ21" s="148">
        <v>99.999999999999943</v>
      </c>
      <c r="HK21" s="148">
        <v>100.00000000000004</v>
      </c>
      <c r="HL21" s="148">
        <v>100.00000000000006</v>
      </c>
      <c r="HM21" s="148">
        <v>100.00000000000003</v>
      </c>
      <c r="HN21" s="148">
        <v>99.999999999999986</v>
      </c>
      <c r="HO21" s="148">
        <v>100</v>
      </c>
      <c r="HP21" s="148">
        <v>100</v>
      </c>
      <c r="HQ21" s="148">
        <v>100</v>
      </c>
      <c r="HR21" s="148">
        <v>100</v>
      </c>
      <c r="HS21" s="148">
        <v>100.00000000000003</v>
      </c>
      <c r="HT21" s="148">
        <v>99.999999999999886</v>
      </c>
      <c r="HU21" s="148">
        <v>100.00000000000003</v>
      </c>
      <c r="HV21" s="148">
        <v>100</v>
      </c>
      <c r="HW21" s="148">
        <v>99.999999999999901</v>
      </c>
      <c r="HX21" s="148">
        <v>100</v>
      </c>
      <c r="HY21" s="148">
        <v>100</v>
      </c>
      <c r="HZ21" s="148">
        <v>100</v>
      </c>
      <c r="IA21" s="148">
        <v>100.00000000000003</v>
      </c>
      <c r="IB21" s="148">
        <v>99.999999999999972</v>
      </c>
      <c r="IC21" s="148">
        <v>100.00000000000006</v>
      </c>
      <c r="ID21" s="148">
        <v>100.00000000000003</v>
      </c>
      <c r="IE21" s="148">
        <v>100.00000000000007</v>
      </c>
    </row>
    <row r="22" spans="1:239" s="142" customFormat="1" ht="16.5" customHeight="1">
      <c r="A22" s="147" t="s">
        <v>205</v>
      </c>
      <c r="B22" s="154"/>
      <c r="C22" s="155">
        <v>9.2594960792171008</v>
      </c>
      <c r="D22" s="155">
        <v>19.337272675849817</v>
      </c>
      <c r="E22" s="155">
        <v>4.6720830796308448</v>
      </c>
      <c r="F22" s="155">
        <v>9.2436224736228638</v>
      </c>
      <c r="G22" s="155">
        <v>1.8859673409711539</v>
      </c>
      <c r="H22" s="155">
        <v>10.876335856914926</v>
      </c>
      <c r="I22" s="155">
        <v>10.763206400155587</v>
      </c>
      <c r="J22" s="155">
        <v>10.988052932004356</v>
      </c>
      <c r="K22" s="155">
        <v>10.951578418189156</v>
      </c>
      <c r="L22" s="155">
        <v>6.1129020233289575</v>
      </c>
      <c r="M22" s="155">
        <v>10.531114130613492</v>
      </c>
      <c r="N22" s="155">
        <v>9.9162924306747247</v>
      </c>
      <c r="O22" s="155">
        <v>13.235050284351694</v>
      </c>
      <c r="P22" s="155">
        <v>14.942277763607088</v>
      </c>
      <c r="Q22" s="155">
        <v>14.023127041448765</v>
      </c>
      <c r="R22" s="155">
        <v>24.231321790165019</v>
      </c>
      <c r="S22" s="155">
        <v>6.1299089828666702</v>
      </c>
      <c r="T22" s="155">
        <v>4.8897863821434306</v>
      </c>
      <c r="U22" s="155">
        <v>9.0192132783130443</v>
      </c>
      <c r="V22" s="155">
        <v>10.25019871824394</v>
      </c>
      <c r="W22" s="155">
        <v>6.3980203863357579</v>
      </c>
      <c r="X22" s="155">
        <v>2.0969924755932476</v>
      </c>
      <c r="Y22" s="155">
        <v>4.331226380338685</v>
      </c>
      <c r="Z22" s="155">
        <v>12.348570259970508</v>
      </c>
      <c r="AA22" s="155">
        <v>5.626998959880674</v>
      </c>
      <c r="AB22" s="155">
        <v>19.209505810467693</v>
      </c>
      <c r="AC22" s="155">
        <v>6.252165713754211</v>
      </c>
      <c r="AD22" s="155">
        <v>14.329101600378513</v>
      </c>
      <c r="AE22" s="155">
        <v>31.031331295314345</v>
      </c>
      <c r="AF22" s="155">
        <v>19.443232078199063</v>
      </c>
      <c r="AG22" s="155">
        <v>3.4814064878284476</v>
      </c>
      <c r="AH22" s="155">
        <v>2.5291081530968933</v>
      </c>
      <c r="AI22" s="155">
        <v>0</v>
      </c>
      <c r="AJ22" s="155">
        <v>9.3993127158187946</v>
      </c>
      <c r="AK22" s="155">
        <v>5.7668315363426395</v>
      </c>
      <c r="AL22" s="155">
        <v>7.377705955781094</v>
      </c>
      <c r="AM22" s="155">
        <v>12.641622870147179</v>
      </c>
      <c r="AN22" s="155">
        <v>18.147604112310571</v>
      </c>
      <c r="AO22" s="155">
        <v>14.976584074136182</v>
      </c>
      <c r="AP22" s="155">
        <v>9.2502949958615375</v>
      </c>
      <c r="AQ22" s="155">
        <v>10.679835897909443</v>
      </c>
      <c r="AR22" s="155">
        <v>10.033880799411321</v>
      </c>
      <c r="AS22" s="155">
        <v>6.6817596152685788</v>
      </c>
      <c r="AT22" s="155">
        <v>16.363873800734581</v>
      </c>
      <c r="AU22" s="155">
        <v>15.242310353412799</v>
      </c>
      <c r="AV22" s="155">
        <v>12.06997624392694</v>
      </c>
      <c r="AW22" s="155">
        <v>14.083813670870398</v>
      </c>
      <c r="AX22" s="155">
        <v>12.543576572865922</v>
      </c>
      <c r="AY22" s="155">
        <v>29.900894873980782</v>
      </c>
      <c r="AZ22" s="155">
        <v>24.673040752383582</v>
      </c>
      <c r="BA22" s="155">
        <v>12.437258334459889</v>
      </c>
      <c r="BB22" s="155">
        <v>8.8496363680910655</v>
      </c>
      <c r="BC22" s="155">
        <v>13.46008174173649</v>
      </c>
      <c r="BD22" s="155">
        <v>15.155845737627846</v>
      </c>
      <c r="BE22" s="155">
        <v>16.990117201287291</v>
      </c>
      <c r="BF22" s="155">
        <v>14.703654142762151</v>
      </c>
      <c r="BG22" s="155">
        <v>8.0027143767589077</v>
      </c>
      <c r="BH22" s="155">
        <v>2.4114997920927683</v>
      </c>
      <c r="BI22" s="155">
        <v>11.518155436175086</v>
      </c>
      <c r="BJ22" s="155">
        <v>7.3021612315022448</v>
      </c>
      <c r="BK22" s="155">
        <v>8.6308581731438814</v>
      </c>
      <c r="BL22" s="155">
        <v>9.6150334751675448</v>
      </c>
      <c r="BM22" s="155">
        <v>7.2962239906848625</v>
      </c>
      <c r="BN22" s="155">
        <v>17.819555078093853</v>
      </c>
      <c r="BO22" s="155">
        <v>4.9924603358187953</v>
      </c>
      <c r="BP22" s="155">
        <v>11.919535745513016</v>
      </c>
      <c r="BQ22" s="155">
        <v>13.283312621628617</v>
      </c>
      <c r="BR22" s="155">
        <v>5.3991542309983789</v>
      </c>
      <c r="BS22" s="155">
        <v>11.918614012514753</v>
      </c>
      <c r="BT22" s="155">
        <v>3.4364881303418664</v>
      </c>
      <c r="BU22" s="155">
        <v>9.8019438854256333E-2</v>
      </c>
      <c r="BV22" s="155">
        <v>3.7767984803487904</v>
      </c>
      <c r="BW22" s="155">
        <v>13.02594858775811</v>
      </c>
      <c r="BX22" s="155">
        <v>2.7003168401815434</v>
      </c>
      <c r="BY22" s="155">
        <v>8.3046749185578044</v>
      </c>
      <c r="BZ22" s="155">
        <v>6.2667333021577729</v>
      </c>
      <c r="CA22" s="155">
        <v>3.512033275536377</v>
      </c>
      <c r="CB22" s="155">
        <v>17.357385365231973</v>
      </c>
      <c r="CC22" s="155">
        <v>4.5036170099956001</v>
      </c>
      <c r="CD22" s="155">
        <v>3.9269488084171953</v>
      </c>
      <c r="CE22" s="155">
        <v>0.72149891295729751</v>
      </c>
      <c r="CF22" s="155">
        <v>0.26862183100371384</v>
      </c>
      <c r="CG22" s="155">
        <v>0.3846852476400156</v>
      </c>
      <c r="CH22" s="155">
        <v>1.8141561573569678</v>
      </c>
      <c r="CI22" s="155">
        <v>4.6897117709013934</v>
      </c>
      <c r="CJ22" s="155">
        <v>5.0629773464295109</v>
      </c>
      <c r="CK22" s="155">
        <v>4.3545160819917026</v>
      </c>
      <c r="CL22" s="155">
        <v>1.4305409553484723</v>
      </c>
      <c r="CM22" s="155">
        <v>3.4165310952883452</v>
      </c>
      <c r="CN22" s="155">
        <v>3.6137231897266981</v>
      </c>
      <c r="CO22" s="155">
        <v>4.6311772515890279</v>
      </c>
      <c r="CP22" s="155">
        <v>4.7917934581749551</v>
      </c>
      <c r="CQ22" s="155">
        <v>3.2725960197200976</v>
      </c>
      <c r="CR22" s="155">
        <v>6.7875664579361406</v>
      </c>
      <c r="CS22" s="155">
        <v>4.7220907709352362</v>
      </c>
      <c r="CT22" s="155">
        <v>2.5018602158259751</v>
      </c>
      <c r="CU22" s="155">
        <v>4.4512613863825417</v>
      </c>
      <c r="CV22" s="155">
        <v>2.9402687989304921</v>
      </c>
      <c r="CW22" s="155">
        <v>0.87982553087500859</v>
      </c>
      <c r="CX22" s="155">
        <v>3.5576171705823847</v>
      </c>
      <c r="CY22" s="155">
        <v>5.0449779327156445</v>
      </c>
      <c r="CZ22" s="155">
        <v>3.0125278972983325</v>
      </c>
      <c r="DA22" s="155">
        <v>2.9319792718584758</v>
      </c>
      <c r="DB22" s="155">
        <v>1.3339574993777736</v>
      </c>
      <c r="DC22" s="155">
        <v>5.1842639063933298</v>
      </c>
      <c r="DD22" s="155">
        <v>4.3974790009716509</v>
      </c>
      <c r="DE22" s="155">
        <v>4.1656852552721455</v>
      </c>
      <c r="DF22" s="155">
        <v>4.4865139466879649</v>
      </c>
      <c r="DG22" s="155">
        <v>6.8992805410115974</v>
      </c>
      <c r="DH22" s="155">
        <v>7.0183016836174099</v>
      </c>
      <c r="DI22" s="155">
        <v>6.6668806902751454</v>
      </c>
      <c r="DJ22" s="155">
        <v>16.936014223989687</v>
      </c>
      <c r="DK22" s="155">
        <v>13.799368277412544</v>
      </c>
      <c r="DL22" s="155">
        <v>10.662430782591258</v>
      </c>
      <c r="DM22" s="155">
        <v>3.0137508899562593</v>
      </c>
      <c r="DN22" s="155">
        <v>10.213116056516576</v>
      </c>
      <c r="DO22" s="155">
        <v>3.4213370749364298</v>
      </c>
      <c r="DP22" s="155">
        <v>8.3097663846024901</v>
      </c>
      <c r="DQ22" s="155">
        <v>1.2894715057795563</v>
      </c>
      <c r="DR22" s="155">
        <v>11.392055893226495</v>
      </c>
      <c r="DS22" s="155">
        <v>10.417967273468877</v>
      </c>
      <c r="DT22" s="155">
        <v>6.3032117751378163</v>
      </c>
      <c r="DU22" s="155">
        <v>9.4460187777449427</v>
      </c>
      <c r="DV22" s="155">
        <v>7.7286096699412026</v>
      </c>
      <c r="DW22" s="155">
        <v>8.6962003843750573</v>
      </c>
      <c r="DX22" s="155">
        <v>9.9886733253886106</v>
      </c>
      <c r="DY22" s="155">
        <v>13.360492374191038</v>
      </c>
      <c r="DZ22" s="155">
        <v>15.66916771369865</v>
      </c>
      <c r="EA22" s="155">
        <v>7.1712307282115706</v>
      </c>
      <c r="EB22" s="155">
        <v>8.6704851450866496</v>
      </c>
      <c r="EC22" s="155">
        <v>7.082563785675287</v>
      </c>
      <c r="ED22" s="155">
        <v>6.6410846924749745</v>
      </c>
      <c r="EE22" s="155">
        <v>4.8776988995734216</v>
      </c>
      <c r="EF22" s="155">
        <v>4.7593005369095716</v>
      </c>
      <c r="EG22" s="155">
        <v>5.616281418635019</v>
      </c>
      <c r="EH22" s="155">
        <v>3.9213872331806372</v>
      </c>
      <c r="EI22" s="155">
        <v>3.673880636958287</v>
      </c>
      <c r="EJ22" s="155">
        <v>1.2465084618699236</v>
      </c>
      <c r="EK22" s="155">
        <v>2.8247708299008054</v>
      </c>
      <c r="EL22" s="155">
        <v>5.4891346247848913</v>
      </c>
      <c r="EM22" s="155">
        <v>5.6939572321683585</v>
      </c>
      <c r="EN22" s="155">
        <v>7.3641822148120113</v>
      </c>
      <c r="EO22" s="155">
        <v>3.957382316166453</v>
      </c>
      <c r="EP22" s="155">
        <v>7.0846360830123123</v>
      </c>
      <c r="EQ22" s="155">
        <v>7.6433421073031287</v>
      </c>
      <c r="ER22" s="155">
        <v>9.0866892803423642</v>
      </c>
      <c r="ES22" s="155">
        <v>7.5075723614082905</v>
      </c>
      <c r="ET22" s="155">
        <v>3.1326045563889604</v>
      </c>
      <c r="EU22" s="155">
        <v>2.2427824691144118</v>
      </c>
      <c r="EV22" s="155">
        <v>4.8182686566675823</v>
      </c>
      <c r="EW22" s="155">
        <v>2.0795860135868183</v>
      </c>
      <c r="EX22" s="155">
        <v>6.3093794824277447</v>
      </c>
      <c r="EY22" s="155">
        <v>2.3897229271576461</v>
      </c>
      <c r="EZ22" s="155">
        <v>5.8952837574079382</v>
      </c>
      <c r="FA22" s="155">
        <v>0.82763618467690991</v>
      </c>
      <c r="FB22" s="155">
        <v>3.8704768649708581</v>
      </c>
      <c r="FC22" s="155">
        <v>2.6261300169050026</v>
      </c>
      <c r="FD22" s="155">
        <v>3.5786874128634452</v>
      </c>
      <c r="FE22" s="155">
        <v>3.7495824091723704</v>
      </c>
      <c r="FF22" s="155">
        <v>8.1081557335911398</v>
      </c>
      <c r="FG22" s="155">
        <v>2.427129784204876</v>
      </c>
      <c r="FH22" s="155">
        <v>7.53950476613376</v>
      </c>
      <c r="FI22" s="155">
        <v>3.3489261346061099</v>
      </c>
      <c r="FJ22" s="155">
        <v>7.0058009923481404</v>
      </c>
      <c r="FK22" s="155">
        <v>3.6704574243329202</v>
      </c>
      <c r="FL22" s="155">
        <v>1.0358235931027699</v>
      </c>
      <c r="FM22" s="155">
        <v>1.7419273529836801</v>
      </c>
      <c r="FN22" s="155">
        <v>2.0849955076989302</v>
      </c>
      <c r="FO22" s="155">
        <v>9.8826858075943704</v>
      </c>
      <c r="FP22" s="155">
        <v>3.5468893942855999</v>
      </c>
      <c r="FQ22" s="155">
        <v>0.85847000575494903</v>
      </c>
      <c r="FR22" s="155">
        <v>0.98002194804855403</v>
      </c>
      <c r="FS22" s="155">
        <v>3.4764599380079502</v>
      </c>
      <c r="FT22" s="155">
        <v>1.9929052874298401</v>
      </c>
      <c r="FU22" s="155">
        <v>0.48077866431203897</v>
      </c>
      <c r="FV22" s="155">
        <v>0.67890085924272403</v>
      </c>
      <c r="FW22" s="155">
        <v>3.8918225464667699</v>
      </c>
      <c r="FX22" s="155">
        <v>1.46376682596674</v>
      </c>
      <c r="FY22" s="155">
        <v>5.1797216723109303</v>
      </c>
      <c r="FZ22" s="155">
        <v>5.2351239048099796</v>
      </c>
      <c r="GA22" s="155">
        <v>8.6676995803755705</v>
      </c>
      <c r="GB22" s="155">
        <v>2.8178054630902398</v>
      </c>
      <c r="GC22" s="155">
        <v>0.88102381623550097</v>
      </c>
      <c r="GD22" s="155">
        <v>7.9218042458454896</v>
      </c>
      <c r="GE22" s="155">
        <v>10.4826031798217</v>
      </c>
      <c r="GF22" s="155">
        <v>4.1836733028969801</v>
      </c>
      <c r="GG22" s="155">
        <v>4.6146113619295299</v>
      </c>
      <c r="GH22" s="155">
        <v>1.4515739082419301</v>
      </c>
      <c r="GI22" s="155">
        <v>5.3477028652445204</v>
      </c>
      <c r="GJ22" s="155">
        <v>5.3407699161161197</v>
      </c>
      <c r="GK22" s="155">
        <v>8.3685219253599801</v>
      </c>
      <c r="GL22" s="155">
        <v>6.1930630964832902</v>
      </c>
      <c r="GM22" s="155">
        <v>8.4276400648940495</v>
      </c>
      <c r="GN22" s="155">
        <v>4.77628360686034</v>
      </c>
      <c r="GO22" s="155">
        <v>7.7216876909681904</v>
      </c>
      <c r="GP22" s="155">
        <v>4.6524079969844898</v>
      </c>
      <c r="GQ22" s="155">
        <v>9.3852978040941508</v>
      </c>
      <c r="GR22" s="155">
        <v>5.8498075343040803</v>
      </c>
      <c r="GS22" s="155">
        <v>4.9701553514254799</v>
      </c>
      <c r="GT22" s="155">
        <v>6.8546447932137102</v>
      </c>
      <c r="GU22" s="155">
        <v>10.7559293974632</v>
      </c>
      <c r="GV22" s="155">
        <v>8.9863185517090702</v>
      </c>
      <c r="GW22" s="155">
        <v>10.835489635612101</v>
      </c>
      <c r="GX22" s="155">
        <v>9.9619235517981704</v>
      </c>
      <c r="GY22" s="155">
        <v>20.291703797202398</v>
      </c>
      <c r="GZ22" s="155">
        <v>6.2256417039505996</v>
      </c>
      <c r="HA22" s="155">
        <v>5.2847618611381497</v>
      </c>
      <c r="HB22" s="155">
        <v>3.1203700675466299</v>
      </c>
      <c r="HC22" s="155">
        <v>12.8303168769908</v>
      </c>
      <c r="HD22" s="155">
        <v>10.3258378219678</v>
      </c>
      <c r="HE22" s="155">
        <v>5.0280961663550903</v>
      </c>
      <c r="HF22" s="155">
        <v>1.4494859471119801</v>
      </c>
      <c r="HG22" s="155">
        <v>3.6676014577749898</v>
      </c>
      <c r="HH22" s="155">
        <v>5.5654700513512703</v>
      </c>
      <c r="HI22" s="155">
        <v>2.2559677961046001</v>
      </c>
      <c r="HJ22" s="155">
        <v>3.1472556114864498</v>
      </c>
      <c r="HK22" s="155">
        <v>7.6438091691126502</v>
      </c>
      <c r="HL22" s="155">
        <v>7.0360525036453501</v>
      </c>
      <c r="HM22" s="155">
        <v>0.13670465935993101</v>
      </c>
      <c r="HN22" s="155">
        <v>4.1029065065262804</v>
      </c>
      <c r="HO22" s="155">
        <v>12.6066313986684</v>
      </c>
      <c r="HP22" s="155">
        <v>3.2289076577808</v>
      </c>
      <c r="HQ22" s="155">
        <v>21.258780270128302</v>
      </c>
      <c r="HR22" s="155">
        <v>19.928265312994199</v>
      </c>
      <c r="HS22" s="155">
        <v>9.1839357903666397</v>
      </c>
      <c r="HT22" s="155">
        <v>12.223017742019</v>
      </c>
      <c r="HU22" s="155">
        <v>5.0245540303148299</v>
      </c>
      <c r="HV22" s="155">
        <v>19.189371093461698</v>
      </c>
      <c r="HW22" s="155">
        <v>10.0868778744384</v>
      </c>
      <c r="HX22" s="155">
        <v>19.560568894632102</v>
      </c>
      <c r="HY22" s="155">
        <v>9.8213401417411994</v>
      </c>
      <c r="HZ22" s="155">
        <v>11.786397411429901</v>
      </c>
      <c r="IA22" s="155">
        <v>8.2896985714149292</v>
      </c>
      <c r="IB22" s="155">
        <v>1.4088687827225701</v>
      </c>
      <c r="IC22" s="155">
        <v>6.02000136408736</v>
      </c>
      <c r="ID22" s="155">
        <v>4.8626747760762301</v>
      </c>
      <c r="IE22" s="155">
        <v>6.7664774807124699</v>
      </c>
    </row>
    <row r="23" spans="1:239" s="142" customFormat="1" ht="16.5" customHeight="1">
      <c r="A23" s="147" t="s">
        <v>206</v>
      </c>
      <c r="B23" s="147"/>
      <c r="C23" s="155">
        <v>34.654425693487937</v>
      </c>
      <c r="D23" s="155">
        <v>32.250457504323585</v>
      </c>
      <c r="E23" s="155">
        <v>18.44731642777996</v>
      </c>
      <c r="F23" s="155">
        <v>40.70066659021316</v>
      </c>
      <c r="G23" s="155">
        <v>26.367723695063017</v>
      </c>
      <c r="H23" s="155">
        <v>25.086704138228207</v>
      </c>
      <c r="I23" s="155">
        <v>21.511331260409687</v>
      </c>
      <c r="J23" s="155">
        <v>37.589551463548013</v>
      </c>
      <c r="K23" s="155">
        <v>36.516176716377743</v>
      </c>
      <c r="L23" s="155">
        <v>35.806760589055806</v>
      </c>
      <c r="M23" s="155">
        <v>39.409645242510422</v>
      </c>
      <c r="N23" s="155">
        <v>30.699791790512009</v>
      </c>
      <c r="O23" s="155">
        <v>28.371246308831171</v>
      </c>
      <c r="P23" s="155">
        <v>24.967274313708764</v>
      </c>
      <c r="Q23" s="155">
        <v>23.764232531789851</v>
      </c>
      <c r="R23" s="155">
        <v>33.034799483118313</v>
      </c>
      <c r="S23" s="155">
        <v>29.505785383137205</v>
      </c>
      <c r="T23" s="155">
        <v>32.486565121447157</v>
      </c>
      <c r="U23" s="155">
        <v>28.121657033965054</v>
      </c>
      <c r="V23" s="155">
        <v>35.72546073554053</v>
      </c>
      <c r="W23" s="155">
        <v>17.118706072084635</v>
      </c>
      <c r="X23" s="155">
        <v>70.271551746100528</v>
      </c>
      <c r="Y23" s="155">
        <v>61.074873649678771</v>
      </c>
      <c r="Z23" s="155">
        <v>58.133484159167736</v>
      </c>
      <c r="AA23" s="155">
        <v>49.352351113377772</v>
      </c>
      <c r="AB23" s="155">
        <v>4.6668820417488872</v>
      </c>
      <c r="AC23" s="155">
        <v>80.05442082509461</v>
      </c>
      <c r="AD23" s="155">
        <v>29.422444277684047</v>
      </c>
      <c r="AE23" s="155">
        <v>38.884388256576422</v>
      </c>
      <c r="AF23" s="155">
        <v>13.672981609326124</v>
      </c>
      <c r="AG23" s="155">
        <v>79.024845337406447</v>
      </c>
      <c r="AH23" s="155">
        <v>80.651357581733421</v>
      </c>
      <c r="AI23" s="155">
        <v>28.4477257825469</v>
      </c>
      <c r="AJ23" s="155">
        <v>30.3462436674088</v>
      </c>
      <c r="AK23" s="155">
        <v>45.997302349162403</v>
      </c>
      <c r="AL23" s="155">
        <v>25.425644669528179</v>
      </c>
      <c r="AM23" s="155">
        <v>31.537756830637935</v>
      </c>
      <c r="AN23" s="155">
        <v>18.432665501240379</v>
      </c>
      <c r="AO23" s="155">
        <v>12.19052580894369</v>
      </c>
      <c r="AP23" s="155">
        <v>21.050871974692111</v>
      </c>
      <c r="AQ23" s="155">
        <v>34.173952593146907</v>
      </c>
      <c r="AR23" s="155">
        <v>54.915809728417585</v>
      </c>
      <c r="AS23" s="155">
        <v>15.173629732204397</v>
      </c>
      <c r="AT23" s="155">
        <v>26.628154506110103</v>
      </c>
      <c r="AU23" s="155">
        <v>10.543057470214388</v>
      </c>
      <c r="AV23" s="155">
        <v>19.534720322323949</v>
      </c>
      <c r="AW23" s="155">
        <v>18.375627831876475</v>
      </c>
      <c r="AX23" s="155">
        <v>18.346791369444098</v>
      </c>
      <c r="AY23" s="155">
        <v>16.744995298641296</v>
      </c>
      <c r="AZ23" s="155">
        <v>14.054537123814493</v>
      </c>
      <c r="BA23" s="155">
        <v>23.069420485426949</v>
      </c>
      <c r="BB23" s="155">
        <v>11.846615564257718</v>
      </c>
      <c r="BC23" s="155">
        <v>15.748698596784418</v>
      </c>
      <c r="BD23" s="155">
        <v>36.275370939070882</v>
      </c>
      <c r="BE23" s="155">
        <v>36.434998530746618</v>
      </c>
      <c r="BF23" s="155">
        <v>28.175777060692518</v>
      </c>
      <c r="BG23" s="155">
        <v>54.943608929634692</v>
      </c>
      <c r="BH23" s="155">
        <v>41.467162583762786</v>
      </c>
      <c r="BI23" s="155">
        <v>44.945271779723107</v>
      </c>
      <c r="BJ23" s="155">
        <v>40.329772386460135</v>
      </c>
      <c r="BK23" s="155">
        <v>55.913820565869074</v>
      </c>
      <c r="BL23" s="155">
        <v>54.741583855573658</v>
      </c>
      <c r="BM23" s="155">
        <v>47.151096398170395</v>
      </c>
      <c r="BN23" s="155">
        <v>25.827090783118077</v>
      </c>
      <c r="BO23" s="155">
        <v>30.400428215229734</v>
      </c>
      <c r="BP23" s="155">
        <v>29.142720253844818</v>
      </c>
      <c r="BQ23" s="155">
        <v>31.647971273382336</v>
      </c>
      <c r="BR23" s="155">
        <v>26.515643489277284</v>
      </c>
      <c r="BS23" s="155">
        <v>19.220841637102311</v>
      </c>
      <c r="BT23" s="155">
        <v>32.297802084291547</v>
      </c>
      <c r="BU23" s="155">
        <v>28.756490195207014</v>
      </c>
      <c r="BV23" s="155">
        <v>54.352019391306605</v>
      </c>
      <c r="BW23" s="155">
        <v>22.583773463210598</v>
      </c>
      <c r="BX23" s="155">
        <v>22.254770844802028</v>
      </c>
      <c r="BY23" s="155">
        <v>35.422199931210187</v>
      </c>
      <c r="BZ23" s="155">
        <v>25.980836490240726</v>
      </c>
      <c r="CA23" s="155">
        <v>10.694698669237077</v>
      </c>
      <c r="CB23" s="155">
        <v>10.292713983288246</v>
      </c>
      <c r="CC23" s="155">
        <v>25.466022217061123</v>
      </c>
      <c r="CD23" s="155">
        <v>11.494330041638387</v>
      </c>
      <c r="CE23" s="155">
        <v>11.323754642425504</v>
      </c>
      <c r="CF23" s="155">
        <v>14.598266019264287</v>
      </c>
      <c r="CG23" s="155">
        <v>18.036164314816766</v>
      </c>
      <c r="CH23" s="155">
        <v>26.93585848550163</v>
      </c>
      <c r="CI23" s="155">
        <v>32.143018410573717</v>
      </c>
      <c r="CJ23" s="155">
        <v>22.415756748604149</v>
      </c>
      <c r="CK23" s="155">
        <v>29.092151869954069</v>
      </c>
      <c r="CL23" s="155">
        <v>30.119204440347204</v>
      </c>
      <c r="CM23" s="155">
        <v>31.770109810666209</v>
      </c>
      <c r="CN23" s="155">
        <v>31.58900995592807</v>
      </c>
      <c r="CO23" s="155">
        <v>37.917513396072231</v>
      </c>
      <c r="CP23" s="155">
        <v>25.041311424217817</v>
      </c>
      <c r="CQ23" s="155">
        <v>35.938066847148406</v>
      </c>
      <c r="CR23" s="155">
        <v>23.573770393865747</v>
      </c>
      <c r="CS23" s="155">
        <v>13.001567492574157</v>
      </c>
      <c r="CT23" s="155">
        <v>4.5445790519964424</v>
      </c>
      <c r="CU23" s="155">
        <v>15.965920817714185</v>
      </c>
      <c r="CV23" s="155">
        <v>9.2276137591449974</v>
      </c>
      <c r="CW23" s="155">
        <v>8.5429476433984934</v>
      </c>
      <c r="CX23" s="155">
        <v>11.39210735026829</v>
      </c>
      <c r="CY23" s="155">
        <v>16.579182143592593</v>
      </c>
      <c r="CZ23" s="155">
        <v>16.229105157589366</v>
      </c>
      <c r="DA23" s="155">
        <v>13.933842301200178</v>
      </c>
      <c r="DB23" s="155">
        <v>11.923576566806798</v>
      </c>
      <c r="DC23" s="155">
        <v>24.110731672610857</v>
      </c>
      <c r="DD23" s="155">
        <v>29.980632751426384</v>
      </c>
      <c r="DE23" s="155">
        <v>18.022168300019029</v>
      </c>
      <c r="DF23" s="155">
        <v>20.552710116935113</v>
      </c>
      <c r="DG23" s="155">
        <v>38.926486187873707</v>
      </c>
      <c r="DH23" s="155">
        <v>28.87376725652453</v>
      </c>
      <c r="DI23" s="155">
        <v>24.900325183426517</v>
      </c>
      <c r="DJ23" s="155">
        <v>22.960571230526565</v>
      </c>
      <c r="DK23" s="155">
        <v>29.42977973901597</v>
      </c>
      <c r="DL23" s="155">
        <v>28.077390932856161</v>
      </c>
      <c r="DM23" s="155">
        <v>30.930818722674669</v>
      </c>
      <c r="DN23" s="155">
        <v>16.054142733303475</v>
      </c>
      <c r="DO23" s="155">
        <v>24.339192475640001</v>
      </c>
      <c r="DP23" s="155">
        <v>21.71634517315195</v>
      </c>
      <c r="DQ23" s="155">
        <v>41.374776798329819</v>
      </c>
      <c r="DR23" s="155">
        <v>40.1889000058165</v>
      </c>
      <c r="DS23" s="155">
        <v>28.252970346971669</v>
      </c>
      <c r="DT23" s="155">
        <v>44.086086934073627</v>
      </c>
      <c r="DU23" s="155">
        <v>38.70023392790867</v>
      </c>
      <c r="DV23" s="155">
        <v>22.607180058064642</v>
      </c>
      <c r="DW23" s="155">
        <v>21.783759601721041</v>
      </c>
      <c r="DX23" s="155">
        <v>27.856437256562057</v>
      </c>
      <c r="DY23" s="155">
        <v>18.503641557165015</v>
      </c>
      <c r="DZ23" s="155">
        <v>16.472059570136093</v>
      </c>
      <c r="EA23" s="155">
        <v>20.733078144257743</v>
      </c>
      <c r="EB23" s="155">
        <v>16.733108644240442</v>
      </c>
      <c r="EC23" s="155">
        <v>29.401773647125118</v>
      </c>
      <c r="ED23" s="155">
        <v>18.240069986779901</v>
      </c>
      <c r="EE23" s="155">
        <v>27.945680829937068</v>
      </c>
      <c r="EF23" s="155">
        <v>24.30651391878612</v>
      </c>
      <c r="EG23" s="155">
        <v>27.232529746367746</v>
      </c>
      <c r="EH23" s="155">
        <v>26.377062668465388</v>
      </c>
      <c r="EI23" s="155">
        <v>24.621483594806541</v>
      </c>
      <c r="EJ23" s="155">
        <v>21.362697062094103</v>
      </c>
      <c r="EK23" s="155">
        <v>12.508008339015579</v>
      </c>
      <c r="EL23" s="155">
        <v>19.402158191852465</v>
      </c>
      <c r="EM23" s="155">
        <v>29.300960129869875</v>
      </c>
      <c r="EN23" s="155">
        <v>22.68084309502207</v>
      </c>
      <c r="EO23" s="155">
        <v>33.039725152974526</v>
      </c>
      <c r="EP23" s="155">
        <v>31.71267958966391</v>
      </c>
      <c r="EQ23" s="155">
        <v>22.291484094338021</v>
      </c>
      <c r="ER23" s="155">
        <v>20.262911797986472</v>
      </c>
      <c r="ES23" s="155">
        <v>15.723534737853925</v>
      </c>
      <c r="ET23" s="155">
        <v>18.787719949499849</v>
      </c>
      <c r="EU23" s="155">
        <v>25.613321622680356</v>
      </c>
      <c r="EV23" s="155">
        <v>14.991266672233087</v>
      </c>
      <c r="EW23" s="155">
        <v>24.343584692789602</v>
      </c>
      <c r="EX23" s="155">
        <v>11.8702693224184</v>
      </c>
      <c r="EY23" s="155">
        <v>20.408521540474663</v>
      </c>
      <c r="EZ23" s="155">
        <v>14.057776685543615</v>
      </c>
      <c r="FA23" s="155">
        <v>15.013313846881202</v>
      </c>
      <c r="FB23" s="155">
        <v>7.1170553217645764</v>
      </c>
      <c r="FC23" s="155">
        <v>5.6464765224974691</v>
      </c>
      <c r="FD23" s="155">
        <v>20.697172104867111</v>
      </c>
      <c r="FE23" s="155">
        <v>15.497908472485406</v>
      </c>
      <c r="FF23" s="155">
        <v>6.6520977927022411</v>
      </c>
      <c r="FG23" s="155">
        <v>13.923417329688789</v>
      </c>
      <c r="FH23" s="155">
        <v>8.7833630663394704</v>
      </c>
      <c r="FI23" s="155">
        <v>19.228821324659599</v>
      </c>
      <c r="FJ23" s="155">
        <v>9.6652357397810995</v>
      </c>
      <c r="FK23" s="155">
        <v>14.7530186955752</v>
      </c>
      <c r="FL23" s="155">
        <v>25.895726141464099</v>
      </c>
      <c r="FM23" s="155">
        <v>22.302407662193499</v>
      </c>
      <c r="FN23" s="155">
        <v>29.569120806928701</v>
      </c>
      <c r="FO23" s="155">
        <v>24.476514062488601</v>
      </c>
      <c r="FP23" s="155">
        <v>24.306309946921399</v>
      </c>
      <c r="FQ23" s="155">
        <v>29.000326793685101</v>
      </c>
      <c r="FR23" s="155">
        <v>10.527658352828301</v>
      </c>
      <c r="FS23" s="155">
        <v>15.175139827642701</v>
      </c>
      <c r="FT23" s="155">
        <v>18.374934882377001</v>
      </c>
      <c r="FU23" s="155">
        <v>7.9101057842284197</v>
      </c>
      <c r="FV23" s="155">
        <v>18.508662116735</v>
      </c>
      <c r="FW23" s="155">
        <v>17.199398629740799</v>
      </c>
      <c r="FX23" s="155">
        <v>15.3655850301096</v>
      </c>
      <c r="FY23" s="155">
        <v>11.251059639685399</v>
      </c>
      <c r="FZ23" s="155">
        <v>5.7170513115145303</v>
      </c>
      <c r="GA23" s="155">
        <v>14.345472111897299</v>
      </c>
      <c r="GB23" s="155">
        <v>6.25916409706634</v>
      </c>
      <c r="GC23" s="155">
        <v>20.6371250061637</v>
      </c>
      <c r="GD23" s="155">
        <v>18.287708036911599</v>
      </c>
      <c r="GE23" s="155">
        <v>18.990858780525301</v>
      </c>
      <c r="GF23" s="155">
        <v>19.577061537337801</v>
      </c>
      <c r="GG23" s="155">
        <v>21.9541588246237</v>
      </c>
      <c r="GH23" s="155">
        <v>25.2814085033521</v>
      </c>
      <c r="GI23" s="155">
        <v>23.0866964838348</v>
      </c>
      <c r="GJ23" s="155">
        <v>15.556861742065299</v>
      </c>
      <c r="GK23" s="155">
        <v>24.4188647338088</v>
      </c>
      <c r="GL23" s="155">
        <v>14.0148761459873</v>
      </c>
      <c r="GM23" s="155">
        <v>28.073566637001601</v>
      </c>
      <c r="GN23" s="155">
        <v>31.213928672463599</v>
      </c>
      <c r="GO23" s="155">
        <v>35.964198932280297</v>
      </c>
      <c r="GP23" s="155">
        <v>35.0604151365863</v>
      </c>
      <c r="GQ23" s="155">
        <v>32.142671991392497</v>
      </c>
      <c r="GR23" s="155">
        <v>22.348004926705801</v>
      </c>
      <c r="GS23" s="155">
        <v>24.728721417559399</v>
      </c>
      <c r="GT23" s="155">
        <v>58.453046672321499</v>
      </c>
      <c r="GU23" s="155">
        <v>40.436070455648903</v>
      </c>
      <c r="GV23" s="155">
        <v>45.402590347901899</v>
      </c>
      <c r="GW23" s="155">
        <v>31.384490403466199</v>
      </c>
      <c r="GX23" s="155">
        <v>39.596096312357901</v>
      </c>
      <c r="GY23" s="155">
        <v>14.8500325410178</v>
      </c>
      <c r="GZ23" s="155">
        <v>9.9536049408331095</v>
      </c>
      <c r="HA23" s="155">
        <v>22.833545013895701</v>
      </c>
      <c r="HB23" s="155">
        <v>20.2193091020638</v>
      </c>
      <c r="HC23" s="155">
        <v>5.7174373643067202</v>
      </c>
      <c r="HD23" s="155">
        <v>21.366279508860799</v>
      </c>
      <c r="HE23" s="155">
        <v>24.042620180222698</v>
      </c>
      <c r="HF23" s="155">
        <v>20.118336958116899</v>
      </c>
      <c r="HG23" s="155">
        <v>18.0027813408601</v>
      </c>
      <c r="HH23" s="155">
        <v>23.728413725266702</v>
      </c>
      <c r="HI23" s="155">
        <v>20.3494487952598</v>
      </c>
      <c r="HJ23" s="155">
        <v>28.919368981912701</v>
      </c>
      <c r="HK23" s="155">
        <v>20.298895950873298</v>
      </c>
      <c r="HL23" s="155">
        <v>26.968861455991</v>
      </c>
      <c r="HM23" s="155">
        <v>24.785952532156799</v>
      </c>
      <c r="HN23" s="155">
        <v>16.948954746238702</v>
      </c>
      <c r="HO23" s="155">
        <v>20.027881028498602</v>
      </c>
      <c r="HP23" s="155">
        <v>24.0610611048598</v>
      </c>
      <c r="HQ23" s="155">
        <v>23.689553883971801</v>
      </c>
      <c r="HR23" s="155">
        <v>23.260104682814301</v>
      </c>
      <c r="HS23" s="155">
        <v>17.009175516810501</v>
      </c>
      <c r="HT23" s="155">
        <v>28.375371437265699</v>
      </c>
      <c r="HU23" s="155">
        <v>27.996663921903298</v>
      </c>
      <c r="HV23" s="155">
        <v>22.7361632806202</v>
      </c>
      <c r="HW23" s="155">
        <v>16.0167769518889</v>
      </c>
      <c r="HX23" s="155">
        <v>32.170987447096898</v>
      </c>
      <c r="HY23" s="155">
        <v>27.952199806036798</v>
      </c>
      <c r="HZ23" s="155">
        <v>28.825138025695299</v>
      </c>
      <c r="IA23" s="155">
        <v>26.681210635482699</v>
      </c>
      <c r="IB23" s="155">
        <v>37.070496274471601</v>
      </c>
      <c r="IC23" s="155">
        <v>23.569565731057999</v>
      </c>
      <c r="ID23" s="155">
        <v>32.517207076674303</v>
      </c>
      <c r="IE23" s="155">
        <v>27.566437067709099</v>
      </c>
    </row>
    <row r="24" spans="1:239" s="142" customFormat="1" ht="16.5" customHeight="1">
      <c r="A24" s="152" t="s">
        <v>207</v>
      </c>
      <c r="B24" s="152"/>
      <c r="C24" s="156">
        <v>56.086078227294813</v>
      </c>
      <c r="D24" s="156">
        <v>48.412269819826385</v>
      </c>
      <c r="E24" s="156">
        <v>76.880600492589323</v>
      </c>
      <c r="F24" s="156">
        <v>50.055710936164111</v>
      </c>
      <c r="G24" s="156">
        <v>71.746308963965831</v>
      </c>
      <c r="H24" s="156">
        <v>64.036960004856667</v>
      </c>
      <c r="I24" s="156">
        <v>67.725462339434713</v>
      </c>
      <c r="J24" s="156">
        <v>51.422395604447658</v>
      </c>
      <c r="K24" s="156">
        <v>52.532244865433064</v>
      </c>
      <c r="L24" s="156">
        <v>58.080337387615344</v>
      </c>
      <c r="M24" s="156">
        <v>50.059240626876147</v>
      </c>
      <c r="N24" s="156">
        <v>59.383915778813254</v>
      </c>
      <c r="O24" s="156">
        <v>58.393703406817096</v>
      </c>
      <c r="P24" s="156">
        <v>60.090447922684099</v>
      </c>
      <c r="Q24" s="156">
        <v>62.212640426761467</v>
      </c>
      <c r="R24" s="156">
        <v>42.733878726716625</v>
      </c>
      <c r="S24" s="156">
        <v>64.364305633996224</v>
      </c>
      <c r="T24" s="156">
        <v>62.623648496409501</v>
      </c>
      <c r="U24" s="156">
        <v>62.859129687722074</v>
      </c>
      <c r="V24" s="156">
        <v>54.024340546215463</v>
      </c>
      <c r="W24" s="156">
        <v>76.483273541579649</v>
      </c>
      <c r="X24" s="156">
        <v>27.631455778306258</v>
      </c>
      <c r="Y24" s="156">
        <v>34.593899969982388</v>
      </c>
      <c r="Z24" s="156">
        <v>29.51794558086165</v>
      </c>
      <c r="AA24" s="156">
        <v>45.020649926741477</v>
      </c>
      <c r="AB24" s="156">
        <v>76.123612147783476</v>
      </c>
      <c r="AC24" s="156">
        <v>13.693413461151271</v>
      </c>
      <c r="AD24" s="156">
        <v>56.248454121937485</v>
      </c>
      <c r="AE24" s="156">
        <v>30.084280448109297</v>
      </c>
      <c r="AF24" s="156">
        <v>66.883786312474911</v>
      </c>
      <c r="AG24" s="156">
        <v>17.493748174765056</v>
      </c>
      <c r="AH24" s="156">
        <v>16.819534265169548</v>
      </c>
      <c r="AI24" s="156">
        <v>71.552274217453132</v>
      </c>
      <c r="AJ24" s="156">
        <v>60.254443616772313</v>
      </c>
      <c r="AK24" s="156">
        <v>48.235866114494875</v>
      </c>
      <c r="AL24" s="156">
        <v>67.196649374690722</v>
      </c>
      <c r="AM24" s="156">
        <v>55.820620299214937</v>
      </c>
      <c r="AN24" s="156">
        <v>63.419730386449203</v>
      </c>
      <c r="AO24" s="156">
        <v>72.832890116920055</v>
      </c>
      <c r="AP24" s="156">
        <v>69.698833029446362</v>
      </c>
      <c r="AQ24" s="156">
        <v>55.146211508943708</v>
      </c>
      <c r="AR24" s="156">
        <v>35.050309472171044</v>
      </c>
      <c r="AS24" s="156">
        <v>78.144610652526879</v>
      </c>
      <c r="AT24" s="156">
        <v>57.007971693155127</v>
      </c>
      <c r="AU24" s="156">
        <v>74.214632176372803</v>
      </c>
      <c r="AV24" s="156">
        <v>68.395303433749348</v>
      </c>
      <c r="AW24" s="156">
        <v>67.540558497253059</v>
      </c>
      <c r="AX24" s="156">
        <v>69.109632057689922</v>
      </c>
      <c r="AY24" s="156">
        <v>53.354109827377904</v>
      </c>
      <c r="AZ24" s="156">
        <v>61.272422123801995</v>
      </c>
      <c r="BA24" s="156">
        <v>64.493321180113199</v>
      </c>
      <c r="BB24" s="156">
        <v>79.303748067651142</v>
      </c>
      <c r="BC24" s="156">
        <v>70.791219661479161</v>
      </c>
      <c r="BD24" s="156">
        <v>48.568783323301197</v>
      </c>
      <c r="BE24" s="156">
        <v>46.574884267966034</v>
      </c>
      <c r="BF24" s="156">
        <v>57.120568796545392</v>
      </c>
      <c r="BG24" s="156">
        <v>37.053676693606477</v>
      </c>
      <c r="BH24" s="156">
        <v>56.12133762414414</v>
      </c>
      <c r="BI24" s="156">
        <v>43.536572784101843</v>
      </c>
      <c r="BJ24" s="156">
        <v>52.368066382037561</v>
      </c>
      <c r="BK24" s="156">
        <v>35.455321260987041</v>
      </c>
      <c r="BL24" s="156">
        <v>35.643382669258727</v>
      </c>
      <c r="BM24" s="156">
        <v>45.552679611144633</v>
      </c>
      <c r="BN24" s="156">
        <v>56.353354138788156</v>
      </c>
      <c r="BO24" s="156">
        <v>64.607111448951457</v>
      </c>
      <c r="BP24" s="156">
        <v>58.937744000642013</v>
      </c>
      <c r="BQ24" s="156">
        <v>55.068716104989015</v>
      </c>
      <c r="BR24" s="156">
        <v>68.085202279724413</v>
      </c>
      <c r="BS24" s="156">
        <v>68.860544350382938</v>
      </c>
      <c r="BT24" s="156">
        <v>64.265709785366724</v>
      </c>
      <c r="BU24" s="156">
        <v>71.145490365938855</v>
      </c>
      <c r="BV24" s="156">
        <v>41.871182128344671</v>
      </c>
      <c r="BW24" s="156">
        <v>64.390277949031244</v>
      </c>
      <c r="BX24" s="156">
        <v>75.044912315016319</v>
      </c>
      <c r="BY24" s="156">
        <v>56.273125150232005</v>
      </c>
      <c r="BZ24" s="156">
        <v>67.752430207601421</v>
      </c>
      <c r="CA24" s="156">
        <v>85.793268055226534</v>
      </c>
      <c r="CB24" s="156">
        <v>72.349900651479757</v>
      </c>
      <c r="CC24" s="156">
        <v>70.030360772943212</v>
      </c>
      <c r="CD24" s="156">
        <v>84.578721149944528</v>
      </c>
      <c r="CE24" s="156">
        <v>87.954746444617172</v>
      </c>
      <c r="CF24" s="156">
        <v>85.133112149732085</v>
      </c>
      <c r="CG24" s="156">
        <v>81.579150437543163</v>
      </c>
      <c r="CH24" s="156">
        <v>71.249985357141384</v>
      </c>
      <c r="CI24" s="156">
        <v>63.167269818524929</v>
      </c>
      <c r="CJ24" s="156">
        <v>72.521265904966498</v>
      </c>
      <c r="CK24" s="156">
        <v>66.553332048054259</v>
      </c>
      <c r="CL24" s="156">
        <v>68.450254604304206</v>
      </c>
      <c r="CM24" s="156">
        <v>64.813359094045538</v>
      </c>
      <c r="CN24" s="156">
        <v>64.797266854345267</v>
      </c>
      <c r="CO24" s="156">
        <v>57.451309352338811</v>
      </c>
      <c r="CP24" s="156">
        <v>70.166895117607083</v>
      </c>
      <c r="CQ24" s="156">
        <v>60.78933713313144</v>
      </c>
      <c r="CR24" s="156">
        <v>69.638663148198191</v>
      </c>
      <c r="CS24" s="156">
        <v>82.276341736490707</v>
      </c>
      <c r="CT24" s="156">
        <v>92.953560732177749</v>
      </c>
      <c r="CU24" s="156">
        <v>79.582817795903296</v>
      </c>
      <c r="CV24" s="156">
        <v>87.832117441924495</v>
      </c>
      <c r="CW24" s="156">
        <v>90.57722682572647</v>
      </c>
      <c r="CX24" s="156">
        <v>85.050275479149335</v>
      </c>
      <c r="CY24" s="156">
        <v>78.3758399236918</v>
      </c>
      <c r="CZ24" s="156">
        <v>80.758366945112243</v>
      </c>
      <c r="DA24" s="156">
        <v>83.13417842694129</v>
      </c>
      <c r="DB24" s="156">
        <v>86.742465933815524</v>
      </c>
      <c r="DC24" s="156">
        <v>70.705004420995792</v>
      </c>
      <c r="DD24" s="156">
        <v>65.621888247601973</v>
      </c>
      <c r="DE24" s="156">
        <v>77.812146444708702</v>
      </c>
      <c r="DF24" s="156">
        <v>74.960775936377004</v>
      </c>
      <c r="DG24" s="156">
        <v>54.174233271114758</v>
      </c>
      <c r="DH24" s="156">
        <v>64.107931059857904</v>
      </c>
      <c r="DI24" s="156">
        <v>68.432794126298262</v>
      </c>
      <c r="DJ24" s="156">
        <v>60.103414545483822</v>
      </c>
      <c r="DK24" s="156">
        <v>56.770851983571589</v>
      </c>
      <c r="DL24" s="156">
        <v>61.260178284552595</v>
      </c>
      <c r="DM24" s="156">
        <v>66.055430387369</v>
      </c>
      <c r="DN24" s="156">
        <v>73.732741210179853</v>
      </c>
      <c r="DO24" s="156">
        <v>72.23947044942355</v>
      </c>
      <c r="DP24" s="156">
        <v>69.97388844224551</v>
      </c>
      <c r="DQ24" s="156">
        <v>57.335751695890622</v>
      </c>
      <c r="DR24" s="156">
        <v>48.419044100956924</v>
      </c>
      <c r="DS24" s="156">
        <v>61.329062379559431</v>
      </c>
      <c r="DT24" s="156">
        <v>49.610701290788519</v>
      </c>
      <c r="DU24" s="156">
        <v>51.853747294346441</v>
      </c>
      <c r="DV24" s="156">
        <v>69.664210271994193</v>
      </c>
      <c r="DW24" s="156">
        <v>69.520040013903881</v>
      </c>
      <c r="DX24" s="156">
        <v>62.154889418049287</v>
      </c>
      <c r="DY24" s="156">
        <v>68.135866068643907</v>
      </c>
      <c r="DZ24" s="156">
        <v>67.858772716165248</v>
      </c>
      <c r="EA24" s="156">
        <v>72.095691127530813</v>
      </c>
      <c r="EB24" s="156">
        <v>74.596406210672939</v>
      </c>
      <c r="EC24" s="156">
        <v>63.515662567199605</v>
      </c>
      <c r="ED24" s="156">
        <v>75.118845320745109</v>
      </c>
      <c r="EE24" s="156">
        <v>67.176620270489494</v>
      </c>
      <c r="EF24" s="156">
        <v>70.934185544304341</v>
      </c>
      <c r="EG24" s="156">
        <v>67.151188834997129</v>
      </c>
      <c r="EH24" s="156">
        <v>69.701550098353934</v>
      </c>
      <c r="EI24" s="156">
        <v>71.704635768235192</v>
      </c>
      <c r="EJ24" s="156">
        <v>77.390794476036078</v>
      </c>
      <c r="EK24" s="156">
        <v>84.66722083108364</v>
      </c>
      <c r="EL24" s="156">
        <v>75.10870718336264</v>
      </c>
      <c r="EM24" s="156">
        <v>65.005082637961749</v>
      </c>
      <c r="EN24" s="156">
        <v>69.954974690165912</v>
      </c>
      <c r="EO24" s="156">
        <v>63.002892530858922</v>
      </c>
      <c r="EP24" s="156">
        <v>61.202684327323865</v>
      </c>
      <c r="EQ24" s="156">
        <v>70.065173798358813</v>
      </c>
      <c r="ER24" s="156">
        <v>70.650398921671155</v>
      </c>
      <c r="ES24" s="156">
        <v>76.768892900737853</v>
      </c>
      <c r="ET24" s="156">
        <v>78.079675494111285</v>
      </c>
      <c r="EU24" s="156">
        <v>72.143895908205167</v>
      </c>
      <c r="EV24" s="156">
        <v>80.190464671099377</v>
      </c>
      <c r="EW24" s="156">
        <v>73.576829293623575</v>
      </c>
      <c r="EX24" s="156">
        <v>81.820351195153805</v>
      </c>
      <c r="EY24" s="156">
        <v>77.20175553236777</v>
      </c>
      <c r="EZ24" s="156">
        <v>80.046939557048347</v>
      </c>
      <c r="FA24" s="156">
        <v>83.764602081479467</v>
      </c>
      <c r="FB24" s="156">
        <v>89.012467813264735</v>
      </c>
      <c r="FC24" s="156">
        <v>91.727393460597384</v>
      </c>
      <c r="FD24" s="156">
        <v>75.724140482269476</v>
      </c>
      <c r="FE24" s="156">
        <v>80.752509118342246</v>
      </c>
      <c r="FF24" s="156">
        <v>85.23974647370666</v>
      </c>
      <c r="FG24" s="156">
        <v>85.518075629528681</v>
      </c>
      <c r="FH24" s="156">
        <v>83.677132167526807</v>
      </c>
      <c r="FI24" s="156">
        <v>77.422252540734306</v>
      </c>
      <c r="FJ24" s="156">
        <v>83.328963267870805</v>
      </c>
      <c r="FK24" s="156">
        <v>81.576523880091898</v>
      </c>
      <c r="FL24" s="156">
        <v>73.068450265433199</v>
      </c>
      <c r="FM24" s="156">
        <v>75.955664984822903</v>
      </c>
      <c r="FN24" s="156">
        <v>68.345883685372399</v>
      </c>
      <c r="FO24" s="156">
        <v>65.640800129916997</v>
      </c>
      <c r="FP24" s="156">
        <v>72.146800658792998</v>
      </c>
      <c r="FQ24" s="156">
        <v>70.14120320056</v>
      </c>
      <c r="FR24" s="156">
        <v>88.4923196991232</v>
      </c>
      <c r="FS24" s="156">
        <v>81.348400234349299</v>
      </c>
      <c r="FT24" s="156">
        <v>79.632159830193103</v>
      </c>
      <c r="FU24" s="156">
        <v>91.609115551459496</v>
      </c>
      <c r="FV24" s="156">
        <v>80.812437024022202</v>
      </c>
      <c r="FW24" s="156">
        <v>78.908778823792403</v>
      </c>
      <c r="FX24" s="156">
        <v>83.1706481439236</v>
      </c>
      <c r="FY24" s="156">
        <v>83.569218688003701</v>
      </c>
      <c r="FZ24" s="156">
        <v>89.047824783675495</v>
      </c>
      <c r="GA24" s="156">
        <v>76.986828307727095</v>
      </c>
      <c r="GB24" s="156">
        <v>90.923030439843401</v>
      </c>
      <c r="GC24" s="156">
        <v>78.481851177600802</v>
      </c>
      <c r="GD24" s="156">
        <v>73.790487717242897</v>
      </c>
      <c r="GE24" s="156">
        <v>70.526538039652905</v>
      </c>
      <c r="GF24" s="156">
        <v>76.239265159765196</v>
      </c>
      <c r="GG24" s="156">
        <v>73.431229813446805</v>
      </c>
      <c r="GH24" s="156">
        <v>73.267017588406006</v>
      </c>
      <c r="GI24" s="156">
        <v>71.5656006509207</v>
      </c>
      <c r="GJ24" s="156">
        <v>79.102368341818604</v>
      </c>
      <c r="GK24" s="156">
        <v>67.212613340831297</v>
      </c>
      <c r="GL24" s="156">
        <v>79.792060757529399</v>
      </c>
      <c r="GM24" s="156">
        <v>63.498793298104403</v>
      </c>
      <c r="GN24" s="156">
        <v>64.009787720676002</v>
      </c>
      <c r="GO24" s="156">
        <v>56.3141133767515</v>
      </c>
      <c r="GP24" s="156">
        <v>60.287176866429199</v>
      </c>
      <c r="GQ24" s="156">
        <v>58.472030204513402</v>
      </c>
      <c r="GR24" s="156">
        <v>71.802187538990097</v>
      </c>
      <c r="GS24" s="156">
        <v>70.301123231015097</v>
      </c>
      <c r="GT24" s="156">
        <v>34.6923085344648</v>
      </c>
      <c r="GU24" s="156">
        <v>48.808000146887899</v>
      </c>
      <c r="GV24" s="156">
        <v>45.611091100389103</v>
      </c>
      <c r="GW24" s="156">
        <v>57.780019960921699</v>
      </c>
      <c r="GX24" s="156">
        <v>50.441980135843899</v>
      </c>
      <c r="GY24" s="156">
        <v>64.858263661779802</v>
      </c>
      <c r="GZ24" s="156">
        <v>83.820753355216297</v>
      </c>
      <c r="HA24" s="156">
        <v>71.881693124966105</v>
      </c>
      <c r="HB24" s="156">
        <v>76.660320830389495</v>
      </c>
      <c r="HC24" s="156">
        <v>81.452245758702404</v>
      </c>
      <c r="HD24" s="156">
        <v>68.307882669171406</v>
      </c>
      <c r="HE24" s="156">
        <v>70.929283653422203</v>
      </c>
      <c r="HF24" s="156">
        <v>78.432177094771106</v>
      </c>
      <c r="HG24" s="156">
        <v>78.329617201364897</v>
      </c>
      <c r="HH24" s="156">
        <v>70.706116223382097</v>
      </c>
      <c r="HI24" s="156">
        <v>77.394583408635597</v>
      </c>
      <c r="HJ24" s="156">
        <v>67.933375406600803</v>
      </c>
      <c r="HK24" s="156">
        <v>72.057294880014098</v>
      </c>
      <c r="HL24" s="156">
        <v>65.995086040363702</v>
      </c>
      <c r="HM24" s="156">
        <v>75.077342808483294</v>
      </c>
      <c r="HN24" s="156">
        <v>78.948138747235006</v>
      </c>
      <c r="HO24" s="156">
        <v>67.365487572833004</v>
      </c>
      <c r="HP24" s="156">
        <v>72.710031237359402</v>
      </c>
      <c r="HQ24" s="156">
        <v>55.051665845899898</v>
      </c>
      <c r="HR24" s="156">
        <v>56.8116300041915</v>
      </c>
      <c r="HS24" s="156">
        <v>73.806888692822895</v>
      </c>
      <c r="HT24" s="156">
        <v>59.401610820715199</v>
      </c>
      <c r="HU24" s="156">
        <v>66.978782047781905</v>
      </c>
      <c r="HV24" s="156">
        <v>58.074465625918101</v>
      </c>
      <c r="HW24" s="156">
        <v>73.8963451736726</v>
      </c>
      <c r="HX24" s="156">
        <v>48.268443658271003</v>
      </c>
      <c r="HY24" s="156">
        <v>62.226460052222002</v>
      </c>
      <c r="HZ24" s="156">
        <v>59.388464562874802</v>
      </c>
      <c r="IA24" s="156">
        <v>65.029090793102398</v>
      </c>
      <c r="IB24" s="156">
        <v>61.520634942805799</v>
      </c>
      <c r="IC24" s="156">
        <v>70.410432904854702</v>
      </c>
      <c r="ID24" s="156">
        <v>62.620118147249499</v>
      </c>
      <c r="IE24" s="156">
        <v>65.667085451578501</v>
      </c>
    </row>
    <row r="25" spans="1:239" s="142" customFormat="1" ht="16.5" customHeight="1">
      <c r="A25" s="147"/>
      <c r="B25" s="147"/>
      <c r="C25" s="160"/>
      <c r="D25" s="160"/>
      <c r="E25" s="160"/>
      <c r="F25" s="160" t="s">
        <v>138</v>
      </c>
      <c r="G25" s="160" t="s">
        <v>138</v>
      </c>
      <c r="H25" s="160" t="s">
        <v>138</v>
      </c>
      <c r="I25" s="160" t="s">
        <v>138</v>
      </c>
      <c r="J25" s="160" t="s">
        <v>138</v>
      </c>
      <c r="K25" s="160" t="s">
        <v>138</v>
      </c>
      <c r="L25" s="160" t="s">
        <v>138</v>
      </c>
      <c r="M25" s="160" t="s">
        <v>138</v>
      </c>
      <c r="N25" s="160" t="s">
        <v>138</v>
      </c>
      <c r="O25" s="160" t="s">
        <v>138</v>
      </c>
      <c r="P25" s="160" t="s">
        <v>138</v>
      </c>
      <c r="Q25" s="160" t="s">
        <v>138</v>
      </c>
      <c r="R25" s="160" t="s">
        <v>138</v>
      </c>
      <c r="S25" s="160" t="s">
        <v>138</v>
      </c>
      <c r="T25" s="160" t="s">
        <v>138</v>
      </c>
      <c r="U25" s="160" t="s">
        <v>138</v>
      </c>
      <c r="V25" s="160" t="s">
        <v>138</v>
      </c>
      <c r="W25" s="160" t="s">
        <v>138</v>
      </c>
      <c r="X25" s="160" t="s">
        <v>138</v>
      </c>
      <c r="Y25" s="160" t="s">
        <v>138</v>
      </c>
      <c r="Z25" s="160" t="s">
        <v>138</v>
      </c>
      <c r="AA25" s="160" t="s">
        <v>138</v>
      </c>
      <c r="AB25" s="160" t="s">
        <v>138</v>
      </c>
      <c r="AC25" s="160" t="s">
        <v>138</v>
      </c>
      <c r="AD25" s="160" t="s">
        <v>138</v>
      </c>
      <c r="AE25" s="160" t="s">
        <v>138</v>
      </c>
      <c r="AF25" s="160" t="s">
        <v>138</v>
      </c>
      <c r="AG25" s="160" t="s">
        <v>138</v>
      </c>
      <c r="AH25" s="160" t="s">
        <v>138</v>
      </c>
      <c r="AI25" s="160" t="s">
        <v>138</v>
      </c>
      <c r="AJ25" s="160" t="s">
        <v>138</v>
      </c>
      <c r="AK25" s="160" t="s">
        <v>138</v>
      </c>
      <c r="AL25" s="160" t="s">
        <v>138</v>
      </c>
      <c r="AM25" s="160" t="s">
        <v>138</v>
      </c>
      <c r="AN25" s="160" t="s">
        <v>138</v>
      </c>
      <c r="AO25" s="160" t="s">
        <v>138</v>
      </c>
      <c r="AP25" s="160" t="s">
        <v>138</v>
      </c>
      <c r="AQ25" s="160" t="s">
        <v>138</v>
      </c>
      <c r="AR25" s="160" t="s">
        <v>138</v>
      </c>
      <c r="AS25" s="160" t="s">
        <v>138</v>
      </c>
      <c r="AT25" s="160" t="s">
        <v>138</v>
      </c>
      <c r="AU25" s="160" t="s">
        <v>138</v>
      </c>
      <c r="AV25" s="160" t="s">
        <v>138</v>
      </c>
      <c r="AW25" s="160" t="s">
        <v>138</v>
      </c>
      <c r="AX25" s="160" t="s">
        <v>138</v>
      </c>
      <c r="AY25" s="160" t="s">
        <v>138</v>
      </c>
      <c r="AZ25" s="160" t="s">
        <v>138</v>
      </c>
      <c r="BA25" s="160" t="s">
        <v>138</v>
      </c>
      <c r="BB25" s="160" t="s">
        <v>138</v>
      </c>
      <c r="BC25" s="160" t="s">
        <v>138</v>
      </c>
      <c r="BD25" s="160" t="s">
        <v>138</v>
      </c>
      <c r="BE25" s="160" t="s">
        <v>138</v>
      </c>
      <c r="BF25" s="160" t="s">
        <v>138</v>
      </c>
      <c r="BG25" s="160" t="s">
        <v>138</v>
      </c>
      <c r="BH25" s="160" t="s">
        <v>138</v>
      </c>
      <c r="BI25" s="160" t="s">
        <v>138</v>
      </c>
      <c r="BJ25" s="160" t="s">
        <v>138</v>
      </c>
      <c r="BK25" s="160"/>
      <c r="BL25" s="160" t="s">
        <v>199</v>
      </c>
      <c r="BM25" s="160" t="s">
        <v>138</v>
      </c>
      <c r="BN25" s="160" t="s">
        <v>199</v>
      </c>
      <c r="BO25" s="160" t="s">
        <v>199</v>
      </c>
      <c r="BP25" s="160" t="s">
        <v>199</v>
      </c>
      <c r="BQ25" s="160"/>
      <c r="BR25" s="160"/>
      <c r="BS25" s="160" t="s">
        <v>138</v>
      </c>
      <c r="BT25" s="160" t="s">
        <v>138</v>
      </c>
      <c r="BU25" s="160" t="s">
        <v>138</v>
      </c>
      <c r="BV25" s="160" t="s">
        <v>138</v>
      </c>
      <c r="BW25" s="160" t="s">
        <v>138</v>
      </c>
      <c r="BX25" s="160" t="s">
        <v>138</v>
      </c>
      <c r="BY25" s="160" t="s">
        <v>138</v>
      </c>
      <c r="BZ25" s="160" t="s">
        <v>138</v>
      </c>
      <c r="CA25" s="160" t="s">
        <v>138</v>
      </c>
      <c r="CB25" s="160" t="s">
        <v>138</v>
      </c>
      <c r="CC25" s="160" t="s">
        <v>138</v>
      </c>
      <c r="CD25" s="160" t="s">
        <v>138</v>
      </c>
      <c r="CE25" s="160" t="s">
        <v>138</v>
      </c>
      <c r="CF25" s="160" t="s">
        <v>138</v>
      </c>
      <c r="CG25" s="160" t="s">
        <v>138</v>
      </c>
      <c r="CH25" s="160" t="s">
        <v>138</v>
      </c>
      <c r="CI25" s="160" t="s">
        <v>138</v>
      </c>
      <c r="CJ25" s="160" t="s">
        <v>138</v>
      </c>
      <c r="CK25" s="160" t="s">
        <v>138</v>
      </c>
      <c r="CL25" s="160" t="s">
        <v>138</v>
      </c>
      <c r="CM25" s="160" t="s">
        <v>138</v>
      </c>
      <c r="CN25" s="160" t="s">
        <v>138</v>
      </c>
      <c r="CO25" s="160" t="s">
        <v>138</v>
      </c>
      <c r="CP25" s="160" t="s">
        <v>138</v>
      </c>
      <c r="CQ25" s="160" t="s">
        <v>138</v>
      </c>
      <c r="CR25" s="160" t="s">
        <v>138</v>
      </c>
      <c r="CS25" s="160"/>
      <c r="CT25" s="160"/>
      <c r="CU25" s="160"/>
      <c r="CV25" s="160"/>
      <c r="CW25" s="160"/>
      <c r="CX25" s="160"/>
      <c r="CY25" s="160"/>
      <c r="CZ25" s="160"/>
      <c r="DA25" s="160"/>
      <c r="DB25" s="160"/>
      <c r="DC25" s="160"/>
      <c r="DD25" s="160"/>
      <c r="DE25" s="160"/>
      <c r="DF25" s="160"/>
      <c r="DG25" s="160"/>
      <c r="DH25" s="160"/>
      <c r="DI25" s="160"/>
      <c r="DJ25" s="160"/>
      <c r="DK25" s="160"/>
      <c r="DL25" s="160"/>
      <c r="DM25" s="160"/>
      <c r="DN25" s="160"/>
      <c r="DO25" s="160"/>
      <c r="DP25" s="160"/>
      <c r="DQ25" s="160"/>
      <c r="DR25" s="160"/>
      <c r="DS25" s="160"/>
      <c r="DT25" s="160"/>
      <c r="DU25" s="160"/>
      <c r="DV25" s="160"/>
      <c r="DW25" s="160"/>
      <c r="DX25" s="160"/>
      <c r="DY25" s="160"/>
      <c r="DZ25" s="160"/>
      <c r="EA25" s="160"/>
      <c r="EB25" s="160"/>
      <c r="EC25" s="160"/>
      <c r="ED25" s="160"/>
      <c r="EE25" s="160"/>
      <c r="EF25" s="160"/>
      <c r="EG25" s="160"/>
      <c r="EH25" s="160"/>
      <c r="EI25" s="160"/>
      <c r="EJ25" s="160"/>
      <c r="EK25" s="160"/>
      <c r="EL25" s="160"/>
      <c r="EM25" s="160"/>
      <c r="EN25" s="160"/>
      <c r="EO25" s="160"/>
      <c r="EP25" s="160"/>
      <c r="EQ25" s="160"/>
      <c r="ER25" s="160"/>
      <c r="ES25" s="160" t="s">
        <v>138</v>
      </c>
      <c r="ET25" s="160"/>
      <c r="EU25" s="160"/>
      <c r="EV25" s="160"/>
      <c r="EW25" s="160"/>
      <c r="EX25" s="160"/>
      <c r="EY25" s="160"/>
      <c r="EZ25" s="160"/>
      <c r="FA25" s="160"/>
      <c r="FB25" s="160"/>
      <c r="FC25" s="160"/>
      <c r="FD25" s="160"/>
      <c r="FE25" s="160" t="s">
        <v>138</v>
      </c>
      <c r="FF25" s="160"/>
      <c r="FG25" s="160"/>
      <c r="FH25" s="160"/>
      <c r="FI25" s="160"/>
      <c r="FJ25" s="160"/>
      <c r="FK25" s="160"/>
      <c r="FL25" s="160"/>
      <c r="FM25" s="160"/>
      <c r="FN25" s="160"/>
      <c r="FO25" s="160"/>
      <c r="FP25" s="160"/>
      <c r="FQ25" s="160"/>
      <c r="FR25" s="160"/>
      <c r="FS25" s="160"/>
      <c r="FT25" s="160"/>
      <c r="FU25" s="160"/>
      <c r="FV25" s="160"/>
      <c r="FW25" s="160"/>
      <c r="FX25" s="160"/>
      <c r="FY25" s="160"/>
      <c r="FZ25" s="160"/>
      <c r="GA25" s="160"/>
      <c r="GB25" s="160"/>
      <c r="GC25" s="160"/>
      <c r="GD25" s="160"/>
      <c r="GE25" s="160"/>
      <c r="GF25" s="160"/>
      <c r="GG25" s="160"/>
      <c r="GH25" s="160"/>
      <c r="GI25" s="160"/>
      <c r="GJ25" s="160"/>
      <c r="GK25" s="160"/>
      <c r="GL25" s="160"/>
      <c r="GM25" s="160"/>
      <c r="GN25" s="160"/>
      <c r="GO25" s="160"/>
      <c r="GP25" s="160"/>
      <c r="GQ25" s="160"/>
      <c r="GR25" s="160"/>
      <c r="GS25" s="160"/>
      <c r="GT25" s="160"/>
      <c r="GU25" s="160"/>
      <c r="GV25" s="160"/>
      <c r="GW25" s="160"/>
      <c r="GX25" s="160"/>
      <c r="GY25" s="160"/>
      <c r="GZ25" s="160"/>
      <c r="HA25" s="160"/>
      <c r="HB25" s="160"/>
      <c r="HC25" s="160"/>
      <c r="HD25" s="160"/>
      <c r="HE25" s="160"/>
      <c r="HF25" s="160"/>
      <c r="HG25" s="160"/>
      <c r="HH25" s="160"/>
      <c r="HI25" s="160"/>
      <c r="HJ25" s="160"/>
      <c r="HK25" s="160"/>
      <c r="HL25" s="160"/>
      <c r="HM25" s="160"/>
      <c r="HN25" s="160"/>
      <c r="HO25" s="160"/>
      <c r="HP25" s="160"/>
      <c r="HQ25" s="160"/>
      <c r="HR25" s="160"/>
      <c r="HS25" s="160"/>
      <c r="HT25" s="160"/>
      <c r="HU25" s="160"/>
      <c r="HV25" s="160"/>
      <c r="HW25" s="160"/>
      <c r="HX25" s="160"/>
      <c r="HY25" s="160"/>
      <c r="HZ25" s="160"/>
      <c r="IA25" s="160"/>
      <c r="IB25" s="160"/>
      <c r="IC25" s="160"/>
      <c r="ID25" s="160"/>
      <c r="IE25" s="160"/>
    </row>
    <row r="26" spans="1:239" s="142" customFormat="1" ht="16.5" customHeight="1" thickBot="1">
      <c r="A26" s="157" t="s">
        <v>208</v>
      </c>
      <c r="B26" s="158"/>
      <c r="C26" s="159"/>
      <c r="D26" s="159"/>
      <c r="E26" s="159"/>
      <c r="F26" s="159" t="s">
        <v>138</v>
      </c>
      <c r="G26" s="159" t="s">
        <v>138</v>
      </c>
      <c r="H26" s="159" t="s">
        <v>138</v>
      </c>
      <c r="I26" s="159" t="s">
        <v>138</v>
      </c>
      <c r="J26" s="159" t="s">
        <v>138</v>
      </c>
      <c r="K26" s="159" t="s">
        <v>138</v>
      </c>
      <c r="L26" s="159" t="s">
        <v>138</v>
      </c>
      <c r="M26" s="159" t="s">
        <v>138</v>
      </c>
      <c r="N26" s="159" t="s">
        <v>138</v>
      </c>
      <c r="O26" s="159" t="s">
        <v>138</v>
      </c>
      <c r="P26" s="159" t="s">
        <v>138</v>
      </c>
      <c r="Q26" s="159" t="s">
        <v>138</v>
      </c>
      <c r="R26" s="159" t="s">
        <v>138</v>
      </c>
      <c r="S26" s="159" t="s">
        <v>138</v>
      </c>
      <c r="T26" s="159" t="s">
        <v>138</v>
      </c>
      <c r="U26" s="159" t="s">
        <v>138</v>
      </c>
      <c r="V26" s="159" t="s">
        <v>138</v>
      </c>
      <c r="W26" s="159" t="s">
        <v>138</v>
      </c>
      <c r="X26" s="159" t="s">
        <v>138</v>
      </c>
      <c r="Y26" s="159" t="s">
        <v>138</v>
      </c>
      <c r="Z26" s="159" t="s">
        <v>138</v>
      </c>
      <c r="AA26" s="159" t="s">
        <v>138</v>
      </c>
      <c r="AB26" s="159" t="s">
        <v>138</v>
      </c>
      <c r="AC26" s="159" t="s">
        <v>138</v>
      </c>
      <c r="AD26" s="159" t="s">
        <v>138</v>
      </c>
      <c r="AE26" s="159" t="s">
        <v>138</v>
      </c>
      <c r="AF26" s="159" t="s">
        <v>138</v>
      </c>
      <c r="AG26" s="159" t="s">
        <v>138</v>
      </c>
      <c r="AH26" s="159" t="s">
        <v>138</v>
      </c>
      <c r="AI26" s="159" t="s">
        <v>138</v>
      </c>
      <c r="AJ26" s="159" t="s">
        <v>138</v>
      </c>
      <c r="AK26" s="159" t="s">
        <v>138</v>
      </c>
      <c r="AL26" s="159" t="s">
        <v>138</v>
      </c>
      <c r="AM26" s="159" t="s">
        <v>138</v>
      </c>
      <c r="AN26" s="159" t="s">
        <v>138</v>
      </c>
      <c r="AO26" s="159" t="s">
        <v>138</v>
      </c>
      <c r="AP26" s="159" t="s">
        <v>138</v>
      </c>
      <c r="AQ26" s="159" t="s">
        <v>138</v>
      </c>
      <c r="AR26" s="159" t="s">
        <v>138</v>
      </c>
      <c r="AS26" s="159" t="s">
        <v>138</v>
      </c>
      <c r="AT26" s="159" t="s">
        <v>138</v>
      </c>
      <c r="AU26" s="159" t="s">
        <v>138</v>
      </c>
      <c r="AV26" s="159" t="s">
        <v>138</v>
      </c>
      <c r="AW26" s="159" t="s">
        <v>138</v>
      </c>
      <c r="AX26" s="159" t="s">
        <v>138</v>
      </c>
      <c r="AY26" s="159" t="s">
        <v>138</v>
      </c>
      <c r="AZ26" s="159" t="s">
        <v>138</v>
      </c>
      <c r="BA26" s="159" t="s">
        <v>138</v>
      </c>
      <c r="BB26" s="159" t="s">
        <v>138</v>
      </c>
      <c r="BC26" s="159" t="s">
        <v>138</v>
      </c>
      <c r="BD26" s="159" t="s">
        <v>138</v>
      </c>
      <c r="BE26" s="159" t="s">
        <v>138</v>
      </c>
      <c r="BF26" s="159" t="s">
        <v>138</v>
      </c>
      <c r="BG26" s="159" t="s">
        <v>138</v>
      </c>
      <c r="BH26" s="159" t="s">
        <v>138</v>
      </c>
      <c r="BI26" s="159" t="s">
        <v>138</v>
      </c>
      <c r="BJ26" s="159" t="s">
        <v>138</v>
      </c>
      <c r="BK26" s="159"/>
      <c r="BL26" s="159" t="s">
        <v>199</v>
      </c>
      <c r="BM26" s="159" t="s">
        <v>138</v>
      </c>
      <c r="BN26" s="159" t="s">
        <v>199</v>
      </c>
      <c r="BO26" s="159" t="s">
        <v>199</v>
      </c>
      <c r="BP26" s="159" t="s">
        <v>199</v>
      </c>
      <c r="BQ26" s="159"/>
      <c r="BR26" s="159"/>
      <c r="BS26" s="159" t="s">
        <v>138</v>
      </c>
      <c r="BT26" s="159" t="s">
        <v>138</v>
      </c>
      <c r="BU26" s="159" t="s">
        <v>138</v>
      </c>
      <c r="BV26" s="159" t="s">
        <v>138</v>
      </c>
      <c r="BW26" s="159" t="s">
        <v>138</v>
      </c>
      <c r="BX26" s="159" t="s">
        <v>138</v>
      </c>
      <c r="BY26" s="159" t="s">
        <v>138</v>
      </c>
      <c r="BZ26" s="159" t="s">
        <v>138</v>
      </c>
      <c r="CA26" s="159" t="s">
        <v>138</v>
      </c>
      <c r="CB26" s="159" t="s">
        <v>138</v>
      </c>
      <c r="CC26" s="159" t="s">
        <v>138</v>
      </c>
      <c r="CD26" s="159" t="s">
        <v>138</v>
      </c>
      <c r="CE26" s="159" t="s">
        <v>138</v>
      </c>
      <c r="CF26" s="159" t="s">
        <v>138</v>
      </c>
      <c r="CG26" s="159" t="s">
        <v>138</v>
      </c>
      <c r="CH26" s="159" t="s">
        <v>138</v>
      </c>
      <c r="CI26" s="159" t="s">
        <v>138</v>
      </c>
      <c r="CJ26" s="159" t="s">
        <v>138</v>
      </c>
      <c r="CK26" s="159" t="s">
        <v>138</v>
      </c>
      <c r="CL26" s="159" t="s">
        <v>138</v>
      </c>
      <c r="CM26" s="159" t="s">
        <v>138</v>
      </c>
      <c r="CN26" s="159" t="s">
        <v>138</v>
      </c>
      <c r="CO26" s="159" t="s">
        <v>138</v>
      </c>
      <c r="CP26" s="159" t="s">
        <v>138</v>
      </c>
      <c r="CQ26" s="159" t="s">
        <v>138</v>
      </c>
      <c r="CR26" s="159" t="s">
        <v>138</v>
      </c>
      <c r="CS26" s="159"/>
      <c r="CT26" s="159"/>
      <c r="CU26" s="159"/>
      <c r="CV26" s="159"/>
      <c r="CW26" s="159"/>
      <c r="CX26" s="159"/>
      <c r="CY26" s="159"/>
      <c r="CZ26" s="159"/>
      <c r="DA26" s="159"/>
      <c r="DB26" s="159"/>
      <c r="DC26" s="159"/>
      <c r="DD26" s="159"/>
      <c r="DE26" s="159"/>
      <c r="DF26" s="159"/>
      <c r="DG26" s="159"/>
      <c r="DH26" s="159"/>
      <c r="DI26" s="159"/>
      <c r="DJ26" s="159"/>
      <c r="DK26" s="159"/>
      <c r="DL26" s="159"/>
      <c r="DM26" s="159"/>
      <c r="DN26" s="159"/>
      <c r="DO26" s="159"/>
      <c r="DP26" s="159"/>
      <c r="DQ26" s="159"/>
      <c r="DR26" s="159"/>
      <c r="DS26" s="159"/>
      <c r="DT26" s="159"/>
      <c r="DU26" s="159"/>
      <c r="DV26" s="159"/>
      <c r="DW26" s="159"/>
      <c r="DX26" s="159"/>
      <c r="DY26" s="159"/>
      <c r="DZ26" s="159"/>
      <c r="EA26" s="159"/>
      <c r="EB26" s="159"/>
      <c r="EC26" s="159"/>
      <c r="ED26" s="159"/>
      <c r="EE26" s="159"/>
      <c r="EF26" s="159"/>
      <c r="EG26" s="159"/>
      <c r="EH26" s="159"/>
      <c r="EI26" s="159"/>
      <c r="EJ26" s="159"/>
      <c r="EK26" s="159"/>
      <c r="EL26" s="159"/>
      <c r="EM26" s="159"/>
      <c r="EN26" s="159"/>
      <c r="EO26" s="159"/>
      <c r="EP26" s="159"/>
      <c r="EQ26" s="159"/>
      <c r="ER26" s="159"/>
      <c r="ES26" s="159"/>
      <c r="ET26" s="159"/>
      <c r="EU26" s="159"/>
      <c r="EV26" s="159"/>
      <c r="EW26" s="159"/>
      <c r="EX26" s="159"/>
      <c r="EY26" s="159"/>
      <c r="EZ26" s="159"/>
      <c r="FA26" s="159"/>
      <c r="FB26" s="159"/>
      <c r="FC26" s="159"/>
      <c r="FD26" s="159"/>
      <c r="FE26" s="159"/>
      <c r="FF26" s="159"/>
      <c r="FG26" s="159"/>
      <c r="FH26" s="159"/>
      <c r="FI26" s="159"/>
      <c r="FJ26" s="159"/>
      <c r="FK26" s="159"/>
      <c r="FL26" s="159"/>
      <c r="FM26" s="159"/>
      <c r="FN26" s="159"/>
      <c r="FO26" s="159"/>
      <c r="FP26" s="159"/>
      <c r="FQ26" s="159"/>
      <c r="FR26" s="159"/>
      <c r="FS26" s="159"/>
      <c r="FT26" s="159"/>
      <c r="FU26" s="159"/>
      <c r="FV26" s="159"/>
      <c r="FW26" s="159"/>
      <c r="FX26" s="159"/>
      <c r="FY26" s="159"/>
      <c r="FZ26" s="159"/>
      <c r="GA26" s="159"/>
      <c r="GB26" s="159"/>
      <c r="GC26" s="159"/>
      <c r="GD26" s="159"/>
      <c r="GE26" s="159"/>
      <c r="GF26" s="159"/>
      <c r="GG26" s="159"/>
      <c r="GH26" s="159"/>
      <c r="GI26" s="159"/>
      <c r="GJ26" s="159"/>
      <c r="GK26" s="159"/>
      <c r="GL26" s="159"/>
      <c r="GM26" s="159"/>
      <c r="GN26" s="159"/>
      <c r="GO26" s="159"/>
      <c r="GP26" s="159"/>
      <c r="GQ26" s="159"/>
      <c r="GR26" s="159"/>
      <c r="GS26" s="159"/>
      <c r="GT26" s="159"/>
      <c r="GU26" s="159"/>
      <c r="GV26" s="159"/>
      <c r="GW26" s="159"/>
      <c r="GX26" s="159"/>
      <c r="GY26" s="159"/>
      <c r="GZ26" s="159"/>
      <c r="HA26" s="159"/>
      <c r="HB26" s="159"/>
      <c r="HC26" s="159"/>
      <c r="HD26" s="159"/>
      <c r="HE26" s="159"/>
      <c r="HF26" s="159"/>
      <c r="HG26" s="159"/>
      <c r="HH26" s="159"/>
      <c r="HI26" s="159"/>
      <c r="HJ26" s="159"/>
      <c r="HK26" s="159"/>
      <c r="HL26" s="159"/>
      <c r="HM26" s="159"/>
      <c r="HN26" s="159"/>
      <c r="HO26" s="159"/>
      <c r="HP26" s="159"/>
      <c r="HQ26" s="159"/>
      <c r="HR26" s="159"/>
      <c r="HS26" s="159"/>
      <c r="HT26" s="159"/>
      <c r="HU26" s="159"/>
      <c r="HV26" s="159"/>
      <c r="HW26" s="159"/>
      <c r="HX26" s="159"/>
      <c r="HY26" s="159"/>
      <c r="HZ26" s="159"/>
      <c r="IA26" s="159"/>
      <c r="IB26" s="159"/>
      <c r="IC26" s="159"/>
      <c r="ID26" s="159"/>
      <c r="IE26" s="159"/>
    </row>
    <row r="27" spans="1:239" s="142" customFormat="1" ht="16.5" customHeight="1">
      <c r="A27" s="146" t="s">
        <v>170</v>
      </c>
      <c r="B27" s="147"/>
      <c r="C27" s="148">
        <v>100.00000000000001</v>
      </c>
      <c r="D27" s="148">
        <v>99.999999999999986</v>
      </c>
      <c r="E27" s="148">
        <v>100</v>
      </c>
      <c r="F27" s="148">
        <v>100</v>
      </c>
      <c r="G27" s="148">
        <v>100.00000000000001</v>
      </c>
      <c r="H27" s="148">
        <v>99.999999999999986</v>
      </c>
      <c r="I27" s="148">
        <v>100.00000000000001</v>
      </c>
      <c r="J27" s="148">
        <v>100</v>
      </c>
      <c r="K27" s="148">
        <v>100</v>
      </c>
      <c r="L27" s="148">
        <v>100</v>
      </c>
      <c r="M27" s="148">
        <v>100</v>
      </c>
      <c r="N27" s="148">
        <v>100</v>
      </c>
      <c r="O27" s="148">
        <v>100</v>
      </c>
      <c r="P27" s="148">
        <v>100</v>
      </c>
      <c r="Q27" s="148">
        <v>100.00000000000001</v>
      </c>
      <c r="R27" s="148">
        <v>99.999999999999986</v>
      </c>
      <c r="S27" s="148">
        <v>100.00000000000001</v>
      </c>
      <c r="T27" s="148">
        <v>100</v>
      </c>
      <c r="U27" s="148">
        <v>100.00000000000003</v>
      </c>
      <c r="V27" s="148">
        <v>100</v>
      </c>
      <c r="W27" s="148">
        <v>99.999999999999986</v>
      </c>
      <c r="X27" s="148">
        <v>100</v>
      </c>
      <c r="Y27" s="148">
        <v>100</v>
      </c>
      <c r="Z27" s="148">
        <v>100</v>
      </c>
      <c r="AA27" s="148">
        <v>100</v>
      </c>
      <c r="AB27" s="148">
        <v>100</v>
      </c>
      <c r="AC27" s="148">
        <v>99.999999999999986</v>
      </c>
      <c r="AD27" s="148">
        <v>100</v>
      </c>
      <c r="AE27" s="148">
        <v>100</v>
      </c>
      <c r="AF27" s="148">
        <v>100</v>
      </c>
      <c r="AG27" s="148">
        <v>100</v>
      </c>
      <c r="AH27" s="148">
        <v>99.999999999999986</v>
      </c>
      <c r="AI27" s="148">
        <v>100</v>
      </c>
      <c r="AJ27" s="148">
        <v>100</v>
      </c>
      <c r="AK27" s="148">
        <v>100</v>
      </c>
      <c r="AL27" s="148">
        <v>100</v>
      </c>
      <c r="AM27" s="148">
        <v>100.00000000000001</v>
      </c>
      <c r="AN27" s="148">
        <v>100</v>
      </c>
      <c r="AO27" s="148">
        <v>100</v>
      </c>
      <c r="AP27" s="148">
        <v>100</v>
      </c>
      <c r="AQ27" s="148">
        <v>100</v>
      </c>
      <c r="AR27" s="148">
        <v>100</v>
      </c>
      <c r="AS27" s="148">
        <v>100</v>
      </c>
      <c r="AT27" s="148">
        <v>100</v>
      </c>
      <c r="AU27" s="148">
        <v>100</v>
      </c>
      <c r="AV27" s="148">
        <v>100</v>
      </c>
      <c r="AW27" s="148">
        <v>100</v>
      </c>
      <c r="AX27" s="148">
        <v>100</v>
      </c>
      <c r="AY27" s="148">
        <v>100</v>
      </c>
      <c r="AZ27" s="148">
        <v>100</v>
      </c>
      <c r="BA27" s="148">
        <v>100</v>
      </c>
      <c r="BB27" s="148">
        <v>100</v>
      </c>
      <c r="BC27" s="148">
        <v>99.999999999999986</v>
      </c>
      <c r="BD27" s="148">
        <v>100</v>
      </c>
      <c r="BE27" s="148">
        <v>100</v>
      </c>
      <c r="BF27" s="148">
        <v>100</v>
      </c>
      <c r="BG27" s="148">
        <v>100</v>
      </c>
      <c r="BH27" s="148">
        <v>100.00000000000001</v>
      </c>
      <c r="BI27" s="148">
        <v>100.00000000000001</v>
      </c>
      <c r="BJ27" s="148">
        <v>100.00000000000001</v>
      </c>
      <c r="BK27" s="148">
        <v>100.00000000000001</v>
      </c>
      <c r="BL27" s="148">
        <v>100</v>
      </c>
      <c r="BM27" s="148">
        <v>100</v>
      </c>
      <c r="BN27" s="148">
        <v>99.999999999999986</v>
      </c>
      <c r="BO27" s="148">
        <v>100.00000000000001</v>
      </c>
      <c r="BP27" s="148">
        <v>100.00000000000001</v>
      </c>
      <c r="BQ27" s="148">
        <v>100</v>
      </c>
      <c r="BR27" s="148">
        <v>100</v>
      </c>
      <c r="BS27" s="148">
        <v>100</v>
      </c>
      <c r="BT27" s="148">
        <v>100</v>
      </c>
      <c r="BU27" s="148">
        <v>99.999999999999986</v>
      </c>
      <c r="BV27" s="148">
        <v>100</v>
      </c>
      <c r="BW27" s="148">
        <v>100.00000000000001</v>
      </c>
      <c r="BX27" s="148">
        <v>100</v>
      </c>
      <c r="BY27" s="148">
        <v>100</v>
      </c>
      <c r="BZ27" s="148">
        <v>100</v>
      </c>
      <c r="CA27" s="148">
        <v>100.00000000000003</v>
      </c>
      <c r="CB27" s="148">
        <v>100</v>
      </c>
      <c r="CC27" s="148">
        <v>100</v>
      </c>
      <c r="CD27" s="148">
        <v>100</v>
      </c>
      <c r="CE27" s="148">
        <v>100</v>
      </c>
      <c r="CF27" s="148">
        <v>100</v>
      </c>
      <c r="CG27" s="148">
        <v>100</v>
      </c>
      <c r="CH27" s="148">
        <v>99.999999999999986</v>
      </c>
      <c r="CI27" s="148">
        <v>100</v>
      </c>
      <c r="CJ27" s="148">
        <v>99.999999999999986</v>
      </c>
      <c r="CK27" s="148">
        <v>100</v>
      </c>
      <c r="CL27" s="148">
        <v>99.999999999999986</v>
      </c>
      <c r="CM27" s="148">
        <v>100.00000000000001</v>
      </c>
      <c r="CN27" s="148">
        <v>100</v>
      </c>
      <c r="CO27" s="148">
        <v>100</v>
      </c>
      <c r="CP27" s="148">
        <v>100</v>
      </c>
      <c r="CQ27" s="148">
        <v>100</v>
      </c>
      <c r="CR27" s="148">
        <v>100</v>
      </c>
      <c r="CS27" s="148">
        <v>100</v>
      </c>
      <c r="CT27" s="148">
        <v>100</v>
      </c>
      <c r="CU27" s="148">
        <v>100.00000000000001</v>
      </c>
      <c r="CV27" s="148">
        <v>100</v>
      </c>
      <c r="CW27" s="148">
        <v>100</v>
      </c>
      <c r="CX27" s="148">
        <v>99.999999999999986</v>
      </c>
      <c r="CY27" s="148">
        <v>100</v>
      </c>
      <c r="CZ27" s="148">
        <v>99.999999999999986</v>
      </c>
      <c r="DA27" s="148">
        <v>100</v>
      </c>
      <c r="DB27" s="148">
        <v>100.00000000000001</v>
      </c>
      <c r="DC27" s="148">
        <v>100.00000000000001</v>
      </c>
      <c r="DD27" s="148">
        <v>100.00000000000003</v>
      </c>
      <c r="DE27" s="148">
        <v>99.999999999999986</v>
      </c>
      <c r="DF27" s="148">
        <v>100.00000000000001</v>
      </c>
      <c r="DG27" s="148">
        <v>100.00000000000001</v>
      </c>
      <c r="DH27" s="148">
        <v>100</v>
      </c>
      <c r="DI27" s="148">
        <v>99.999999999999986</v>
      </c>
      <c r="DJ27" s="148">
        <v>100.00000000000001</v>
      </c>
      <c r="DK27" s="148">
        <v>100</v>
      </c>
      <c r="DL27" s="148">
        <v>99.999999999999986</v>
      </c>
      <c r="DM27" s="148">
        <v>100</v>
      </c>
      <c r="DN27" s="148">
        <v>100</v>
      </c>
      <c r="DO27" s="148">
        <v>100.00000000000001</v>
      </c>
      <c r="DP27" s="148">
        <v>100</v>
      </c>
      <c r="DQ27" s="148">
        <v>100</v>
      </c>
      <c r="DR27" s="148">
        <v>100.00000000000001</v>
      </c>
      <c r="DS27" s="148">
        <v>100</v>
      </c>
      <c r="DT27" s="148">
        <v>100</v>
      </c>
      <c r="DU27" s="148">
        <v>100</v>
      </c>
      <c r="DV27" s="148">
        <v>100.00000000000001</v>
      </c>
      <c r="DW27" s="148">
        <v>100.00000000000001</v>
      </c>
      <c r="DX27" s="148">
        <v>100</v>
      </c>
      <c r="DY27" s="148">
        <v>100</v>
      </c>
      <c r="DZ27" s="148">
        <v>100</v>
      </c>
      <c r="EA27" s="148">
        <v>100.00000000000001</v>
      </c>
      <c r="EB27" s="148">
        <v>100.00000000000001</v>
      </c>
      <c r="EC27" s="148">
        <v>100</v>
      </c>
      <c r="ED27" s="148">
        <v>100</v>
      </c>
      <c r="EE27" s="148">
        <v>99.999999999999986</v>
      </c>
      <c r="EF27" s="148">
        <v>100</v>
      </c>
      <c r="EG27" s="148">
        <v>100.00000000000001</v>
      </c>
      <c r="EH27" s="148">
        <v>100</v>
      </c>
      <c r="EI27" s="148">
        <v>100.00000000000001</v>
      </c>
      <c r="EJ27" s="148">
        <v>100.00000000000001</v>
      </c>
      <c r="EK27" s="148">
        <v>100.00000000000001</v>
      </c>
      <c r="EL27" s="148">
        <v>100.00000000000001</v>
      </c>
      <c r="EM27" s="148">
        <v>100</v>
      </c>
      <c r="EN27" s="148">
        <v>100</v>
      </c>
      <c r="EO27" s="148">
        <v>100.00000000000001</v>
      </c>
      <c r="EP27" s="148">
        <v>100</v>
      </c>
      <c r="EQ27" s="148">
        <v>100</v>
      </c>
      <c r="ER27" s="148">
        <v>100</v>
      </c>
      <c r="ES27" s="148">
        <v>100</v>
      </c>
      <c r="ET27" s="148">
        <v>100</v>
      </c>
      <c r="EU27" s="148">
        <v>100</v>
      </c>
      <c r="EV27" s="148">
        <v>99.999999999999986</v>
      </c>
      <c r="EW27" s="148">
        <v>100</v>
      </c>
      <c r="EX27" s="148">
        <v>99.999999999999986</v>
      </c>
      <c r="EY27" s="148">
        <v>100.00000000000001</v>
      </c>
      <c r="EZ27" s="148">
        <v>100</v>
      </c>
      <c r="FA27" s="148">
        <v>100.00000000000001</v>
      </c>
      <c r="FB27" s="148">
        <v>100</v>
      </c>
      <c r="FC27" s="148">
        <v>100.00000000000001</v>
      </c>
      <c r="FD27" s="148">
        <v>99.999999999999986</v>
      </c>
      <c r="FE27" s="148">
        <v>99.999999999999986</v>
      </c>
      <c r="FF27" s="148">
        <v>100</v>
      </c>
      <c r="FG27" s="148">
        <v>100.00000000000001</v>
      </c>
      <c r="FH27" s="148">
        <v>99.999999999999901</v>
      </c>
      <c r="FI27" s="148">
        <v>100.0000000000001</v>
      </c>
      <c r="FJ27" s="148">
        <v>99.999999999999901</v>
      </c>
      <c r="FK27" s="148">
        <v>100</v>
      </c>
      <c r="FL27" s="148">
        <v>100.00000000000009</v>
      </c>
      <c r="FM27" s="148">
        <v>100</v>
      </c>
      <c r="FN27" s="148">
        <v>100.00000000000004</v>
      </c>
      <c r="FO27" s="148">
        <v>100</v>
      </c>
      <c r="FP27" s="148">
        <v>99.999999999999957</v>
      </c>
      <c r="FQ27" s="148">
        <v>100</v>
      </c>
      <c r="FR27" s="148">
        <v>100.00000000000003</v>
      </c>
      <c r="FS27" s="148">
        <v>100.00000000000001</v>
      </c>
      <c r="FT27" s="148">
        <v>100</v>
      </c>
      <c r="FU27" s="148">
        <v>99.999999999999972</v>
      </c>
      <c r="FV27" s="148">
        <v>100.00000000000004</v>
      </c>
      <c r="FW27" s="148">
        <v>100.00000000000006</v>
      </c>
      <c r="FX27" s="148">
        <v>100.00000000000006</v>
      </c>
      <c r="FY27" s="148">
        <v>99.999999999999929</v>
      </c>
      <c r="FZ27" s="148">
        <v>99.999999999999901</v>
      </c>
      <c r="GA27" s="148">
        <v>100.00000000000006</v>
      </c>
      <c r="GB27" s="148">
        <v>100.00000000000007</v>
      </c>
      <c r="GC27" s="148">
        <v>100.00000000000006</v>
      </c>
      <c r="GD27" s="148">
        <v>100.00000000000006</v>
      </c>
      <c r="GE27" s="148">
        <v>99.999999999999957</v>
      </c>
      <c r="GF27" s="148">
        <v>100</v>
      </c>
      <c r="GG27" s="148">
        <v>100</v>
      </c>
      <c r="GH27" s="148">
        <v>100</v>
      </c>
      <c r="GI27" s="148">
        <v>100.0000000000001</v>
      </c>
      <c r="GJ27" s="148">
        <v>100.00000000000009</v>
      </c>
      <c r="GK27" s="148">
        <v>100.00000000000004</v>
      </c>
      <c r="GL27" s="148">
        <v>99.999999999999972</v>
      </c>
      <c r="GM27" s="148">
        <v>99.999999999999986</v>
      </c>
      <c r="GN27" s="148">
        <v>100.00000000000006</v>
      </c>
      <c r="GO27" s="148">
        <v>100</v>
      </c>
      <c r="GP27" s="148">
        <v>100.00000000000004</v>
      </c>
      <c r="GQ27" s="148">
        <v>100.00000000000009</v>
      </c>
      <c r="GR27" s="148">
        <v>100.0000000000001</v>
      </c>
      <c r="GS27" s="148">
        <v>100.00000000000011</v>
      </c>
      <c r="GT27" s="148">
        <v>100.00000000000001</v>
      </c>
      <c r="GU27" s="148">
        <v>99.999999999999986</v>
      </c>
      <c r="GV27" s="148">
        <v>100.00000000000001</v>
      </c>
      <c r="GW27" s="148">
        <v>100.0000000000001</v>
      </c>
      <c r="GX27" s="148">
        <v>100</v>
      </c>
      <c r="GY27" s="148">
        <v>100</v>
      </c>
      <c r="GZ27" s="148">
        <v>100.00000000000003</v>
      </c>
      <c r="HA27" s="148">
        <v>100</v>
      </c>
      <c r="HB27" s="148">
        <v>100</v>
      </c>
      <c r="HC27" s="148">
        <v>100.0000000000001</v>
      </c>
      <c r="HD27" s="148">
        <v>100.00000000000007</v>
      </c>
      <c r="HE27" s="148">
        <v>99.999999999999943</v>
      </c>
      <c r="HF27" s="148">
        <v>100</v>
      </c>
      <c r="HG27" s="148">
        <v>100.00000000000003</v>
      </c>
      <c r="HH27" s="148">
        <v>99.999999999999957</v>
      </c>
      <c r="HI27" s="148">
        <v>99.999999999999986</v>
      </c>
      <c r="HJ27" s="148">
        <v>100</v>
      </c>
      <c r="HK27" s="148">
        <v>100</v>
      </c>
      <c r="HL27" s="148">
        <v>100.00000000000009</v>
      </c>
      <c r="HM27" s="148">
        <v>100</v>
      </c>
      <c r="HN27" s="148">
        <v>100.00000000000009</v>
      </c>
      <c r="HO27" s="148">
        <v>100.00000000000003</v>
      </c>
      <c r="HP27" s="148">
        <v>100.00000000000006</v>
      </c>
      <c r="HQ27" s="148">
        <v>100</v>
      </c>
      <c r="HR27" s="148">
        <v>100</v>
      </c>
      <c r="HS27" s="148">
        <v>100.00000000000001</v>
      </c>
      <c r="HT27" s="148">
        <v>100</v>
      </c>
      <c r="HU27" s="148">
        <v>99.999999999999986</v>
      </c>
      <c r="HV27" s="148">
        <v>99.999999999999986</v>
      </c>
      <c r="HW27" s="148">
        <v>100.00000000000009</v>
      </c>
      <c r="HX27" s="148">
        <v>100</v>
      </c>
      <c r="HY27" s="148">
        <v>99.999999999999901</v>
      </c>
      <c r="HZ27" s="148">
        <v>100.00000000000003</v>
      </c>
      <c r="IA27" s="148">
        <v>99.999999999999929</v>
      </c>
      <c r="IB27" s="148">
        <v>100.00000000000003</v>
      </c>
      <c r="IC27" s="148">
        <v>99.999999999999915</v>
      </c>
      <c r="ID27" s="148">
        <v>100.00000000000003</v>
      </c>
      <c r="IE27" s="148">
        <v>100.00000000000003</v>
      </c>
    </row>
    <row r="28" spans="1:239" s="142" customFormat="1" ht="16.5" customHeight="1">
      <c r="A28" s="147" t="s">
        <v>200</v>
      </c>
      <c r="B28" s="154"/>
      <c r="C28" s="155">
        <v>28.504743965563208</v>
      </c>
      <c r="D28" s="155">
        <v>23.708191885222586</v>
      </c>
      <c r="E28" s="155">
        <v>18.20893235944903</v>
      </c>
      <c r="F28" s="155">
        <v>27.413395062978914</v>
      </c>
      <c r="G28" s="155">
        <v>40.057165477636197</v>
      </c>
      <c r="H28" s="155">
        <v>30.141355987585005</v>
      </c>
      <c r="I28" s="155">
        <v>37.239262123915609</v>
      </c>
      <c r="J28" s="155">
        <v>17.7037035378277</v>
      </c>
      <c r="K28" s="155">
        <v>16.338496017681887</v>
      </c>
      <c r="L28" s="155">
        <v>27.074943381988405</v>
      </c>
      <c r="M28" s="155">
        <v>20.669556633705316</v>
      </c>
      <c r="N28" s="155">
        <v>22.864577234955583</v>
      </c>
      <c r="O28" s="155">
        <v>11.688766695281855</v>
      </c>
      <c r="P28" s="155">
        <v>12.318781514792786</v>
      </c>
      <c r="Q28" s="155">
        <v>18.534866986699292</v>
      </c>
      <c r="R28" s="155">
        <v>7.3992107534989708</v>
      </c>
      <c r="S28" s="155">
        <v>9.4337462293764194</v>
      </c>
      <c r="T28" s="155">
        <v>7.2794868984566943</v>
      </c>
      <c r="U28" s="155">
        <v>23.794126314495895</v>
      </c>
      <c r="V28" s="155">
        <v>13.362667621512495</v>
      </c>
      <c r="W28" s="155">
        <v>28.810368343253334</v>
      </c>
      <c r="X28" s="155">
        <v>9.1768638945680898</v>
      </c>
      <c r="Y28" s="155">
        <v>11.959991283779713</v>
      </c>
      <c r="Z28" s="155">
        <v>17.774764553862695</v>
      </c>
      <c r="AA28" s="155">
        <v>10.58248232316148</v>
      </c>
      <c r="AB28" s="155">
        <v>9.9487519928701733</v>
      </c>
      <c r="AC28" s="155">
        <v>3.9715752998848983</v>
      </c>
      <c r="AD28" s="155">
        <v>15.117620684613945</v>
      </c>
      <c r="AE28" s="155">
        <v>10.755063477979865</v>
      </c>
      <c r="AF28" s="155">
        <v>3.2946144180002879</v>
      </c>
      <c r="AG28" s="155">
        <v>8.2038020455769232</v>
      </c>
      <c r="AH28" s="155">
        <v>5.8905249578899666</v>
      </c>
      <c r="AI28" s="155">
        <v>21.79838448489982</v>
      </c>
      <c r="AJ28" s="155">
        <v>4.9471920925899591</v>
      </c>
      <c r="AK28" s="155">
        <v>12.911093047032585</v>
      </c>
      <c r="AL28" s="155">
        <v>28.304832372063171</v>
      </c>
      <c r="AM28" s="155">
        <v>22.862857628871051</v>
      </c>
      <c r="AN28" s="155">
        <v>26.267033144386719</v>
      </c>
      <c r="AO28" s="155">
        <v>19.824847189550276</v>
      </c>
      <c r="AP28" s="155">
        <v>28.399072791792619</v>
      </c>
      <c r="AQ28" s="155">
        <v>27.579072361656227</v>
      </c>
      <c r="AR28" s="155">
        <v>14.383999185937279</v>
      </c>
      <c r="AS28" s="155">
        <v>47.417989226510649</v>
      </c>
      <c r="AT28" s="155">
        <v>7.2674053044428453</v>
      </c>
      <c r="AU28" s="155">
        <v>28.944077977243133</v>
      </c>
      <c r="AV28" s="155">
        <v>24.237403250070766</v>
      </c>
      <c r="AW28" s="155">
        <v>42.663084449881659</v>
      </c>
      <c r="AX28" s="155">
        <v>39.070304434335192</v>
      </c>
      <c r="AY28" s="155">
        <v>7.0075762946976203</v>
      </c>
      <c r="AZ28" s="155">
        <v>34.130853988242478</v>
      </c>
      <c r="BA28" s="155">
        <v>37.999663276587562</v>
      </c>
      <c r="BB28" s="155">
        <v>32.41439135843688</v>
      </c>
      <c r="BC28" s="155">
        <v>32.920177435865874</v>
      </c>
      <c r="BD28" s="155">
        <v>21.800160910894647</v>
      </c>
      <c r="BE28" s="155">
        <v>14.537598970133608</v>
      </c>
      <c r="BF28" s="155">
        <v>11.430022861895624</v>
      </c>
      <c r="BG28" s="155">
        <v>11.055448992882392</v>
      </c>
      <c r="BH28" s="155">
        <v>8.7825354992712121</v>
      </c>
      <c r="BI28" s="155">
        <v>16.047683133293287</v>
      </c>
      <c r="BJ28" s="155">
        <v>15.463227363722593</v>
      </c>
      <c r="BK28" s="155">
        <v>8.7615749916248333</v>
      </c>
      <c r="BL28" s="155">
        <v>10.602131469408539</v>
      </c>
      <c r="BM28" s="155">
        <v>9.1977870499213239</v>
      </c>
      <c r="BN28" s="155">
        <v>15.143935793397368</v>
      </c>
      <c r="BO28" s="155">
        <v>12.164261155424981</v>
      </c>
      <c r="BP28" s="155">
        <v>7.9255361579184642</v>
      </c>
      <c r="BQ28" s="155">
        <v>10.547924074683939</v>
      </c>
      <c r="BR28" s="155">
        <v>25.50117470880005</v>
      </c>
      <c r="BS28" s="155">
        <v>34.430519184502614</v>
      </c>
      <c r="BT28" s="155">
        <v>25.079428069519722</v>
      </c>
      <c r="BU28" s="155">
        <v>22.380447495707259</v>
      </c>
      <c r="BV28" s="155">
        <v>13.921427040280484</v>
      </c>
      <c r="BW28" s="155">
        <v>15.72971359737304</v>
      </c>
      <c r="BX28" s="155">
        <v>16.913564803473864</v>
      </c>
      <c r="BY28" s="155">
        <v>12.412652674058258</v>
      </c>
      <c r="BZ28" s="155">
        <v>20.530599883935981</v>
      </c>
      <c r="CA28" s="155">
        <v>22.61638496208209</v>
      </c>
      <c r="CB28" s="155">
        <v>13.566894500865123</v>
      </c>
      <c r="CC28" s="155">
        <v>15.775966650556352</v>
      </c>
      <c r="CD28" s="155">
        <v>12.215153820864904</v>
      </c>
      <c r="CE28" s="155">
        <v>12.476109856437381</v>
      </c>
      <c r="CF28" s="155">
        <v>13.038382612262142</v>
      </c>
      <c r="CG28" s="155">
        <v>19.558243638881827</v>
      </c>
      <c r="CH28" s="155">
        <v>12.766261570857429</v>
      </c>
      <c r="CI28" s="155">
        <v>11.266839986880266</v>
      </c>
      <c r="CJ28" s="155">
        <v>15.156977424107232</v>
      </c>
      <c r="CK28" s="155">
        <v>15.987003278716417</v>
      </c>
      <c r="CL28" s="155">
        <v>24.056182122295787</v>
      </c>
      <c r="CM28" s="155">
        <v>33.869129807800178</v>
      </c>
      <c r="CN28" s="155">
        <v>17.865758668817669</v>
      </c>
      <c r="CO28" s="155">
        <v>18.337731615788758</v>
      </c>
      <c r="CP28" s="155">
        <v>23.117049223382129</v>
      </c>
      <c r="CQ28" s="155">
        <v>18.496411489049798</v>
      </c>
      <c r="CR28" s="155">
        <v>26.005319093817775</v>
      </c>
      <c r="CS28" s="155">
        <v>38.328138812055954</v>
      </c>
      <c r="CT28" s="155">
        <v>44.393575328144266</v>
      </c>
      <c r="CU28" s="155">
        <v>49.463820180371762</v>
      </c>
      <c r="CV28" s="155">
        <v>59.628862194741394</v>
      </c>
      <c r="CW28" s="155">
        <v>66.202749578221926</v>
      </c>
      <c r="CX28" s="155">
        <v>64.342399056683803</v>
      </c>
      <c r="CY28" s="155">
        <v>59.324323155742455</v>
      </c>
      <c r="CZ28" s="155">
        <v>58.980738714326172</v>
      </c>
      <c r="DA28" s="155">
        <v>62.563980769265626</v>
      </c>
      <c r="DB28" s="155">
        <v>71.470127865129655</v>
      </c>
      <c r="DC28" s="155">
        <v>39.193729173138195</v>
      </c>
      <c r="DD28" s="155">
        <v>25.559197324867345</v>
      </c>
      <c r="DE28" s="155">
        <v>44.222249191838827</v>
      </c>
      <c r="DF28" s="155">
        <v>48.10775733744854</v>
      </c>
      <c r="DG28" s="155">
        <v>9.3676791889087756</v>
      </c>
      <c r="DH28" s="155">
        <v>17.110764768858846</v>
      </c>
      <c r="DI28" s="155">
        <v>11.423844633806574</v>
      </c>
      <c r="DJ28" s="155">
        <v>17.503217005294918</v>
      </c>
      <c r="DK28" s="155">
        <v>18.474684682168487</v>
      </c>
      <c r="DL28" s="155">
        <v>10.590820024034336</v>
      </c>
      <c r="DM28" s="155">
        <v>14.755943245659726</v>
      </c>
      <c r="DN28" s="155">
        <v>23.950928985952284</v>
      </c>
      <c r="DO28" s="155">
        <v>23.892895633566546</v>
      </c>
      <c r="DP28" s="155">
        <v>15.817601002138046</v>
      </c>
      <c r="DQ28" s="155">
        <v>13.934552694571515</v>
      </c>
      <c r="DR28" s="155">
        <v>21.675566868096112</v>
      </c>
      <c r="DS28" s="155">
        <v>13.923521816163682</v>
      </c>
      <c r="DT28" s="155">
        <v>11.26510465816208</v>
      </c>
      <c r="DU28" s="155">
        <v>16.39110323657734</v>
      </c>
      <c r="DV28" s="155">
        <v>24.019976461741528</v>
      </c>
      <c r="DW28" s="155">
        <v>21.326729623103471</v>
      </c>
      <c r="DX28" s="155">
        <v>7.6558069489772107</v>
      </c>
      <c r="DY28" s="155">
        <v>28.531521610683154</v>
      </c>
      <c r="DZ28" s="155">
        <v>20.89176658932762</v>
      </c>
      <c r="EA28" s="155">
        <v>26.173855016139147</v>
      </c>
      <c r="EB28" s="155">
        <v>29.307842113582726</v>
      </c>
      <c r="EC28" s="155">
        <v>19.90378324492816</v>
      </c>
      <c r="ED28" s="155">
        <v>37.827377002403679</v>
      </c>
      <c r="EE28" s="155">
        <v>13.777364639543357</v>
      </c>
      <c r="EF28" s="155">
        <v>14.654876888791076</v>
      </c>
      <c r="EG28" s="155">
        <v>27.151656470423337</v>
      </c>
      <c r="EH28" s="155">
        <v>14.40582018047083</v>
      </c>
      <c r="EI28" s="155">
        <v>18.52863065163524</v>
      </c>
      <c r="EJ28" s="155">
        <v>26.815393728991825</v>
      </c>
      <c r="EK28" s="155">
        <v>28.18115698275593</v>
      </c>
      <c r="EL28" s="155">
        <v>24.850667273830425</v>
      </c>
      <c r="EM28" s="155">
        <v>31.395211684207457</v>
      </c>
      <c r="EN28" s="155">
        <v>17.921338953520021</v>
      </c>
      <c r="EO28" s="155">
        <v>20.527035557643813</v>
      </c>
      <c r="EP28" s="155">
        <v>14.971772220950969</v>
      </c>
      <c r="EQ28" s="155">
        <v>20.323028942976119</v>
      </c>
      <c r="ER28" s="155">
        <v>42.715794920173678</v>
      </c>
      <c r="ES28" s="155">
        <v>36.942092852843857</v>
      </c>
      <c r="ET28" s="155">
        <v>31.999372067466886</v>
      </c>
      <c r="EU28" s="155">
        <v>37.035699417655046</v>
      </c>
      <c r="EV28" s="155">
        <v>28.47818430486161</v>
      </c>
      <c r="EW28" s="155">
        <v>30.494602907312835</v>
      </c>
      <c r="EX28" s="155">
        <v>26.968616892687557</v>
      </c>
      <c r="EY28" s="155">
        <v>31.383569214547752</v>
      </c>
      <c r="EZ28" s="155">
        <v>48.960216891355927</v>
      </c>
      <c r="FA28" s="155">
        <v>44.576305442270822</v>
      </c>
      <c r="FB28" s="155">
        <v>54.34255053967032</v>
      </c>
      <c r="FC28" s="155">
        <v>45.950921842210732</v>
      </c>
      <c r="FD28" s="155">
        <v>30.368331153185451</v>
      </c>
      <c r="FE28" s="155">
        <v>28.775528888358682</v>
      </c>
      <c r="FF28" s="155">
        <v>36.353570399814103</v>
      </c>
      <c r="FG28" s="155">
        <v>38.076484317096039</v>
      </c>
      <c r="FH28" s="155">
        <v>42.193414849425601</v>
      </c>
      <c r="FI28" s="155">
        <v>23.210695857023101</v>
      </c>
      <c r="FJ28" s="155">
        <v>15.9020555464294</v>
      </c>
      <c r="FK28" s="155">
        <v>11.0263993333987</v>
      </c>
      <c r="FL28" s="155">
        <v>28.4247996959975</v>
      </c>
      <c r="FM28" s="155">
        <v>32.181960917214099</v>
      </c>
      <c r="FN28" s="155">
        <v>35.486689405714699</v>
      </c>
      <c r="FO28" s="155">
        <v>11.989381474418501</v>
      </c>
      <c r="FP28" s="155">
        <v>31.520166933040802</v>
      </c>
      <c r="FQ28" s="155">
        <v>31.1559321095346</v>
      </c>
      <c r="FR28" s="155">
        <v>17.401080517921802</v>
      </c>
      <c r="FS28" s="155">
        <v>37.922517111580198</v>
      </c>
      <c r="FT28" s="155">
        <v>30.910459881850201</v>
      </c>
      <c r="FU28" s="155">
        <v>42.903721389050602</v>
      </c>
      <c r="FV28" s="155">
        <v>39.755216147630001</v>
      </c>
      <c r="FW28" s="155">
        <v>31.512820572336199</v>
      </c>
      <c r="FX28" s="155">
        <v>34.737638629804003</v>
      </c>
      <c r="FY28" s="155">
        <v>33.445164980185702</v>
      </c>
      <c r="FZ28" s="155">
        <v>39.104208416675299</v>
      </c>
      <c r="GA28" s="155">
        <v>31.378209488173301</v>
      </c>
      <c r="GB28" s="155">
        <v>31.758099459927902</v>
      </c>
      <c r="GC28" s="155">
        <v>31.2499242277649</v>
      </c>
      <c r="GD28" s="155">
        <v>27.015899138767601</v>
      </c>
      <c r="GE28" s="155">
        <v>26.238917821207998</v>
      </c>
      <c r="GF28" s="155">
        <v>27.319504857417702</v>
      </c>
      <c r="GG28" s="155">
        <v>30.460058731216201</v>
      </c>
      <c r="GH28" s="155">
        <v>28.718342307392199</v>
      </c>
      <c r="GI28" s="155">
        <v>19.456951149799799</v>
      </c>
      <c r="GJ28" s="155">
        <v>26.404109580051198</v>
      </c>
      <c r="GK28" s="155">
        <v>40.639740207270997</v>
      </c>
      <c r="GL28" s="155">
        <v>24.5847352617598</v>
      </c>
      <c r="GM28" s="155">
        <v>25.759748240676998</v>
      </c>
      <c r="GN28" s="155">
        <v>21.442861106368401</v>
      </c>
      <c r="GO28" s="155">
        <v>13.436557090097301</v>
      </c>
      <c r="GP28" s="155">
        <v>14.128757766796801</v>
      </c>
      <c r="GQ28" s="155">
        <v>8.8105915228682008</v>
      </c>
      <c r="GR28" s="155">
        <v>11.147179309394399</v>
      </c>
      <c r="GS28" s="155">
        <v>11.9231337322509</v>
      </c>
      <c r="GT28" s="155">
        <v>15.1437575733929</v>
      </c>
      <c r="GU28" s="155">
        <v>11.527515886665499</v>
      </c>
      <c r="GV28" s="155">
        <v>11.2250182341803</v>
      </c>
      <c r="GW28" s="155">
        <v>17.839992704668099</v>
      </c>
      <c r="GX28" s="155">
        <v>14.603528028781399</v>
      </c>
      <c r="GY28" s="155">
        <v>17.757681366159801</v>
      </c>
      <c r="GZ28" s="155">
        <v>40.9095949120276</v>
      </c>
      <c r="HA28" s="155">
        <v>26.194855511446601</v>
      </c>
      <c r="HB28" s="155">
        <v>21.541243541755801</v>
      </c>
      <c r="HC28" s="155">
        <v>32.2028461720775</v>
      </c>
      <c r="HD28" s="155">
        <v>22.740617293079399</v>
      </c>
      <c r="HE28" s="155">
        <v>20.795784557096798</v>
      </c>
      <c r="HF28" s="155">
        <v>28.0476290530965</v>
      </c>
      <c r="HG28" s="155">
        <v>7.6182322865446599</v>
      </c>
      <c r="HH28" s="155">
        <v>5.4203670856849602</v>
      </c>
      <c r="HI28" s="155">
        <v>6.3841834378147899</v>
      </c>
      <c r="HJ28" s="155">
        <v>10.8650848424634</v>
      </c>
      <c r="HK28" s="155">
        <v>6.1313136311888998</v>
      </c>
      <c r="HL28" s="155">
        <v>5.4700567563137801</v>
      </c>
      <c r="HM28" s="155">
        <v>7.8749080926439001</v>
      </c>
      <c r="HN28" s="155">
        <v>17.495785773782</v>
      </c>
      <c r="HO28" s="155">
        <v>9.3241862019817301</v>
      </c>
      <c r="HP28" s="155">
        <v>11.526523856294901</v>
      </c>
      <c r="HQ28" s="155">
        <v>32.754489147004499</v>
      </c>
      <c r="HR28" s="155">
        <v>15.810491853798901</v>
      </c>
      <c r="HS28" s="155">
        <v>17.4635179040461</v>
      </c>
      <c r="HT28" s="155">
        <v>12.3970235302403</v>
      </c>
      <c r="HU28" s="155">
        <v>17.745284506417502</v>
      </c>
      <c r="HV28" s="155">
        <v>12.1710501262256</v>
      </c>
      <c r="HW28" s="155">
        <v>17.493820497897399</v>
      </c>
      <c r="HX28" s="155">
        <v>19.4676407773112</v>
      </c>
      <c r="HY28" s="155">
        <v>17.354994543259199</v>
      </c>
      <c r="HZ28" s="155">
        <v>15.761302416076701</v>
      </c>
      <c r="IA28" s="155">
        <v>29.962471762794902</v>
      </c>
      <c r="IB28" s="155">
        <v>26.353382596349402</v>
      </c>
      <c r="IC28" s="155">
        <v>14.3505199535161</v>
      </c>
      <c r="ID28" s="155">
        <v>5.11836137868446</v>
      </c>
      <c r="IE28" s="155">
        <v>7.69522292555334</v>
      </c>
    </row>
    <row r="29" spans="1:239" s="142" customFormat="1" ht="16.5" customHeight="1">
      <c r="A29" s="147" t="s">
        <v>201</v>
      </c>
      <c r="B29" s="147"/>
      <c r="C29" s="155">
        <v>19.899117642699071</v>
      </c>
      <c r="D29" s="155">
        <v>20.461630819082124</v>
      </c>
      <c r="E29" s="155">
        <v>25.269763695059961</v>
      </c>
      <c r="F29" s="155">
        <v>10.568244719077244</v>
      </c>
      <c r="G29" s="155">
        <v>14.636458052001561</v>
      </c>
      <c r="H29" s="155">
        <v>12.209514464909189</v>
      </c>
      <c r="I29" s="155">
        <v>18.889024003405268</v>
      </c>
      <c r="J29" s="155">
        <v>18.893482201462771</v>
      </c>
      <c r="K29" s="155">
        <v>18.311512318698679</v>
      </c>
      <c r="L29" s="155">
        <v>23.909745029447556</v>
      </c>
      <c r="M29" s="155">
        <v>14.353188175489375</v>
      </c>
      <c r="N29" s="155">
        <v>12.886561826493697</v>
      </c>
      <c r="O29" s="155">
        <v>26.624356106842818</v>
      </c>
      <c r="P29" s="155">
        <v>21.603588737270972</v>
      </c>
      <c r="Q29" s="155">
        <v>24.987474178398212</v>
      </c>
      <c r="R29" s="155">
        <v>15.876744540604459</v>
      </c>
      <c r="S29" s="155">
        <v>26.640124183354924</v>
      </c>
      <c r="T29" s="155">
        <v>21.389038650016591</v>
      </c>
      <c r="U29" s="155">
        <v>26.799005392882393</v>
      </c>
      <c r="V29" s="155">
        <v>24.690815658505226</v>
      </c>
      <c r="W29" s="155">
        <v>39.214068954266963</v>
      </c>
      <c r="X29" s="155">
        <v>20.265638725702754</v>
      </c>
      <c r="Y29" s="155">
        <v>23.26359167614773</v>
      </c>
      <c r="Z29" s="155">
        <v>12.608618753845594</v>
      </c>
      <c r="AA29" s="155">
        <v>23.84212072343405</v>
      </c>
      <c r="AB29" s="155">
        <v>12.533885963876475</v>
      </c>
      <c r="AC29" s="155">
        <v>12.835857168964365</v>
      </c>
      <c r="AD29" s="155">
        <v>50.603590016232758</v>
      </c>
      <c r="AE29" s="155">
        <v>36.808723993679841</v>
      </c>
      <c r="AF29" s="155">
        <v>32.090358472527356</v>
      </c>
      <c r="AG29" s="155">
        <v>11.448809511006463</v>
      </c>
      <c r="AH29" s="155">
        <v>8.7048926959771116</v>
      </c>
      <c r="AI29" s="155">
        <v>32.761746206166052</v>
      </c>
      <c r="AJ29" s="155">
        <v>53.847983102628675</v>
      </c>
      <c r="AK29" s="155">
        <v>23.246907331851094</v>
      </c>
      <c r="AL29" s="155">
        <v>42.290021352862404</v>
      </c>
      <c r="AM29" s="155">
        <v>24.281614417747424</v>
      </c>
      <c r="AN29" s="155">
        <v>39.24493707458857</v>
      </c>
      <c r="AO29" s="155">
        <v>25.695246222989542</v>
      </c>
      <c r="AP29" s="155">
        <v>26.693521345485767</v>
      </c>
      <c r="AQ29" s="155">
        <v>28.571905448751767</v>
      </c>
      <c r="AR29" s="155">
        <v>14.180683995277981</v>
      </c>
      <c r="AS29" s="155">
        <v>20.651866431817474</v>
      </c>
      <c r="AT29" s="155">
        <v>27.098459875708347</v>
      </c>
      <c r="AU29" s="155">
        <v>27.563817448681355</v>
      </c>
      <c r="AV29" s="155">
        <v>30.153432273730335</v>
      </c>
      <c r="AW29" s="155">
        <v>27.405891766588464</v>
      </c>
      <c r="AX29" s="155">
        <v>24.160885491368891</v>
      </c>
      <c r="AY29" s="155">
        <v>19.074739243185192</v>
      </c>
      <c r="AZ29" s="155">
        <v>21.880079535058464</v>
      </c>
      <c r="BA29" s="155">
        <v>18.955747821679221</v>
      </c>
      <c r="BB29" s="155">
        <v>10.978640477612323</v>
      </c>
      <c r="BC29" s="155">
        <v>17.396293954132918</v>
      </c>
      <c r="BD29" s="155">
        <v>26.122529191247267</v>
      </c>
      <c r="BE29" s="155">
        <v>13.339580481004729</v>
      </c>
      <c r="BF29" s="155">
        <v>21.080281347127727</v>
      </c>
      <c r="BG29" s="155">
        <v>13.373717151754184</v>
      </c>
      <c r="BH29" s="155">
        <v>11.961126366892966</v>
      </c>
      <c r="BI29" s="155">
        <v>25.775810136138489</v>
      </c>
      <c r="BJ29" s="155">
        <v>19.358357854685821</v>
      </c>
      <c r="BK29" s="155">
        <v>15.460429575717901</v>
      </c>
      <c r="BL29" s="155">
        <v>17.83607288357625</v>
      </c>
      <c r="BM29" s="155">
        <v>17.308726673018715</v>
      </c>
      <c r="BN29" s="155">
        <v>20.582359536831301</v>
      </c>
      <c r="BO29" s="155">
        <v>24.816734074269753</v>
      </c>
      <c r="BP29" s="155">
        <v>30.564890995323097</v>
      </c>
      <c r="BQ29" s="155">
        <v>34.836870491258182</v>
      </c>
      <c r="BR29" s="155">
        <v>24.959685005381218</v>
      </c>
      <c r="BS29" s="155">
        <v>19.566731685989524</v>
      </c>
      <c r="BT29" s="155">
        <v>31.649567500559012</v>
      </c>
      <c r="BU29" s="155">
        <v>27.775919980541282</v>
      </c>
      <c r="BV29" s="155">
        <v>27.956115165651475</v>
      </c>
      <c r="BW29" s="155">
        <v>36.401711399394223</v>
      </c>
      <c r="BX29" s="155">
        <v>36.264024467649925</v>
      </c>
      <c r="BY29" s="155">
        <v>21.824677166604399</v>
      </c>
      <c r="BZ29" s="155">
        <v>30.026431961373472</v>
      </c>
      <c r="CA29" s="155">
        <v>39.176360541594491</v>
      </c>
      <c r="CB29" s="155">
        <v>51.465133220573925</v>
      </c>
      <c r="CC29" s="155">
        <v>40.920207193914266</v>
      </c>
      <c r="CD29" s="155">
        <v>55.192938992227823</v>
      </c>
      <c r="CE29" s="155">
        <v>47.783247655490527</v>
      </c>
      <c r="CF29" s="155">
        <v>35.026864493506807</v>
      </c>
      <c r="CG29" s="155">
        <v>45.899085849064477</v>
      </c>
      <c r="CH29" s="155">
        <v>44.764006997155775</v>
      </c>
      <c r="CI29" s="155">
        <v>51.302381062258839</v>
      </c>
      <c r="CJ29" s="155">
        <v>47.20951014278473</v>
      </c>
      <c r="CK29" s="155">
        <v>50.001028372683422</v>
      </c>
      <c r="CL29" s="155">
        <v>24.536545516050008</v>
      </c>
      <c r="CM29" s="155">
        <v>14.232986918474918</v>
      </c>
      <c r="CN29" s="155">
        <v>40.62651687980037</v>
      </c>
      <c r="CO29" s="155">
        <v>35.99194938025947</v>
      </c>
      <c r="CP29" s="155">
        <v>47.814187087449298</v>
      </c>
      <c r="CQ29" s="155">
        <v>31.013425600865457</v>
      </c>
      <c r="CR29" s="155">
        <v>37.254948439092253</v>
      </c>
      <c r="CS29" s="155">
        <v>36.763347727152819</v>
      </c>
      <c r="CT29" s="155">
        <v>43.203094726615106</v>
      </c>
      <c r="CU29" s="155">
        <v>18.336010421856667</v>
      </c>
      <c r="CV29" s="155">
        <v>15.74705928808339</v>
      </c>
      <c r="CW29" s="155">
        <v>13.917794982245042</v>
      </c>
      <c r="CX29" s="155">
        <v>17.909675531572226</v>
      </c>
      <c r="CY29" s="155">
        <v>19.22857487441723</v>
      </c>
      <c r="CZ29" s="155">
        <v>21.729748894113126</v>
      </c>
      <c r="DA29" s="155">
        <v>13.159403143502185</v>
      </c>
      <c r="DB29" s="155">
        <v>11.129641602053885</v>
      </c>
      <c r="DC29" s="155">
        <v>18.768211737155998</v>
      </c>
      <c r="DD29" s="155">
        <v>23.555710025526313</v>
      </c>
      <c r="DE29" s="155">
        <v>26.661062548074771</v>
      </c>
      <c r="DF29" s="155">
        <v>22.455720438051205</v>
      </c>
      <c r="DG29" s="155">
        <v>24.542387215110494</v>
      </c>
      <c r="DH29" s="155">
        <v>25.100468321722637</v>
      </c>
      <c r="DI29" s="155">
        <v>37.424732541669542</v>
      </c>
      <c r="DJ29" s="155">
        <v>45.121171319653186</v>
      </c>
      <c r="DK29" s="155">
        <v>31.553594422587601</v>
      </c>
      <c r="DL29" s="155">
        <v>39.356704222159713</v>
      </c>
      <c r="DM29" s="155">
        <v>45.190044136442623</v>
      </c>
      <c r="DN29" s="155">
        <v>17.063053476460581</v>
      </c>
      <c r="DO29" s="155">
        <v>25.577366396231227</v>
      </c>
      <c r="DP29" s="155">
        <v>25.543350159774576</v>
      </c>
      <c r="DQ29" s="155">
        <v>22.082919039095351</v>
      </c>
      <c r="DR29" s="155">
        <v>31.421721600443565</v>
      </c>
      <c r="DS29" s="155">
        <v>32.886609787331828</v>
      </c>
      <c r="DT29" s="155">
        <v>42.883230948905073</v>
      </c>
      <c r="DU29" s="155">
        <v>31.467557291788605</v>
      </c>
      <c r="DV29" s="155">
        <v>26.471195251180806</v>
      </c>
      <c r="DW29" s="155">
        <v>44.990035675415491</v>
      </c>
      <c r="DX29" s="155">
        <v>40.399167446573905</v>
      </c>
      <c r="DY29" s="155">
        <v>28.210562132135131</v>
      </c>
      <c r="DZ29" s="155">
        <v>32.368848601115666</v>
      </c>
      <c r="EA29" s="155">
        <v>31.506174519538778</v>
      </c>
      <c r="EB29" s="155">
        <v>40.336421812666906</v>
      </c>
      <c r="EC29" s="155">
        <v>30.786866156643107</v>
      </c>
      <c r="ED29" s="155">
        <v>24.376143195046076</v>
      </c>
      <c r="EE29" s="155">
        <v>27.743314623345295</v>
      </c>
      <c r="EF29" s="155">
        <v>16.331629347795275</v>
      </c>
      <c r="EG29" s="155">
        <v>35.123516399172203</v>
      </c>
      <c r="EH29" s="155">
        <v>36.085061198677472</v>
      </c>
      <c r="EI29" s="155">
        <v>47.832995737940628</v>
      </c>
      <c r="EJ29" s="155">
        <v>32.12708378042435</v>
      </c>
      <c r="EK29" s="155">
        <v>30.492826091228835</v>
      </c>
      <c r="EL29" s="155">
        <v>36.973363785063718</v>
      </c>
      <c r="EM29" s="155">
        <v>29.62050119985647</v>
      </c>
      <c r="EN29" s="155">
        <v>37.427108860918537</v>
      </c>
      <c r="EO29" s="155">
        <v>29.342389138101876</v>
      </c>
      <c r="EP29" s="155">
        <v>35.634255798763839</v>
      </c>
      <c r="EQ29" s="155">
        <v>19.954325138495481</v>
      </c>
      <c r="ER29" s="155">
        <v>12.964679988065756</v>
      </c>
      <c r="ES29" s="155">
        <v>13.829117736943431</v>
      </c>
      <c r="ET29" s="155">
        <v>45.23654780514341</v>
      </c>
      <c r="EU29" s="155">
        <v>26.674614021556181</v>
      </c>
      <c r="EV29" s="155">
        <v>28.377687541410236</v>
      </c>
      <c r="EW29" s="155">
        <v>46.729850122480791</v>
      </c>
      <c r="EX29" s="155">
        <v>23.043622062098159</v>
      </c>
      <c r="EY29" s="155">
        <v>25.761627255040935</v>
      </c>
      <c r="EZ29" s="155">
        <v>13.686176631268493</v>
      </c>
      <c r="FA29" s="155">
        <v>21.6072453637649</v>
      </c>
      <c r="FB29" s="155">
        <v>15.600653051083391</v>
      </c>
      <c r="FC29" s="155">
        <v>35.422845085931229</v>
      </c>
      <c r="FD29" s="155">
        <v>35.773221003036632</v>
      </c>
      <c r="FE29" s="155">
        <v>35.886677263658918</v>
      </c>
      <c r="FF29" s="155">
        <v>30.910332659160044</v>
      </c>
      <c r="FG29" s="155">
        <v>32.873377372505715</v>
      </c>
      <c r="FH29" s="155">
        <v>45.745782788713001</v>
      </c>
      <c r="FI29" s="155">
        <v>43.078310189819199</v>
      </c>
      <c r="FJ29" s="155">
        <v>48.229044216128202</v>
      </c>
      <c r="FK29" s="155">
        <v>34.690606699701497</v>
      </c>
      <c r="FL29" s="155">
        <v>39.222858059053799</v>
      </c>
      <c r="FM29" s="155">
        <v>57.479377144618098</v>
      </c>
      <c r="FN29" s="155">
        <v>32.752696547557797</v>
      </c>
      <c r="FO29" s="155">
        <v>46.713227902501103</v>
      </c>
      <c r="FP29" s="155">
        <v>40.853675902792602</v>
      </c>
      <c r="FQ29" s="155">
        <v>30.624069374027499</v>
      </c>
      <c r="FR29" s="155">
        <v>66.120451064053796</v>
      </c>
      <c r="FS29" s="155">
        <v>27.995002619361902</v>
      </c>
      <c r="FT29" s="155">
        <v>31.886825534471601</v>
      </c>
      <c r="FU29" s="155">
        <v>36.427224089650302</v>
      </c>
      <c r="FV29" s="155">
        <v>33.724803280662698</v>
      </c>
      <c r="FW29" s="155">
        <v>31.180403933116601</v>
      </c>
      <c r="FX29" s="155">
        <v>36.064268966283301</v>
      </c>
      <c r="FY29" s="155">
        <v>41.229146978454601</v>
      </c>
      <c r="FZ29" s="155">
        <v>24.3708619912566</v>
      </c>
      <c r="GA29" s="155">
        <v>35.326540456201897</v>
      </c>
      <c r="GB29" s="155">
        <v>35.806364121559703</v>
      </c>
      <c r="GC29" s="155">
        <v>38.182263667010297</v>
      </c>
      <c r="GD29" s="155">
        <v>40.482967191021899</v>
      </c>
      <c r="GE29" s="155">
        <v>43.157083229968102</v>
      </c>
      <c r="GF29" s="155">
        <v>26.534930166354499</v>
      </c>
      <c r="GG29" s="155">
        <v>30.122904906501901</v>
      </c>
      <c r="GH29" s="155">
        <v>22.019421001798602</v>
      </c>
      <c r="GI29" s="155">
        <v>31.9307774272256</v>
      </c>
      <c r="GJ29" s="155">
        <v>33.671613330328803</v>
      </c>
      <c r="GK29" s="155">
        <v>31.5011378933884</v>
      </c>
      <c r="GL29" s="155">
        <v>18.770499848070699</v>
      </c>
      <c r="GM29" s="155">
        <v>25.3571192345286</v>
      </c>
      <c r="GN29" s="155">
        <v>25.508203921030201</v>
      </c>
      <c r="GO29" s="155">
        <v>24.1606323880102</v>
      </c>
      <c r="GP29" s="155">
        <v>27.248161397694801</v>
      </c>
      <c r="GQ29" s="155">
        <v>30.069707482350299</v>
      </c>
      <c r="GR29" s="155">
        <v>30.860901331491199</v>
      </c>
      <c r="GS29" s="155">
        <v>31.525095069985699</v>
      </c>
      <c r="GT29" s="155">
        <v>19.635118848892098</v>
      </c>
      <c r="GU29" s="155">
        <v>27.9726759063924</v>
      </c>
      <c r="GV29" s="155">
        <v>37.940300103890799</v>
      </c>
      <c r="GW29" s="155">
        <v>27.045806974203899</v>
      </c>
      <c r="GX29" s="155">
        <v>25.2526034916905</v>
      </c>
      <c r="GY29" s="155">
        <v>32.650862416648998</v>
      </c>
      <c r="GZ29" s="155">
        <v>27.934049478451801</v>
      </c>
      <c r="HA29" s="155">
        <v>29.6105640825606</v>
      </c>
      <c r="HB29" s="155">
        <v>31.5261044286489</v>
      </c>
      <c r="HC29" s="155">
        <v>24.728697432751201</v>
      </c>
      <c r="HD29" s="155">
        <v>29.1095977097164</v>
      </c>
      <c r="HE29" s="155">
        <v>29.923423808990702</v>
      </c>
      <c r="HF29" s="155">
        <v>34.504993577693398</v>
      </c>
      <c r="HG29" s="155">
        <v>27.8756583814199</v>
      </c>
      <c r="HH29" s="155">
        <v>33.384096931322802</v>
      </c>
      <c r="HI29" s="155">
        <v>42.327704294234401</v>
      </c>
      <c r="HJ29" s="155">
        <v>27.295263000086099</v>
      </c>
      <c r="HK29" s="155">
        <v>39.672884494770102</v>
      </c>
      <c r="HL29" s="155">
        <v>21.6056728694542</v>
      </c>
      <c r="HM29" s="155">
        <v>34.947606191925303</v>
      </c>
      <c r="HN29" s="155">
        <v>32.872246717859397</v>
      </c>
      <c r="HO29" s="155">
        <v>33.7606160031293</v>
      </c>
      <c r="HP29" s="155">
        <v>51.511279831441698</v>
      </c>
      <c r="HQ29" s="155">
        <v>35.101689842959701</v>
      </c>
      <c r="HR29" s="155">
        <v>42.3081348928119</v>
      </c>
      <c r="HS29" s="155">
        <v>40.112966745695097</v>
      </c>
      <c r="HT29" s="155">
        <v>33.510648819402697</v>
      </c>
      <c r="HU29" s="155">
        <v>46.091383764553498</v>
      </c>
      <c r="HV29" s="155">
        <v>42.333962297513096</v>
      </c>
      <c r="HW29" s="155">
        <v>59.888884071877797</v>
      </c>
      <c r="HX29" s="155">
        <v>28.250875396840801</v>
      </c>
      <c r="HY29" s="155">
        <v>38.556770256685198</v>
      </c>
      <c r="HZ29" s="155">
        <v>31.268510685754599</v>
      </c>
      <c r="IA29" s="155">
        <v>43.945694336531702</v>
      </c>
      <c r="IB29" s="155">
        <v>31.669944538917001</v>
      </c>
      <c r="IC29" s="155">
        <v>20.869217607589299</v>
      </c>
      <c r="ID29" s="155">
        <v>19.3207559631159</v>
      </c>
      <c r="IE29" s="155">
        <v>32.017306447313103</v>
      </c>
    </row>
    <row r="30" spans="1:239" s="142" customFormat="1" ht="16.5" customHeight="1">
      <c r="A30" s="147" t="s">
        <v>202</v>
      </c>
      <c r="B30" s="154"/>
      <c r="C30" s="155">
        <v>44.281834355641195</v>
      </c>
      <c r="D30" s="155">
        <v>32.482654335308517</v>
      </c>
      <c r="E30" s="155">
        <v>41.69489174993322</v>
      </c>
      <c r="F30" s="155">
        <v>45.013773428988841</v>
      </c>
      <c r="G30" s="155">
        <v>26.300203234077497</v>
      </c>
      <c r="H30" s="155">
        <v>39.653407270569666</v>
      </c>
      <c r="I30" s="155">
        <v>32.196795289414943</v>
      </c>
      <c r="J30" s="155">
        <v>39.000267448890533</v>
      </c>
      <c r="K30" s="155">
        <v>59.317831698654707</v>
      </c>
      <c r="L30" s="155">
        <v>40.252631739226288</v>
      </c>
      <c r="M30" s="155">
        <v>56.668462942269407</v>
      </c>
      <c r="N30" s="155">
        <v>51.960281522686991</v>
      </c>
      <c r="O30" s="155">
        <v>47.374936504094542</v>
      </c>
      <c r="P30" s="155">
        <v>44.934108439779308</v>
      </c>
      <c r="Q30" s="155">
        <v>46.615047162959861</v>
      </c>
      <c r="R30" s="155">
        <v>31.350593676507827</v>
      </c>
      <c r="S30" s="155">
        <v>51.7893265207952</v>
      </c>
      <c r="T30" s="155">
        <v>62.103652500755224</v>
      </c>
      <c r="U30" s="155">
        <v>32.5964378873092</v>
      </c>
      <c r="V30" s="155">
        <v>47.565891004086147</v>
      </c>
      <c r="W30" s="155">
        <v>28.298711297677627</v>
      </c>
      <c r="X30" s="155">
        <v>68.01100829435974</v>
      </c>
      <c r="Y30" s="155">
        <v>63.281888978144153</v>
      </c>
      <c r="Z30" s="155">
        <v>68.442332033111612</v>
      </c>
      <c r="AA30" s="155">
        <v>60.54923215266723</v>
      </c>
      <c r="AB30" s="155">
        <v>69.81500023807871</v>
      </c>
      <c r="AC30" s="155">
        <v>83.055395195781344</v>
      </c>
      <c r="AD30" s="155">
        <v>23.991853641702292</v>
      </c>
      <c r="AE30" s="155">
        <v>45.294861984930193</v>
      </c>
      <c r="AF30" s="155">
        <v>21.3534711582681</v>
      </c>
      <c r="AG30" s="155">
        <v>77.414873595916205</v>
      </c>
      <c r="AH30" s="155">
        <v>81.941434934370534</v>
      </c>
      <c r="AI30" s="155">
        <v>35.231960143276851</v>
      </c>
      <c r="AJ30" s="155">
        <v>29.94059268594108</v>
      </c>
      <c r="AK30" s="155">
        <v>58.26351900653102</v>
      </c>
      <c r="AL30" s="155">
        <v>19.420990091928189</v>
      </c>
      <c r="AM30" s="155">
        <v>48.166910263182771</v>
      </c>
      <c r="AN30" s="155">
        <v>25.273570319960953</v>
      </c>
      <c r="AO30" s="155">
        <v>39.95153359174919</v>
      </c>
      <c r="AP30" s="155">
        <v>28.608592675075311</v>
      </c>
      <c r="AQ30" s="155">
        <v>36.817601621599508</v>
      </c>
      <c r="AR30" s="155">
        <v>51.024843503640206</v>
      </c>
      <c r="AS30" s="155">
        <v>28.441973299224681</v>
      </c>
      <c r="AT30" s="155">
        <v>49.506941593754135</v>
      </c>
      <c r="AU30" s="155">
        <v>32.949329428897975</v>
      </c>
      <c r="AV30" s="155">
        <v>37.416742782977771</v>
      </c>
      <c r="AW30" s="155">
        <v>26.556066900944309</v>
      </c>
      <c r="AX30" s="155">
        <v>29.882688162268977</v>
      </c>
      <c r="AY30" s="155">
        <v>65.537486713418701</v>
      </c>
      <c r="AZ30" s="155">
        <v>34.889767683654654</v>
      </c>
      <c r="BA30" s="155">
        <v>32.799946474430556</v>
      </c>
      <c r="BB30" s="155">
        <v>45.907139092962275</v>
      </c>
      <c r="BC30" s="155">
        <v>36.580170919551911</v>
      </c>
      <c r="BD30" s="155">
        <v>42.991068896139701</v>
      </c>
      <c r="BE30" s="155">
        <v>51.39354605643566</v>
      </c>
      <c r="BF30" s="155">
        <v>61.221920507532715</v>
      </c>
      <c r="BG30" s="155">
        <v>67.646457007330113</v>
      </c>
      <c r="BH30" s="155">
        <v>57.675214312365632</v>
      </c>
      <c r="BI30" s="155">
        <v>44.341948545655072</v>
      </c>
      <c r="BJ30" s="155">
        <v>51.980047410785104</v>
      </c>
      <c r="BK30" s="155">
        <v>65.745057373087462</v>
      </c>
      <c r="BL30" s="155">
        <v>61.753695382108553</v>
      </c>
      <c r="BM30" s="155">
        <v>53.369971570694574</v>
      </c>
      <c r="BN30" s="155">
        <v>40.627527359221261</v>
      </c>
      <c r="BO30" s="155">
        <v>52.119396937552928</v>
      </c>
      <c r="BP30" s="155">
        <v>44.257626346223283</v>
      </c>
      <c r="BQ30" s="155">
        <v>43.832176155510325</v>
      </c>
      <c r="BR30" s="155">
        <v>42.084253805892125</v>
      </c>
      <c r="BS30" s="155">
        <v>35.429968966452421</v>
      </c>
      <c r="BT30" s="155">
        <v>35.849942351305316</v>
      </c>
      <c r="BU30" s="155">
        <v>42.156655224758133</v>
      </c>
      <c r="BV30" s="155">
        <v>46.847864190483044</v>
      </c>
      <c r="BW30" s="155">
        <v>38.637729004045944</v>
      </c>
      <c r="BX30" s="155">
        <v>41.137185389092906</v>
      </c>
      <c r="BY30" s="155">
        <v>56.491287261700606</v>
      </c>
      <c r="BZ30" s="155">
        <v>42.178921483344652</v>
      </c>
      <c r="CA30" s="155">
        <v>31.847341039802441</v>
      </c>
      <c r="CB30" s="155">
        <v>30.752781390250284</v>
      </c>
      <c r="CC30" s="155">
        <v>34.615331620512293</v>
      </c>
      <c r="CD30" s="155">
        <v>30.797006615822557</v>
      </c>
      <c r="CE30" s="155">
        <v>32.971778746067429</v>
      </c>
      <c r="CF30" s="155">
        <v>41.539621879157089</v>
      </c>
      <c r="CG30" s="155">
        <v>29.939795665660945</v>
      </c>
      <c r="CH30" s="155">
        <v>33.609195773234447</v>
      </c>
      <c r="CI30" s="155">
        <v>27.456620969346883</v>
      </c>
      <c r="CJ30" s="155">
        <v>30.517067611820547</v>
      </c>
      <c r="CK30" s="155">
        <v>26.728008876886733</v>
      </c>
      <c r="CL30" s="155">
        <v>46.121846419113709</v>
      </c>
      <c r="CM30" s="155">
        <v>48.47598032693768</v>
      </c>
      <c r="CN30" s="155">
        <v>34.936534187755754</v>
      </c>
      <c r="CO30" s="155">
        <v>39.6806692366427</v>
      </c>
      <c r="CP30" s="155">
        <v>23.764442161390285</v>
      </c>
      <c r="CQ30" s="155">
        <v>42.647929888739242</v>
      </c>
      <c r="CR30" s="155">
        <v>33.926382260732986</v>
      </c>
      <c r="CS30" s="155">
        <v>22.521694615394335</v>
      </c>
      <c r="CT30" s="155">
        <v>11.780694236452867</v>
      </c>
      <c r="CU30" s="155">
        <v>28.143854016262054</v>
      </c>
      <c r="CV30" s="155">
        <v>22.419357454556856</v>
      </c>
      <c r="CW30" s="155">
        <v>15.584595010234922</v>
      </c>
      <c r="CX30" s="155">
        <v>16.107930163589181</v>
      </c>
      <c r="CY30" s="155">
        <v>16.165779974953924</v>
      </c>
      <c r="CZ30" s="155">
        <v>14.70187401711984</v>
      </c>
      <c r="DA30" s="155">
        <v>18.250339194302367</v>
      </c>
      <c r="DB30" s="155">
        <v>15.512531424563459</v>
      </c>
      <c r="DC30" s="155">
        <v>39.225889095351917</v>
      </c>
      <c r="DD30" s="155">
        <v>46.639105682695842</v>
      </c>
      <c r="DE30" s="155">
        <v>20.556808018740895</v>
      </c>
      <c r="DF30" s="155">
        <v>26.77496539777519</v>
      </c>
      <c r="DG30" s="155">
        <v>42.187081796271045</v>
      </c>
      <c r="DH30" s="155">
        <v>49.768815566424351</v>
      </c>
      <c r="DI30" s="155">
        <v>35.943219948640021</v>
      </c>
      <c r="DJ30" s="155">
        <v>22.225260914967649</v>
      </c>
      <c r="DK30" s="155">
        <v>41.992342827865656</v>
      </c>
      <c r="DL30" s="155">
        <v>39.118041420962918</v>
      </c>
      <c r="DM30" s="155">
        <v>27.68575213112852</v>
      </c>
      <c r="DN30" s="155">
        <v>43.266232999101092</v>
      </c>
      <c r="DO30" s="155">
        <v>28.160020660611117</v>
      </c>
      <c r="DP30" s="155">
        <v>26.893145705498128</v>
      </c>
      <c r="DQ30" s="155">
        <v>43.061846877965834</v>
      </c>
      <c r="DR30" s="155">
        <v>36.37589696779375</v>
      </c>
      <c r="DS30" s="155">
        <v>28.54718219859101</v>
      </c>
      <c r="DT30" s="155">
        <v>35.351698265999865</v>
      </c>
      <c r="DU30" s="155">
        <v>32.067492524915487</v>
      </c>
      <c r="DV30" s="155">
        <v>43.409363603395327</v>
      </c>
      <c r="DW30" s="155">
        <v>27.219113814884423</v>
      </c>
      <c r="DX30" s="155">
        <v>39.204197198672794</v>
      </c>
      <c r="DY30" s="155">
        <v>28.93492696401675</v>
      </c>
      <c r="DZ30" s="155">
        <v>31.743852814526008</v>
      </c>
      <c r="EA30" s="155">
        <v>37.146633886137145</v>
      </c>
      <c r="EB30" s="155">
        <v>22.192672954948261</v>
      </c>
      <c r="EC30" s="155">
        <v>36.61789762862314</v>
      </c>
      <c r="ED30" s="155">
        <v>16.631204817851518</v>
      </c>
      <c r="EE30" s="155">
        <v>39.729362799904386</v>
      </c>
      <c r="EF30" s="155">
        <v>51.734325202006616</v>
      </c>
      <c r="EG30" s="155">
        <v>32.456518281562431</v>
      </c>
      <c r="EH30" s="155">
        <v>30.04885388150597</v>
      </c>
      <c r="EI30" s="155">
        <v>29.284957409267143</v>
      </c>
      <c r="EJ30" s="155">
        <v>34.149209500852848</v>
      </c>
      <c r="EK30" s="155">
        <v>40.182417948098987</v>
      </c>
      <c r="EL30" s="155">
        <v>35.622383780196287</v>
      </c>
      <c r="EM30" s="155">
        <v>36.732945169629019</v>
      </c>
      <c r="EN30" s="155">
        <v>42.067009350704339</v>
      </c>
      <c r="EO30" s="155">
        <v>42.404829323964428</v>
      </c>
      <c r="EP30" s="155">
        <v>45.495350020724835</v>
      </c>
      <c r="EQ30" s="155">
        <v>49.265969458296347</v>
      </c>
      <c r="ER30" s="155">
        <v>40.357618616633076</v>
      </c>
      <c r="ES30" s="155">
        <v>48.900123380318561</v>
      </c>
      <c r="ET30" s="155">
        <v>21.689378934343136</v>
      </c>
      <c r="EU30" s="155">
        <v>23.997329019695886</v>
      </c>
      <c r="EV30" s="155">
        <v>29.884538917621683</v>
      </c>
      <c r="EW30" s="155">
        <v>13.711620500994224</v>
      </c>
      <c r="EX30" s="155">
        <v>39.896053081661144</v>
      </c>
      <c r="EY30" s="155">
        <v>34.893620115649206</v>
      </c>
      <c r="EZ30" s="155">
        <v>28.395554327586424</v>
      </c>
      <c r="FA30" s="155">
        <v>28.588946535629923</v>
      </c>
      <c r="FB30" s="155">
        <v>23.607146816788202</v>
      </c>
      <c r="FC30" s="155">
        <v>14.284909712938465</v>
      </c>
      <c r="FD30" s="155">
        <v>30.74678882167154</v>
      </c>
      <c r="FE30" s="155">
        <v>33.275484384919487</v>
      </c>
      <c r="FF30" s="155">
        <v>31.289060503402748</v>
      </c>
      <c r="FG30" s="155">
        <v>27.251140538541474</v>
      </c>
      <c r="FH30" s="155">
        <v>11.0950456776319</v>
      </c>
      <c r="FI30" s="155">
        <v>33.710993953157796</v>
      </c>
      <c r="FJ30" s="155">
        <v>24.537822177007399</v>
      </c>
      <c r="FK30" s="155">
        <v>43.985414227410303</v>
      </c>
      <c r="FL30" s="155">
        <v>30.4444652675711</v>
      </c>
      <c r="FM30" s="155">
        <v>10.3386619381678</v>
      </c>
      <c r="FN30" s="155">
        <v>31.192963023839599</v>
      </c>
      <c r="FO30" s="155">
        <v>13.4151407272116</v>
      </c>
      <c r="FP30" s="155">
        <v>27.241652795621</v>
      </c>
      <c r="FQ30" s="155">
        <v>22.333696518069502</v>
      </c>
      <c r="FR30" s="155">
        <v>10.9439862175486</v>
      </c>
      <c r="FS30" s="155">
        <v>29.850090196258499</v>
      </c>
      <c r="FT30" s="155">
        <v>19.962428337301802</v>
      </c>
      <c r="FU30" s="155">
        <v>19.550994268329799</v>
      </c>
      <c r="FV30" s="155">
        <v>22.2726299129585</v>
      </c>
      <c r="FW30" s="155">
        <v>31.7998978747056</v>
      </c>
      <c r="FX30" s="155">
        <v>27.926182368048099</v>
      </c>
      <c r="FY30" s="155">
        <v>23.596192546896699</v>
      </c>
      <c r="FZ30" s="155">
        <v>28.7122286431199</v>
      </c>
      <c r="GA30" s="155">
        <v>28.106349500102102</v>
      </c>
      <c r="GB30" s="155">
        <v>25.896841093715899</v>
      </c>
      <c r="GC30" s="155">
        <v>29.088025812662501</v>
      </c>
      <c r="GD30" s="155">
        <v>23.400980610840101</v>
      </c>
      <c r="GE30" s="155">
        <v>27.928959042969002</v>
      </c>
      <c r="GF30" s="155">
        <v>35.130927312458603</v>
      </c>
      <c r="GG30" s="155">
        <v>28.8352184153695</v>
      </c>
      <c r="GH30" s="155">
        <v>38.194991131343897</v>
      </c>
      <c r="GI30" s="155">
        <v>38.021869104654002</v>
      </c>
      <c r="GJ30" s="155">
        <v>35.684521700829997</v>
      </c>
      <c r="GK30" s="155">
        <v>21.232279156224202</v>
      </c>
      <c r="GL30" s="155">
        <v>48.989588349765398</v>
      </c>
      <c r="GM30" s="155">
        <v>41.047252858792397</v>
      </c>
      <c r="GN30" s="155">
        <v>44.396418371121698</v>
      </c>
      <c r="GO30" s="155">
        <v>46.0601889924041</v>
      </c>
      <c r="GP30" s="155">
        <v>55.109524162737898</v>
      </c>
      <c r="GQ30" s="155">
        <v>54.424484578224799</v>
      </c>
      <c r="GR30" s="155">
        <v>44.966099412713298</v>
      </c>
      <c r="GS30" s="155">
        <v>41.943993924711201</v>
      </c>
      <c r="GT30" s="155">
        <v>61.995505516026597</v>
      </c>
      <c r="GU30" s="155">
        <v>52.9128663487446</v>
      </c>
      <c r="GV30" s="155">
        <v>50.484709958125698</v>
      </c>
      <c r="GW30" s="155">
        <v>35.772505513569499</v>
      </c>
      <c r="GX30" s="155">
        <v>45.488257241955203</v>
      </c>
      <c r="GY30" s="155">
        <v>32.288508271486698</v>
      </c>
      <c r="GZ30" s="155">
        <v>29.1538590199679</v>
      </c>
      <c r="HA30" s="155">
        <v>32.573397041970701</v>
      </c>
      <c r="HB30" s="155">
        <v>34.0282944454285</v>
      </c>
      <c r="HC30" s="155">
        <v>34.836089544950603</v>
      </c>
      <c r="HD30" s="155">
        <v>45.836704393515198</v>
      </c>
      <c r="HE30" s="155">
        <v>44.661975291770403</v>
      </c>
      <c r="HF30" s="155">
        <v>35.467296854078398</v>
      </c>
      <c r="HG30" s="155">
        <v>61.558151334324002</v>
      </c>
      <c r="HH30" s="155">
        <v>50.222630492331199</v>
      </c>
      <c r="HI30" s="155">
        <v>42.150080607895497</v>
      </c>
      <c r="HJ30" s="155">
        <v>44.653065149613397</v>
      </c>
      <c r="HK30" s="155">
        <v>41.426004638007399</v>
      </c>
      <c r="HL30" s="155">
        <v>59.836958971317202</v>
      </c>
      <c r="HM30" s="155">
        <v>46.1131031763992</v>
      </c>
      <c r="HN30" s="155">
        <v>41.803029930215601</v>
      </c>
      <c r="HO30" s="155">
        <v>45.4822000253222</v>
      </c>
      <c r="HP30" s="155">
        <v>35.639294671010099</v>
      </c>
      <c r="HQ30" s="155">
        <v>17.047447975319201</v>
      </c>
      <c r="HR30" s="155">
        <v>29.14373700981</v>
      </c>
      <c r="HS30" s="155">
        <v>33.950963001224899</v>
      </c>
      <c r="HT30" s="155">
        <v>44.396189003830301</v>
      </c>
      <c r="HU30" s="155">
        <v>26.651823729060599</v>
      </c>
      <c r="HV30" s="155">
        <v>30.9035161030626</v>
      </c>
      <c r="HW30" s="155">
        <v>15.760753467986</v>
      </c>
      <c r="HX30" s="155">
        <v>42.274924901372302</v>
      </c>
      <c r="HY30" s="155">
        <v>32.404291488218</v>
      </c>
      <c r="HZ30" s="155">
        <v>45.457201314145301</v>
      </c>
      <c r="IA30" s="155">
        <v>24.317297276766102</v>
      </c>
      <c r="IB30" s="155">
        <v>37.937212518849698</v>
      </c>
      <c r="IC30" s="155">
        <v>62.547342404129701</v>
      </c>
      <c r="ID30" s="155">
        <v>65.820001121994906</v>
      </c>
      <c r="IE30" s="155">
        <v>57.9344053397407</v>
      </c>
    </row>
    <row r="31" spans="1:239" s="142" customFormat="1" ht="16.5" customHeight="1">
      <c r="A31" s="152" t="s">
        <v>203</v>
      </c>
      <c r="B31" s="152"/>
      <c r="C31" s="156">
        <v>7.314304036096539</v>
      </c>
      <c r="D31" s="156">
        <v>23.347522960386765</v>
      </c>
      <c r="E31" s="156">
        <v>14.826412195557792</v>
      </c>
      <c r="F31" s="156">
        <v>17.00458678895501</v>
      </c>
      <c r="G31" s="156">
        <v>19.006173236284756</v>
      </c>
      <c r="H31" s="156">
        <v>17.995722276936124</v>
      </c>
      <c r="I31" s="156">
        <v>11.674918583264191</v>
      </c>
      <c r="J31" s="156">
        <v>24.402546811819001</v>
      </c>
      <c r="K31" s="156">
        <v>6.0321599649647393</v>
      </c>
      <c r="L31" s="156">
        <v>8.7626798493377613</v>
      </c>
      <c r="M31" s="156">
        <v>8.308792248535898</v>
      </c>
      <c r="N31" s="156">
        <v>12.288579415863724</v>
      </c>
      <c r="O31" s="156">
        <v>14.311940693780778</v>
      </c>
      <c r="P31" s="156">
        <v>21.143521308156942</v>
      </c>
      <c r="Q31" s="156">
        <v>9.8626116719426413</v>
      </c>
      <c r="R31" s="156">
        <v>45.373451029388733</v>
      </c>
      <c r="S31" s="156">
        <v>12.136803066473458</v>
      </c>
      <c r="T31" s="156">
        <v>9.2278219507714994</v>
      </c>
      <c r="U31" s="156">
        <v>16.81043040531253</v>
      </c>
      <c r="V31" s="156">
        <v>14.38062571589613</v>
      </c>
      <c r="W31" s="156">
        <v>3.6768514048020688</v>
      </c>
      <c r="X31" s="156">
        <v>2.54648908536941</v>
      </c>
      <c r="Y31" s="156">
        <v>1.4945280619284038</v>
      </c>
      <c r="Z31" s="156">
        <v>1.1742846591801031</v>
      </c>
      <c r="AA31" s="156">
        <v>5.0261648007372282</v>
      </c>
      <c r="AB31" s="156">
        <v>7.7023618051746308</v>
      </c>
      <c r="AC31" s="156">
        <v>0.13717233536938875</v>
      </c>
      <c r="AD31" s="156">
        <v>10.286935657451004</v>
      </c>
      <c r="AE31" s="156">
        <v>7.141350543410101</v>
      </c>
      <c r="AF31" s="156">
        <v>43.261555951204251</v>
      </c>
      <c r="AG31" s="156">
        <v>2.9325148475004084</v>
      </c>
      <c r="AH31" s="156">
        <v>3.4631474117623817</v>
      </c>
      <c r="AI31" s="156">
        <v>10.207909165657275</v>
      </c>
      <c r="AJ31" s="156">
        <v>11.26423211884028</v>
      </c>
      <c r="AK31" s="156">
        <v>5.5784806145853025</v>
      </c>
      <c r="AL31" s="156">
        <v>9.9841561831462347</v>
      </c>
      <c r="AM31" s="156">
        <v>4.6886176901987646</v>
      </c>
      <c r="AN31" s="156">
        <v>9.2144594610637593</v>
      </c>
      <c r="AO31" s="156">
        <v>14.528372995710981</v>
      </c>
      <c r="AP31" s="156">
        <v>16.298813187646299</v>
      </c>
      <c r="AQ31" s="156">
        <v>7.0314205679925008</v>
      </c>
      <c r="AR31" s="156">
        <v>20.410473315144539</v>
      </c>
      <c r="AS31" s="156">
        <v>3.488171042447191</v>
      </c>
      <c r="AT31" s="156">
        <v>16.127193226094676</v>
      </c>
      <c r="AU31" s="156">
        <v>10.542775145177535</v>
      </c>
      <c r="AV31" s="156">
        <v>8.1924216932211227</v>
      </c>
      <c r="AW31" s="156">
        <v>3.3749568825855656</v>
      </c>
      <c r="AX31" s="156">
        <v>6.8861219120269324</v>
      </c>
      <c r="AY31" s="156">
        <v>8.3801977486984889</v>
      </c>
      <c r="AZ31" s="156">
        <v>9.0992987930443938</v>
      </c>
      <c r="BA31" s="156">
        <v>10.24464242730266</v>
      </c>
      <c r="BB31" s="156">
        <v>10.699829070988521</v>
      </c>
      <c r="BC31" s="156">
        <v>13.103357690449277</v>
      </c>
      <c r="BD31" s="156">
        <v>9.0862410017183848</v>
      </c>
      <c r="BE31" s="156">
        <v>20.729274492426008</v>
      </c>
      <c r="BF31" s="156">
        <v>6.2677752834439406</v>
      </c>
      <c r="BG31" s="156">
        <v>7.9243768480333152</v>
      </c>
      <c r="BH31" s="156">
        <v>21.5811238214702</v>
      </c>
      <c r="BI31" s="156">
        <v>13.83455818491316</v>
      </c>
      <c r="BJ31" s="156">
        <v>13.198367370806489</v>
      </c>
      <c r="BK31" s="156">
        <v>10.032938059569812</v>
      </c>
      <c r="BL31" s="156">
        <v>9.8081002649066598</v>
      </c>
      <c r="BM31" s="156">
        <v>20.123514706365388</v>
      </c>
      <c r="BN31" s="156">
        <v>23.646177310550058</v>
      </c>
      <c r="BO31" s="156">
        <v>10.899607832752356</v>
      </c>
      <c r="BP31" s="156">
        <v>17.251946500535166</v>
      </c>
      <c r="BQ31" s="156">
        <v>10.783029278547557</v>
      </c>
      <c r="BR31" s="156">
        <v>7.4548864799266203</v>
      </c>
      <c r="BS31" s="156">
        <v>10.572780163055434</v>
      </c>
      <c r="BT31" s="156">
        <v>7.4210620786159449</v>
      </c>
      <c r="BU31" s="156">
        <v>7.6869772989933178</v>
      </c>
      <c r="BV31" s="156">
        <v>11.274593603584997</v>
      </c>
      <c r="BW31" s="156">
        <v>9.2308459991867924</v>
      </c>
      <c r="BX31" s="156">
        <v>5.6852253397833072</v>
      </c>
      <c r="BY31" s="156">
        <v>9.2713828976367463</v>
      </c>
      <c r="BZ31" s="156">
        <v>7.2640466713458904</v>
      </c>
      <c r="CA31" s="156">
        <v>6.3599134565209923</v>
      </c>
      <c r="CB31" s="156">
        <v>4.2151908883106763</v>
      </c>
      <c r="CC31" s="156">
        <v>8.6884945350170835</v>
      </c>
      <c r="CD31" s="156">
        <v>1.7949005710847177</v>
      </c>
      <c r="CE31" s="156">
        <v>6.7688637420046671</v>
      </c>
      <c r="CF31" s="156">
        <v>10.39513101507395</v>
      </c>
      <c r="CG31" s="156">
        <v>4.6028748463927514</v>
      </c>
      <c r="CH31" s="156">
        <v>8.8605356587523438</v>
      </c>
      <c r="CI31" s="156">
        <v>9.9741579815140042</v>
      </c>
      <c r="CJ31" s="156">
        <v>7.1164448212874678</v>
      </c>
      <c r="CK31" s="156">
        <v>7.2839594717134286</v>
      </c>
      <c r="CL31" s="156">
        <v>5.2854259425404848</v>
      </c>
      <c r="CM31" s="156">
        <v>3.4219029467872324</v>
      </c>
      <c r="CN31" s="156">
        <v>6.5711902636262103</v>
      </c>
      <c r="CO31" s="156">
        <v>5.9896497673090705</v>
      </c>
      <c r="CP31" s="156">
        <v>5.3043215277782796</v>
      </c>
      <c r="CQ31" s="156">
        <v>7.8422330213455016</v>
      </c>
      <c r="CR31" s="156">
        <v>2.8133502063569855</v>
      </c>
      <c r="CS31" s="156">
        <v>2.3868188453968857</v>
      </c>
      <c r="CT31" s="156">
        <v>0.62263570878775409</v>
      </c>
      <c r="CU31" s="156">
        <v>4.0563153815095285</v>
      </c>
      <c r="CV31" s="156">
        <v>2.20472106261836</v>
      </c>
      <c r="CW31" s="156">
        <v>4.2948604292981178</v>
      </c>
      <c r="CX31" s="156">
        <v>1.6399952481547881</v>
      </c>
      <c r="CY31" s="156">
        <v>5.2813219948864019</v>
      </c>
      <c r="CZ31" s="156">
        <v>4.5876383744408615</v>
      </c>
      <c r="DA31" s="156">
        <v>6.0262768929298165</v>
      </c>
      <c r="DB31" s="156">
        <v>1.8876991082530203</v>
      </c>
      <c r="DC31" s="156">
        <v>2.8121699943539054</v>
      </c>
      <c r="DD31" s="156">
        <v>4.2459869669105172</v>
      </c>
      <c r="DE31" s="156">
        <v>8.5598802413454962</v>
      </c>
      <c r="DF31" s="156">
        <v>2.6615568267250684</v>
      </c>
      <c r="DG31" s="156">
        <v>23.902851799709694</v>
      </c>
      <c r="DH31" s="156">
        <v>8.0199513429941671</v>
      </c>
      <c r="DI31" s="156">
        <v>15.208202875883851</v>
      </c>
      <c r="DJ31" s="156">
        <v>15.15035076008426</v>
      </c>
      <c r="DK31" s="156">
        <v>7.9793780673782635</v>
      </c>
      <c r="DL31" s="156">
        <v>10.934434332843026</v>
      </c>
      <c r="DM31" s="156">
        <v>12.368260486769133</v>
      </c>
      <c r="DN31" s="156">
        <v>15.719784538486042</v>
      </c>
      <c r="DO31" s="156">
        <v>22.36971730959112</v>
      </c>
      <c r="DP31" s="156">
        <v>31.745903132589255</v>
      </c>
      <c r="DQ31" s="156">
        <v>20.920681388367303</v>
      </c>
      <c r="DR31" s="156">
        <v>10.526814563666589</v>
      </c>
      <c r="DS31" s="156">
        <v>24.642686197913491</v>
      </c>
      <c r="DT31" s="156">
        <v>10.499966126932977</v>
      </c>
      <c r="DU31" s="156">
        <v>20.073846946718561</v>
      </c>
      <c r="DV31" s="156">
        <v>6.0994646836823438</v>
      </c>
      <c r="DW31" s="156">
        <v>6.4641208865966275</v>
      </c>
      <c r="DX31" s="156">
        <v>12.740828405776087</v>
      </c>
      <c r="DY31" s="156">
        <v>14.322989293164959</v>
      </c>
      <c r="DZ31" s="156">
        <v>14.995531995030708</v>
      </c>
      <c r="EA31" s="156">
        <v>5.173336578184939</v>
      </c>
      <c r="EB31" s="156">
        <v>8.1630631188021141</v>
      </c>
      <c r="EC31" s="156">
        <v>12.691452969805589</v>
      </c>
      <c r="ED31" s="156">
        <v>21.165274984698733</v>
      </c>
      <c r="EE31" s="156">
        <v>18.749957937206961</v>
      </c>
      <c r="EF31" s="156">
        <v>17.279168561407037</v>
      </c>
      <c r="EG31" s="156">
        <v>5.2683088488420369</v>
      </c>
      <c r="EH31" s="156">
        <v>19.460264739345725</v>
      </c>
      <c r="EI31" s="156">
        <v>4.353416201156997</v>
      </c>
      <c r="EJ31" s="156">
        <v>6.908312989730983</v>
      </c>
      <c r="EK31" s="156">
        <v>1.1435989779162576</v>
      </c>
      <c r="EL31" s="156">
        <v>2.5535851609095714</v>
      </c>
      <c r="EM31" s="156">
        <v>2.2513419463070501</v>
      </c>
      <c r="EN31" s="156">
        <v>2.5845428348571069</v>
      </c>
      <c r="EO31" s="156">
        <v>7.7257459802898882</v>
      </c>
      <c r="EP31" s="156">
        <v>3.8986219595603577</v>
      </c>
      <c r="EQ31" s="156">
        <v>10.456676460232053</v>
      </c>
      <c r="ER31" s="156">
        <v>3.9619064751274946</v>
      </c>
      <c r="ES31" s="156">
        <v>0.32866602989414923</v>
      </c>
      <c r="ET31" s="156">
        <v>1.0747011930465666</v>
      </c>
      <c r="EU31" s="156">
        <v>12.292357541092883</v>
      </c>
      <c r="EV31" s="156">
        <v>13.259589236106461</v>
      </c>
      <c r="EW31" s="156">
        <v>9.0639264692121504</v>
      </c>
      <c r="EX31" s="156">
        <v>10.091707963553134</v>
      </c>
      <c r="EY31" s="156">
        <v>7.9611834147621154</v>
      </c>
      <c r="EZ31" s="156">
        <v>8.9580521497891574</v>
      </c>
      <c r="FA31" s="156">
        <v>5.2275026583343571</v>
      </c>
      <c r="FB31" s="156">
        <v>6.4496495924580923</v>
      </c>
      <c r="FC31" s="156">
        <v>4.3413233589195874</v>
      </c>
      <c r="FD31" s="156">
        <v>3.1116590221063709</v>
      </c>
      <c r="FE31" s="156">
        <v>2.0623094630629057</v>
      </c>
      <c r="FF31" s="156">
        <v>1.4470364376230953</v>
      </c>
      <c r="FG31" s="156">
        <v>1.7989977718567696</v>
      </c>
      <c r="FH31" s="156">
        <v>0.96575668422939098</v>
      </c>
      <c r="FI31" s="156">
        <v>0</v>
      </c>
      <c r="FJ31" s="156">
        <v>11.3310780604349</v>
      </c>
      <c r="FK31" s="156">
        <v>10.2975797394895</v>
      </c>
      <c r="FL31" s="156">
        <v>1.90787697737768</v>
      </c>
      <c r="FM31" s="156">
        <v>0</v>
      </c>
      <c r="FN31" s="156">
        <v>0.56765102288796099</v>
      </c>
      <c r="FO31" s="156">
        <v>27.882249895868799</v>
      </c>
      <c r="FP31" s="156">
        <v>0.38450436854555903</v>
      </c>
      <c r="FQ31" s="156">
        <v>15.886301998368401</v>
      </c>
      <c r="FR31" s="156">
        <v>5.5344822004758401</v>
      </c>
      <c r="FS31" s="156">
        <v>4.2323900727994204</v>
      </c>
      <c r="FT31" s="156">
        <v>17.2402862463764</v>
      </c>
      <c r="FU31" s="156">
        <v>1.11806025296927</v>
      </c>
      <c r="FV31" s="156">
        <v>4.2473506587488297</v>
      </c>
      <c r="FW31" s="156">
        <v>5.5068776198416503</v>
      </c>
      <c r="FX31" s="156">
        <v>1.27191003586465</v>
      </c>
      <c r="FY31" s="156">
        <v>1.7294954944629199</v>
      </c>
      <c r="FZ31" s="156">
        <v>7.8127009489481098</v>
      </c>
      <c r="GA31" s="156">
        <v>5.1889005555227703</v>
      </c>
      <c r="GB31" s="156">
        <v>6.5386953247965698</v>
      </c>
      <c r="GC31" s="156">
        <v>1.4797862925623499</v>
      </c>
      <c r="GD31" s="156">
        <v>9.1001530593704505</v>
      </c>
      <c r="GE31" s="156">
        <v>2.67503990585486</v>
      </c>
      <c r="GF31" s="156">
        <v>11.0146376637692</v>
      </c>
      <c r="GG31" s="156">
        <v>10.5818179469124</v>
      </c>
      <c r="GH31" s="156">
        <v>11.067245559465301</v>
      </c>
      <c r="GI31" s="156">
        <v>10.590402318320701</v>
      </c>
      <c r="GJ31" s="156">
        <v>4.2397553887900896</v>
      </c>
      <c r="GK31" s="156">
        <v>6.6268427431164501</v>
      </c>
      <c r="GL31" s="156">
        <v>7.6551765404040699</v>
      </c>
      <c r="GM31" s="156">
        <v>7.83587966600198</v>
      </c>
      <c r="GN31" s="156">
        <v>8.6525166014797605</v>
      </c>
      <c r="GO31" s="156">
        <v>16.342621529488401</v>
      </c>
      <c r="GP31" s="156">
        <v>3.5135566727705498</v>
      </c>
      <c r="GQ31" s="156">
        <v>6.6952164165567796</v>
      </c>
      <c r="GR31" s="156">
        <v>13.025819946401199</v>
      </c>
      <c r="GS31" s="156">
        <v>14.607777273052299</v>
      </c>
      <c r="GT31" s="156">
        <v>3.22561806168842</v>
      </c>
      <c r="GU31" s="156">
        <v>7.5869418581974797</v>
      </c>
      <c r="GV31" s="156">
        <v>0.34997170380321002</v>
      </c>
      <c r="GW31" s="156">
        <v>19.3416948075586</v>
      </c>
      <c r="GX31" s="156">
        <v>14.6556112375729</v>
      </c>
      <c r="GY31" s="156">
        <v>17.302947945704499</v>
      </c>
      <c r="GZ31" s="156">
        <v>2.00249658955273</v>
      </c>
      <c r="HA31" s="156">
        <v>11.6211833640221</v>
      </c>
      <c r="HB31" s="156">
        <v>12.904357584166799</v>
      </c>
      <c r="HC31" s="156">
        <v>8.2323668502207994</v>
      </c>
      <c r="HD31" s="156">
        <v>2.3130806036890701</v>
      </c>
      <c r="HE31" s="156">
        <v>4.6188163421420398</v>
      </c>
      <c r="HF31" s="156">
        <v>1.9800805151317</v>
      </c>
      <c r="HG31" s="156">
        <v>2.94795799771147</v>
      </c>
      <c r="HH31" s="156">
        <v>10.972905490661001</v>
      </c>
      <c r="HI31" s="156">
        <v>9.1380316600552902</v>
      </c>
      <c r="HJ31" s="156">
        <v>17.186587007837101</v>
      </c>
      <c r="HK31" s="156">
        <v>12.7697972360336</v>
      </c>
      <c r="HL31" s="156">
        <v>13.087311402914899</v>
      </c>
      <c r="HM31" s="156">
        <v>11.0643825390316</v>
      </c>
      <c r="HN31" s="156">
        <v>7.8289375781430799</v>
      </c>
      <c r="HO31" s="156">
        <v>11.4329977695668</v>
      </c>
      <c r="HP31" s="156">
        <v>1.3229016412533601</v>
      </c>
      <c r="HQ31" s="156">
        <v>15.096373034716599</v>
      </c>
      <c r="HR31" s="156">
        <v>12.7376362435792</v>
      </c>
      <c r="HS31" s="156">
        <v>8.4725523490339203</v>
      </c>
      <c r="HT31" s="156">
        <v>9.6961386465267001</v>
      </c>
      <c r="HU31" s="156">
        <v>9.5115079999683907</v>
      </c>
      <c r="HV31" s="156">
        <v>14.5914714731987</v>
      </c>
      <c r="HW31" s="156">
        <v>6.8565419622388797</v>
      </c>
      <c r="HX31" s="156">
        <v>10.0065589244757</v>
      </c>
      <c r="HY31" s="156">
        <v>11.6839437118375</v>
      </c>
      <c r="HZ31" s="156">
        <v>7.5129855840234301</v>
      </c>
      <c r="IA31" s="156">
        <v>1.77453662390723</v>
      </c>
      <c r="IB31" s="156">
        <v>4.0394603458839198</v>
      </c>
      <c r="IC31" s="156">
        <v>2.2329200347648199</v>
      </c>
      <c r="ID31" s="156">
        <v>9.7408815362047605</v>
      </c>
      <c r="IE31" s="156">
        <v>2.3530652873928899</v>
      </c>
    </row>
    <row r="32" spans="1:239" s="142" customFormat="1" ht="16.5" customHeight="1">
      <c r="A32" s="147"/>
      <c r="B32" s="147"/>
      <c r="C32" s="160"/>
      <c r="D32" s="160"/>
      <c r="E32" s="160"/>
      <c r="F32" s="160" t="s">
        <v>138</v>
      </c>
      <c r="G32" s="160" t="s">
        <v>138</v>
      </c>
      <c r="H32" s="160" t="s">
        <v>138</v>
      </c>
      <c r="I32" s="160" t="s">
        <v>138</v>
      </c>
      <c r="J32" s="160" t="s">
        <v>138</v>
      </c>
      <c r="K32" s="160" t="s">
        <v>138</v>
      </c>
      <c r="L32" s="160" t="s">
        <v>138</v>
      </c>
      <c r="M32" s="160" t="s">
        <v>138</v>
      </c>
      <c r="N32" s="160" t="s">
        <v>138</v>
      </c>
      <c r="O32" s="160" t="s">
        <v>138</v>
      </c>
      <c r="P32" s="160" t="s">
        <v>138</v>
      </c>
      <c r="Q32" s="160" t="s">
        <v>138</v>
      </c>
      <c r="R32" s="160" t="s">
        <v>138</v>
      </c>
      <c r="S32" s="160" t="s">
        <v>138</v>
      </c>
      <c r="T32" s="160" t="s">
        <v>138</v>
      </c>
      <c r="U32" s="160" t="s">
        <v>138</v>
      </c>
      <c r="V32" s="160" t="s">
        <v>138</v>
      </c>
      <c r="W32" s="160" t="s">
        <v>138</v>
      </c>
      <c r="X32" s="160" t="s">
        <v>138</v>
      </c>
      <c r="Y32" s="160" t="s">
        <v>138</v>
      </c>
      <c r="Z32" s="160" t="s">
        <v>138</v>
      </c>
      <c r="AA32" s="160" t="s">
        <v>138</v>
      </c>
      <c r="AB32" s="160" t="s">
        <v>138</v>
      </c>
      <c r="AC32" s="160" t="s">
        <v>138</v>
      </c>
      <c r="AD32" s="160" t="s">
        <v>138</v>
      </c>
      <c r="AE32" s="160" t="s">
        <v>138</v>
      </c>
      <c r="AF32" s="160" t="s">
        <v>138</v>
      </c>
      <c r="AG32" s="160" t="s">
        <v>138</v>
      </c>
      <c r="AH32" s="160" t="s">
        <v>138</v>
      </c>
      <c r="AI32" s="160" t="s">
        <v>138</v>
      </c>
      <c r="AJ32" s="160" t="s">
        <v>138</v>
      </c>
      <c r="AK32" s="160" t="s">
        <v>138</v>
      </c>
      <c r="AL32" s="160" t="s">
        <v>138</v>
      </c>
      <c r="AM32" s="160" t="s">
        <v>138</v>
      </c>
      <c r="AN32" s="160" t="s">
        <v>138</v>
      </c>
      <c r="AO32" s="160" t="s">
        <v>138</v>
      </c>
      <c r="AP32" s="160" t="s">
        <v>138</v>
      </c>
      <c r="AQ32" s="160" t="s">
        <v>138</v>
      </c>
      <c r="AR32" s="160" t="s">
        <v>138</v>
      </c>
      <c r="AS32" s="160" t="s">
        <v>138</v>
      </c>
      <c r="AT32" s="160" t="s">
        <v>138</v>
      </c>
      <c r="AU32" s="160" t="s">
        <v>138</v>
      </c>
      <c r="AV32" s="160" t="s">
        <v>138</v>
      </c>
      <c r="AW32" s="160" t="s">
        <v>138</v>
      </c>
      <c r="AX32" s="160" t="s">
        <v>138</v>
      </c>
      <c r="AY32" s="160" t="s">
        <v>138</v>
      </c>
      <c r="AZ32" s="160" t="s">
        <v>138</v>
      </c>
      <c r="BA32" s="160" t="s">
        <v>138</v>
      </c>
      <c r="BB32" s="160" t="s">
        <v>138</v>
      </c>
      <c r="BC32" s="160" t="s">
        <v>138</v>
      </c>
      <c r="BD32" s="160" t="s">
        <v>138</v>
      </c>
      <c r="BE32" s="160" t="s">
        <v>138</v>
      </c>
      <c r="BF32" s="160" t="s">
        <v>138</v>
      </c>
      <c r="BG32" s="160" t="s">
        <v>138</v>
      </c>
      <c r="BH32" s="160" t="s">
        <v>138</v>
      </c>
      <c r="BI32" s="160" t="s">
        <v>138</v>
      </c>
      <c r="BJ32" s="160" t="s">
        <v>138</v>
      </c>
      <c r="BK32" s="160"/>
      <c r="BL32" s="160" t="s">
        <v>199</v>
      </c>
      <c r="BM32" s="160" t="s">
        <v>138</v>
      </c>
      <c r="BN32" s="160" t="s">
        <v>199</v>
      </c>
      <c r="BO32" s="160" t="s">
        <v>199</v>
      </c>
      <c r="BP32" s="160" t="s">
        <v>199</v>
      </c>
      <c r="BQ32" s="160"/>
      <c r="BR32" s="160"/>
      <c r="BS32" s="160" t="s">
        <v>138</v>
      </c>
      <c r="BT32" s="160" t="s">
        <v>138</v>
      </c>
      <c r="BU32" s="160" t="s">
        <v>138</v>
      </c>
      <c r="BV32" s="160" t="s">
        <v>138</v>
      </c>
      <c r="BW32" s="160" t="s">
        <v>138</v>
      </c>
      <c r="BX32" s="160" t="s">
        <v>138</v>
      </c>
      <c r="BY32" s="160" t="s">
        <v>138</v>
      </c>
      <c r="BZ32" s="160" t="s">
        <v>138</v>
      </c>
      <c r="CA32" s="160" t="s">
        <v>138</v>
      </c>
      <c r="CB32" s="160" t="s">
        <v>138</v>
      </c>
      <c r="CC32" s="160" t="s">
        <v>138</v>
      </c>
      <c r="CD32" s="160" t="s">
        <v>138</v>
      </c>
      <c r="CE32" s="160" t="s">
        <v>138</v>
      </c>
      <c r="CF32" s="160" t="s">
        <v>138</v>
      </c>
      <c r="CG32" s="160" t="s">
        <v>138</v>
      </c>
      <c r="CH32" s="160" t="s">
        <v>138</v>
      </c>
      <c r="CI32" s="160" t="s">
        <v>138</v>
      </c>
      <c r="CJ32" s="160" t="s">
        <v>138</v>
      </c>
      <c r="CK32" s="160" t="s">
        <v>138</v>
      </c>
      <c r="CL32" s="160" t="s">
        <v>138</v>
      </c>
      <c r="CM32" s="160" t="s">
        <v>138</v>
      </c>
      <c r="CN32" s="160" t="s">
        <v>138</v>
      </c>
      <c r="CO32" s="160" t="s">
        <v>138</v>
      </c>
      <c r="CP32" s="160" t="s">
        <v>138</v>
      </c>
      <c r="CQ32" s="160" t="s">
        <v>138</v>
      </c>
      <c r="CR32" s="160" t="s">
        <v>138</v>
      </c>
      <c r="CS32" s="160" t="s">
        <v>138</v>
      </c>
      <c r="CT32" s="160" t="s">
        <v>138</v>
      </c>
      <c r="CU32" s="160"/>
      <c r="CV32" s="160"/>
      <c r="CW32" s="160"/>
      <c r="CX32" s="160"/>
      <c r="CY32" s="160"/>
      <c r="CZ32" s="160"/>
      <c r="DA32" s="160"/>
      <c r="DB32" s="160"/>
      <c r="DC32" s="160"/>
      <c r="DD32" s="160"/>
      <c r="DE32" s="160"/>
      <c r="DF32" s="160"/>
      <c r="DG32" s="160"/>
      <c r="DH32" s="160"/>
      <c r="DI32" s="160"/>
      <c r="DJ32" s="160"/>
      <c r="DK32" s="160"/>
      <c r="DL32" s="160"/>
      <c r="DM32" s="160"/>
      <c r="DN32" s="160"/>
      <c r="DO32" s="160"/>
      <c r="DP32" s="160"/>
      <c r="DQ32" s="160"/>
      <c r="DR32" s="160"/>
      <c r="DS32" s="160"/>
      <c r="DT32" s="160"/>
      <c r="DU32" s="160"/>
      <c r="DV32" s="160"/>
      <c r="DW32" s="160"/>
      <c r="DX32" s="160"/>
      <c r="DY32" s="160"/>
      <c r="DZ32" s="160"/>
      <c r="EA32" s="160"/>
      <c r="EB32" s="160"/>
      <c r="EC32" s="160"/>
      <c r="ED32" s="160"/>
      <c r="EE32" s="160"/>
      <c r="EF32" s="160"/>
      <c r="EG32" s="160"/>
      <c r="EH32" s="160"/>
      <c r="EI32" s="160"/>
      <c r="EJ32" s="160"/>
      <c r="EK32" s="160"/>
      <c r="EL32" s="160"/>
      <c r="EM32" s="160"/>
      <c r="EN32" s="160"/>
      <c r="EO32" s="160"/>
      <c r="EP32" s="160"/>
      <c r="EQ32" s="160"/>
      <c r="ER32" s="160"/>
      <c r="ES32" s="160"/>
      <c r="ET32" s="160"/>
      <c r="EU32" s="160"/>
      <c r="EV32" s="160"/>
      <c r="EW32" s="160"/>
      <c r="EX32" s="160"/>
      <c r="EY32" s="160"/>
      <c r="EZ32" s="160"/>
      <c r="FA32" s="160"/>
      <c r="FB32" s="160"/>
      <c r="FC32" s="160"/>
      <c r="FD32" s="160"/>
      <c r="FE32" s="160" t="s">
        <v>138</v>
      </c>
      <c r="FF32" s="160"/>
      <c r="FG32" s="160"/>
      <c r="FH32" s="160"/>
      <c r="FI32" s="160"/>
      <c r="FJ32" s="160"/>
      <c r="FK32" s="160"/>
      <c r="FL32" s="160"/>
      <c r="FM32" s="160"/>
      <c r="FN32" s="160"/>
      <c r="FO32" s="160"/>
      <c r="FP32" s="160"/>
      <c r="FQ32" s="160"/>
      <c r="FR32" s="160"/>
      <c r="FS32" s="160"/>
      <c r="FT32" s="160"/>
      <c r="FU32" s="160"/>
      <c r="FV32" s="160"/>
      <c r="FW32" s="160"/>
      <c r="FX32" s="160"/>
      <c r="FY32" s="160"/>
      <c r="FZ32" s="160"/>
      <c r="GA32" s="160"/>
      <c r="GB32" s="160"/>
      <c r="GC32" s="160"/>
      <c r="GD32" s="160"/>
      <c r="GE32" s="160"/>
      <c r="GF32" s="160"/>
      <c r="GG32" s="160"/>
      <c r="GH32" s="160"/>
      <c r="GI32" s="160"/>
      <c r="GJ32" s="160"/>
      <c r="GK32" s="160"/>
      <c r="GL32" s="160"/>
      <c r="GM32" s="160"/>
      <c r="GN32" s="160"/>
      <c r="GO32" s="160"/>
      <c r="GP32" s="160"/>
      <c r="GQ32" s="160"/>
      <c r="GR32" s="160"/>
      <c r="GS32" s="160"/>
      <c r="GT32" s="160"/>
      <c r="GU32" s="160"/>
      <c r="GV32" s="160"/>
      <c r="GW32" s="160"/>
      <c r="GX32" s="160"/>
      <c r="GY32" s="160"/>
      <c r="GZ32" s="160"/>
      <c r="HA32" s="160"/>
      <c r="HB32" s="160"/>
      <c r="HC32" s="160"/>
      <c r="HD32" s="160"/>
      <c r="HE32" s="160"/>
      <c r="HF32" s="160"/>
      <c r="HG32" s="160"/>
      <c r="HH32" s="160"/>
      <c r="HI32" s="160"/>
      <c r="HJ32" s="160"/>
      <c r="HK32" s="160"/>
      <c r="HL32" s="160"/>
      <c r="HM32" s="160"/>
      <c r="HN32" s="160"/>
      <c r="HO32" s="160"/>
      <c r="HP32" s="160"/>
      <c r="HQ32" s="160"/>
      <c r="HR32" s="160"/>
      <c r="HS32" s="160"/>
      <c r="HT32" s="160"/>
      <c r="HU32" s="160"/>
      <c r="HV32" s="160"/>
      <c r="HW32" s="160"/>
      <c r="HX32" s="160"/>
      <c r="HY32" s="160"/>
      <c r="HZ32" s="160"/>
      <c r="IA32" s="160"/>
      <c r="IB32" s="160"/>
      <c r="IC32" s="160"/>
      <c r="ID32" s="160"/>
      <c r="IE32" s="160"/>
    </row>
    <row r="33" spans="1:275" s="142" customFormat="1" ht="16.5" customHeight="1" thickBot="1">
      <c r="A33" s="157" t="s">
        <v>209</v>
      </c>
      <c r="B33" s="158"/>
      <c r="C33" s="159"/>
      <c r="D33" s="159"/>
      <c r="E33" s="159"/>
      <c r="F33" s="159" t="s">
        <v>138</v>
      </c>
      <c r="G33" s="159" t="s">
        <v>138</v>
      </c>
      <c r="H33" s="159" t="s">
        <v>138</v>
      </c>
      <c r="I33" s="159" t="s">
        <v>138</v>
      </c>
      <c r="J33" s="159" t="s">
        <v>138</v>
      </c>
      <c r="K33" s="159" t="s">
        <v>138</v>
      </c>
      <c r="L33" s="159" t="s">
        <v>138</v>
      </c>
      <c r="M33" s="159" t="s">
        <v>138</v>
      </c>
      <c r="N33" s="159" t="s">
        <v>138</v>
      </c>
      <c r="O33" s="159" t="s">
        <v>138</v>
      </c>
      <c r="P33" s="159" t="s">
        <v>138</v>
      </c>
      <c r="Q33" s="159" t="s">
        <v>138</v>
      </c>
      <c r="R33" s="159" t="s">
        <v>138</v>
      </c>
      <c r="S33" s="159" t="s">
        <v>138</v>
      </c>
      <c r="T33" s="159" t="s">
        <v>138</v>
      </c>
      <c r="U33" s="159" t="s">
        <v>138</v>
      </c>
      <c r="V33" s="159" t="s">
        <v>138</v>
      </c>
      <c r="W33" s="159" t="s">
        <v>138</v>
      </c>
      <c r="X33" s="159" t="s">
        <v>138</v>
      </c>
      <c r="Y33" s="159" t="s">
        <v>138</v>
      </c>
      <c r="Z33" s="159" t="s">
        <v>138</v>
      </c>
      <c r="AA33" s="159" t="s">
        <v>138</v>
      </c>
      <c r="AB33" s="159" t="s">
        <v>138</v>
      </c>
      <c r="AC33" s="159" t="s">
        <v>138</v>
      </c>
      <c r="AD33" s="159" t="s">
        <v>138</v>
      </c>
      <c r="AE33" s="159" t="s">
        <v>138</v>
      </c>
      <c r="AF33" s="159" t="s">
        <v>138</v>
      </c>
      <c r="AG33" s="159" t="s">
        <v>138</v>
      </c>
      <c r="AH33" s="159" t="s">
        <v>138</v>
      </c>
      <c r="AI33" s="159" t="s">
        <v>138</v>
      </c>
      <c r="AJ33" s="159" t="s">
        <v>138</v>
      </c>
      <c r="AK33" s="159" t="s">
        <v>138</v>
      </c>
      <c r="AL33" s="159" t="s">
        <v>138</v>
      </c>
      <c r="AM33" s="159" t="s">
        <v>138</v>
      </c>
      <c r="AN33" s="159" t="s">
        <v>138</v>
      </c>
      <c r="AO33" s="159" t="s">
        <v>138</v>
      </c>
      <c r="AP33" s="159" t="s">
        <v>138</v>
      </c>
      <c r="AQ33" s="159" t="s">
        <v>138</v>
      </c>
      <c r="AR33" s="159" t="s">
        <v>138</v>
      </c>
      <c r="AS33" s="159" t="s">
        <v>138</v>
      </c>
      <c r="AT33" s="159" t="s">
        <v>138</v>
      </c>
      <c r="AU33" s="159" t="s">
        <v>138</v>
      </c>
      <c r="AV33" s="159" t="s">
        <v>138</v>
      </c>
      <c r="AW33" s="159" t="s">
        <v>138</v>
      </c>
      <c r="AX33" s="159" t="s">
        <v>138</v>
      </c>
      <c r="AY33" s="159" t="s">
        <v>138</v>
      </c>
      <c r="AZ33" s="159" t="s">
        <v>138</v>
      </c>
      <c r="BA33" s="159" t="s">
        <v>138</v>
      </c>
      <c r="BB33" s="159" t="s">
        <v>138</v>
      </c>
      <c r="BC33" s="159" t="s">
        <v>138</v>
      </c>
      <c r="BD33" s="159" t="s">
        <v>138</v>
      </c>
      <c r="BE33" s="159" t="s">
        <v>138</v>
      </c>
      <c r="BF33" s="159" t="s">
        <v>138</v>
      </c>
      <c r="BG33" s="159" t="s">
        <v>138</v>
      </c>
      <c r="BH33" s="159" t="s">
        <v>138</v>
      </c>
      <c r="BI33" s="159" t="s">
        <v>138</v>
      </c>
      <c r="BJ33" s="159" t="s">
        <v>138</v>
      </c>
      <c r="BK33" s="159"/>
      <c r="BL33" s="159" t="s">
        <v>199</v>
      </c>
      <c r="BM33" s="159" t="s">
        <v>138</v>
      </c>
      <c r="BN33" s="159" t="s">
        <v>199</v>
      </c>
      <c r="BO33" s="159" t="s">
        <v>199</v>
      </c>
      <c r="BP33" s="159" t="s">
        <v>199</v>
      </c>
      <c r="BQ33" s="159"/>
      <c r="BR33" s="159"/>
      <c r="BS33" s="159" t="s">
        <v>138</v>
      </c>
      <c r="BT33" s="159" t="s">
        <v>138</v>
      </c>
      <c r="BU33" s="159" t="s">
        <v>138</v>
      </c>
      <c r="BV33" s="159" t="s">
        <v>138</v>
      </c>
      <c r="BW33" s="159" t="s">
        <v>138</v>
      </c>
      <c r="BX33" s="159" t="s">
        <v>138</v>
      </c>
      <c r="BY33" s="159" t="s">
        <v>138</v>
      </c>
      <c r="BZ33" s="159" t="s">
        <v>138</v>
      </c>
      <c r="CA33" s="159" t="s">
        <v>138</v>
      </c>
      <c r="CB33" s="159" t="s">
        <v>138</v>
      </c>
      <c r="CC33" s="159" t="s">
        <v>138</v>
      </c>
      <c r="CD33" s="159" t="s">
        <v>138</v>
      </c>
      <c r="CE33" s="159" t="s">
        <v>138</v>
      </c>
      <c r="CF33" s="159" t="s">
        <v>138</v>
      </c>
      <c r="CG33" s="159" t="s">
        <v>138</v>
      </c>
      <c r="CH33" s="159" t="s">
        <v>138</v>
      </c>
      <c r="CI33" s="159" t="s">
        <v>138</v>
      </c>
      <c r="CJ33" s="159" t="s">
        <v>138</v>
      </c>
      <c r="CK33" s="159" t="s">
        <v>138</v>
      </c>
      <c r="CL33" s="159" t="s">
        <v>138</v>
      </c>
      <c r="CM33" s="159" t="s">
        <v>138</v>
      </c>
      <c r="CN33" s="159" t="s">
        <v>138</v>
      </c>
      <c r="CO33" s="159" t="s">
        <v>138</v>
      </c>
      <c r="CP33" s="159" t="s">
        <v>138</v>
      </c>
      <c r="CQ33" s="159" t="s">
        <v>138</v>
      </c>
      <c r="CR33" s="159" t="s">
        <v>138</v>
      </c>
      <c r="CS33" s="159" t="s">
        <v>138</v>
      </c>
      <c r="CT33" s="159" t="s">
        <v>138</v>
      </c>
      <c r="CU33" s="159"/>
      <c r="CV33" s="159"/>
      <c r="CW33" s="159"/>
      <c r="CX33" s="159"/>
      <c r="CY33" s="159"/>
      <c r="CZ33" s="159"/>
      <c r="DA33" s="159"/>
      <c r="DB33" s="159"/>
      <c r="DC33" s="159"/>
      <c r="DD33" s="159"/>
      <c r="DE33" s="159"/>
      <c r="DF33" s="159"/>
      <c r="DG33" s="159"/>
      <c r="DH33" s="159"/>
      <c r="DI33" s="159"/>
      <c r="DJ33" s="159"/>
      <c r="DK33" s="159"/>
      <c r="DL33" s="159"/>
      <c r="DM33" s="159"/>
      <c r="DN33" s="159"/>
      <c r="DO33" s="159"/>
      <c r="DP33" s="159"/>
      <c r="DQ33" s="159"/>
      <c r="DR33" s="159"/>
      <c r="DS33" s="159"/>
      <c r="DT33" s="159"/>
      <c r="DU33" s="159"/>
      <c r="DV33" s="159"/>
      <c r="DW33" s="159"/>
      <c r="DX33" s="159"/>
      <c r="DY33" s="159"/>
      <c r="DZ33" s="159"/>
      <c r="EA33" s="159"/>
      <c r="EB33" s="159"/>
      <c r="EC33" s="159"/>
      <c r="ED33" s="159"/>
      <c r="EE33" s="159"/>
      <c r="EF33" s="159"/>
      <c r="EG33" s="159"/>
      <c r="EH33" s="159"/>
      <c r="EI33" s="159"/>
      <c r="EJ33" s="159"/>
      <c r="EK33" s="159"/>
      <c r="EL33" s="159"/>
      <c r="EM33" s="159"/>
      <c r="EN33" s="159"/>
      <c r="EO33" s="159"/>
      <c r="EP33" s="159"/>
      <c r="EQ33" s="159"/>
      <c r="ER33" s="159"/>
      <c r="ES33" s="159"/>
      <c r="ET33" s="159"/>
      <c r="EU33" s="159"/>
      <c r="EV33" s="159"/>
      <c r="EW33" s="159"/>
      <c r="EX33" s="159"/>
      <c r="EY33" s="159"/>
      <c r="EZ33" s="159"/>
      <c r="FA33" s="159"/>
      <c r="FB33" s="159"/>
      <c r="FC33" s="159"/>
      <c r="FD33" s="159"/>
      <c r="FE33" s="159"/>
      <c r="FF33" s="159"/>
      <c r="FG33" s="159" t="s">
        <v>138</v>
      </c>
      <c r="FH33" s="159" t="s">
        <v>138</v>
      </c>
      <c r="FI33" s="159" t="s">
        <v>138</v>
      </c>
      <c r="FJ33" s="159" t="s">
        <v>138</v>
      </c>
      <c r="FK33" s="159" t="s">
        <v>138</v>
      </c>
      <c r="FL33" s="159" t="s">
        <v>138</v>
      </c>
      <c r="FM33" s="159" t="s">
        <v>138</v>
      </c>
      <c r="FN33" s="159" t="s">
        <v>138</v>
      </c>
      <c r="FO33" s="159" t="s">
        <v>138</v>
      </c>
      <c r="FP33" s="159" t="s">
        <v>138</v>
      </c>
      <c r="FQ33" s="159" t="s">
        <v>138</v>
      </c>
      <c r="FR33" s="159" t="s">
        <v>138</v>
      </c>
      <c r="FS33" s="159" t="s">
        <v>138</v>
      </c>
      <c r="FT33" s="159" t="s">
        <v>138</v>
      </c>
      <c r="FU33" s="159" t="s">
        <v>138</v>
      </c>
      <c r="FV33" s="159" t="s">
        <v>138</v>
      </c>
      <c r="FW33" s="159" t="s">
        <v>138</v>
      </c>
      <c r="FX33" s="159" t="s">
        <v>138</v>
      </c>
      <c r="FY33" s="159" t="s">
        <v>138</v>
      </c>
      <c r="FZ33" s="159" t="s">
        <v>138</v>
      </c>
      <c r="GA33" s="159" t="s">
        <v>138</v>
      </c>
      <c r="GB33" s="159" t="s">
        <v>138</v>
      </c>
      <c r="GC33" s="159" t="s">
        <v>138</v>
      </c>
      <c r="GD33" s="159" t="s">
        <v>138</v>
      </c>
      <c r="GE33" s="159" t="s">
        <v>138</v>
      </c>
      <c r="GF33" s="159" t="s">
        <v>138</v>
      </c>
      <c r="GG33" s="159" t="s">
        <v>138</v>
      </c>
      <c r="GH33" s="159" t="s">
        <v>138</v>
      </c>
      <c r="GI33" s="159" t="s">
        <v>138</v>
      </c>
      <c r="GJ33" s="159" t="s">
        <v>138</v>
      </c>
      <c r="GK33" s="159" t="s">
        <v>138</v>
      </c>
      <c r="GL33" s="159" t="s">
        <v>138</v>
      </c>
      <c r="GM33" s="159" t="s">
        <v>138</v>
      </c>
      <c r="GN33" s="159" t="s">
        <v>138</v>
      </c>
      <c r="GO33" s="159" t="s">
        <v>138</v>
      </c>
      <c r="GP33" s="159" t="s">
        <v>138</v>
      </c>
      <c r="GQ33" s="159" t="s">
        <v>138</v>
      </c>
      <c r="GR33" s="159" t="s">
        <v>138</v>
      </c>
      <c r="GS33" s="159" t="s">
        <v>138</v>
      </c>
      <c r="GT33" s="159" t="s">
        <v>138</v>
      </c>
      <c r="GU33" s="159" t="s">
        <v>138</v>
      </c>
      <c r="GV33" s="159" t="s">
        <v>138</v>
      </c>
      <c r="GW33" s="159" t="s">
        <v>138</v>
      </c>
      <c r="GX33" s="159" t="s">
        <v>138</v>
      </c>
      <c r="GY33" s="159" t="s">
        <v>138</v>
      </c>
      <c r="GZ33" s="159" t="s">
        <v>138</v>
      </c>
      <c r="HA33" s="159" t="s">
        <v>138</v>
      </c>
      <c r="HB33" s="159" t="s">
        <v>138</v>
      </c>
      <c r="HC33" s="159" t="s">
        <v>138</v>
      </c>
      <c r="HD33" s="159" t="s">
        <v>138</v>
      </c>
      <c r="HE33" s="159" t="s">
        <v>138</v>
      </c>
      <c r="HF33" s="159" t="s">
        <v>138</v>
      </c>
      <c r="HG33" s="159" t="s">
        <v>138</v>
      </c>
      <c r="HH33" s="159" t="s">
        <v>138</v>
      </c>
      <c r="HI33" s="159" t="s">
        <v>138</v>
      </c>
      <c r="HJ33" s="159" t="s">
        <v>138</v>
      </c>
      <c r="HK33" s="159" t="s">
        <v>138</v>
      </c>
      <c r="HL33" s="159" t="s">
        <v>138</v>
      </c>
      <c r="HM33" s="159" t="s">
        <v>138</v>
      </c>
      <c r="HN33" s="159" t="s">
        <v>138</v>
      </c>
      <c r="HO33" s="159" t="s">
        <v>138</v>
      </c>
      <c r="HP33" s="159" t="s">
        <v>138</v>
      </c>
      <c r="HQ33" s="159" t="s">
        <v>138</v>
      </c>
      <c r="HR33" s="159" t="s">
        <v>138</v>
      </c>
      <c r="HS33" s="159" t="s">
        <v>138</v>
      </c>
      <c r="HT33" s="159" t="s">
        <v>138</v>
      </c>
      <c r="HU33" s="159" t="s">
        <v>138</v>
      </c>
      <c r="HV33" s="159" t="s">
        <v>138</v>
      </c>
      <c r="HW33" s="159" t="s">
        <v>138</v>
      </c>
      <c r="HX33" s="159" t="s">
        <v>138</v>
      </c>
      <c r="HY33" s="159" t="s">
        <v>138</v>
      </c>
      <c r="HZ33" s="159" t="s">
        <v>138</v>
      </c>
      <c r="IA33" s="159" t="s">
        <v>138</v>
      </c>
      <c r="IB33" s="159" t="s">
        <v>138</v>
      </c>
      <c r="IC33" s="159" t="s">
        <v>138</v>
      </c>
      <c r="ID33" s="159" t="s">
        <v>138</v>
      </c>
      <c r="IE33" s="159" t="s">
        <v>138</v>
      </c>
    </row>
    <row r="34" spans="1:275" s="142" customFormat="1" ht="16.5" customHeight="1">
      <c r="A34" s="146" t="s">
        <v>170</v>
      </c>
      <c r="B34" s="147"/>
      <c r="C34" s="161">
        <v>6.9089160571896571</v>
      </c>
      <c r="D34" s="161">
        <v>5.2761455548560292</v>
      </c>
      <c r="E34" s="161">
        <v>7.0928017452645662</v>
      </c>
      <c r="F34" s="161">
        <v>5.3297822577557952</v>
      </c>
      <c r="G34" s="161">
        <v>6.6499272326451973</v>
      </c>
      <c r="H34" s="161">
        <v>4.8023546680509241</v>
      </c>
      <c r="I34" s="161">
        <v>6.1680549403612019</v>
      </c>
      <c r="J34" s="161">
        <v>7.9342480635953478</v>
      </c>
      <c r="K34" s="161">
        <v>6.6238499149459216</v>
      </c>
      <c r="L34" s="161">
        <v>5.0533580118498094</v>
      </c>
      <c r="M34" s="161">
        <v>8.7980545416077547</v>
      </c>
      <c r="N34" s="161">
        <v>7.4744521342793036</v>
      </c>
      <c r="O34" s="161">
        <v>6.8987005589189039</v>
      </c>
      <c r="P34" s="161">
        <v>5.910856527308141</v>
      </c>
      <c r="Q34" s="161">
        <v>5.6916655740671445</v>
      </c>
      <c r="R34" s="161">
        <v>7.7141529268873512</v>
      </c>
      <c r="S34" s="161">
        <v>8.781982197783762</v>
      </c>
      <c r="T34" s="161">
        <v>8.3926290643597241</v>
      </c>
      <c r="U34" s="161">
        <v>5.5127794004681334</v>
      </c>
      <c r="V34" s="161">
        <v>5.7466811357702312</v>
      </c>
      <c r="W34" s="161">
        <v>7.0886587644557864</v>
      </c>
      <c r="X34" s="161">
        <v>13.084712300568853</v>
      </c>
      <c r="Y34" s="161">
        <v>10.188420874518798</v>
      </c>
      <c r="Z34" s="161">
        <v>12.268908856455823</v>
      </c>
      <c r="AA34" s="161">
        <v>11.187433537359965</v>
      </c>
      <c r="AB34" s="161">
        <v>9.3435578668640886</v>
      </c>
      <c r="AC34" s="161">
        <v>11.212458157683599</v>
      </c>
      <c r="AD34" s="161">
        <v>5.4402668654147419</v>
      </c>
      <c r="AE34" s="161">
        <v>2.6642098123143825</v>
      </c>
      <c r="AF34" s="161">
        <v>3.4185856994491814</v>
      </c>
      <c r="AG34" s="161">
        <v>7.4762756154084826</v>
      </c>
      <c r="AH34" s="161">
        <v>9.4479046690807706</v>
      </c>
      <c r="AI34" s="161">
        <v>3.011455859678648</v>
      </c>
      <c r="AJ34" s="161">
        <v>4.6158632228835614</v>
      </c>
      <c r="AK34" s="161">
        <v>4.2351353782286338</v>
      </c>
      <c r="AL34" s="161">
        <v>3.6932428195678568</v>
      </c>
      <c r="AM34" s="161">
        <v>4.7231494413024819</v>
      </c>
      <c r="AN34" s="161">
        <v>4.9284106439864814</v>
      </c>
      <c r="AO34" s="161">
        <v>4.3049727749387472</v>
      </c>
      <c r="AP34" s="161">
        <v>5.6021606540483191</v>
      </c>
      <c r="AQ34" s="161">
        <v>5.8495908418616693</v>
      </c>
      <c r="AR34" s="161">
        <v>8.8756252207165147</v>
      </c>
      <c r="AS34" s="161">
        <v>10.074377927756572</v>
      </c>
      <c r="AT34" s="161">
        <v>6.8540014068897648</v>
      </c>
      <c r="AU34" s="161">
        <v>9.1528817056384781</v>
      </c>
      <c r="AV34" s="161">
        <v>8.2000583942630385</v>
      </c>
      <c r="AW34" s="161">
        <v>9.5126183339111066</v>
      </c>
      <c r="AX34" s="161">
        <v>10.713230388283151</v>
      </c>
      <c r="AY34" s="161">
        <v>8.8183062277148849</v>
      </c>
      <c r="AZ34" s="161">
        <v>10.770070290797733</v>
      </c>
      <c r="BA34" s="161">
        <v>12.786788985492507</v>
      </c>
      <c r="BB34" s="161">
        <v>14.30341652709879</v>
      </c>
      <c r="BC34" s="161">
        <v>10.963763725904954</v>
      </c>
      <c r="BD34" s="161">
        <v>6.3452652714394162</v>
      </c>
      <c r="BE34" s="161">
        <v>6.8782099528616243</v>
      </c>
      <c r="BF34" s="161">
        <v>4.6881372537512931</v>
      </c>
      <c r="BG34" s="161">
        <v>5.0856103959799128</v>
      </c>
      <c r="BH34" s="161">
        <v>6.598804164755748</v>
      </c>
      <c r="BI34" s="161">
        <v>8.1510712244761976</v>
      </c>
      <c r="BJ34" s="161">
        <v>8.8367027340683677</v>
      </c>
      <c r="BK34" s="161">
        <v>10.015938178565236</v>
      </c>
      <c r="BL34" s="161">
        <v>7.1539972529887024</v>
      </c>
      <c r="BM34" s="161">
        <v>5.902616531306677</v>
      </c>
      <c r="BN34" s="161">
        <v>3.9427589974945789</v>
      </c>
      <c r="BO34" s="161">
        <v>6.3349268987667529</v>
      </c>
      <c r="BP34" s="161">
        <v>4.1172252201677964</v>
      </c>
      <c r="BQ34" s="161">
        <v>5.7111677274182711</v>
      </c>
      <c r="BR34" s="161">
        <v>8.5735452107171994</v>
      </c>
      <c r="BS34" s="161">
        <v>6.6654276012519631</v>
      </c>
      <c r="BT34" s="161">
        <v>7.4887457256658223</v>
      </c>
      <c r="BU34" s="161">
        <v>8.1111024917972117</v>
      </c>
      <c r="BV34" s="161">
        <v>6.9604554658323252</v>
      </c>
      <c r="BW34" s="161">
        <v>6.8141385071980807</v>
      </c>
      <c r="BX34" s="161">
        <v>5.1784307455519638</v>
      </c>
      <c r="BY34" s="161">
        <v>6.6556845241238705</v>
      </c>
      <c r="BZ34" s="161">
        <v>5.2817215979924583</v>
      </c>
      <c r="CA34" s="161">
        <v>7.1659423584260793</v>
      </c>
      <c r="CB34" s="161">
        <v>9.8868816328615168</v>
      </c>
      <c r="CC34" s="161">
        <v>5.3931321673149597</v>
      </c>
      <c r="CD34" s="161">
        <v>12.262774736586238</v>
      </c>
      <c r="CE34" s="161">
        <v>10.092398629514335</v>
      </c>
      <c r="CF34" s="161">
        <v>5.3429089140803399</v>
      </c>
      <c r="CG34" s="161">
        <v>6.7511906014024134</v>
      </c>
      <c r="CH34" s="161">
        <v>6.3529282436638823</v>
      </c>
      <c r="CI34" s="161">
        <v>4.9749888964124693</v>
      </c>
      <c r="CJ34" s="161">
        <v>7.6755872255192799</v>
      </c>
      <c r="CK34" s="161">
        <v>8.0004657265717043</v>
      </c>
      <c r="CL34" s="161">
        <v>16.880263509556627</v>
      </c>
      <c r="CM34" s="161">
        <v>11.371330782640428</v>
      </c>
      <c r="CN34" s="161">
        <v>11.536603659535004</v>
      </c>
      <c r="CO34" s="161">
        <v>12.598047544644544</v>
      </c>
      <c r="CP34" s="161">
        <v>14.1817709511608</v>
      </c>
      <c r="CQ34" s="161">
        <v>9.4850736862108249</v>
      </c>
      <c r="CR34" s="161">
        <v>10.717966463494179</v>
      </c>
      <c r="CS34" s="161">
        <v>15.169207313130329</v>
      </c>
      <c r="CT34" s="161">
        <v>12.504998629410196</v>
      </c>
      <c r="CU34" s="161">
        <v>10.71293213148607</v>
      </c>
      <c r="CV34" s="161">
        <v>12.012907884931707</v>
      </c>
      <c r="CW34" s="161">
        <v>9.5719526684976444</v>
      </c>
      <c r="CX34" s="161">
        <v>9.6270389119796818</v>
      </c>
      <c r="CY34" s="161">
        <v>12.711685661758153</v>
      </c>
      <c r="CZ34" s="161">
        <v>10.274749227687778</v>
      </c>
      <c r="DA34" s="161">
        <v>14.517810250476728</v>
      </c>
      <c r="DB34" s="161">
        <v>12.733086940522</v>
      </c>
      <c r="DC34" s="161">
        <v>4.5708284485159112</v>
      </c>
      <c r="DD34" s="161">
        <v>8.3945430250199422</v>
      </c>
      <c r="DE34" s="161">
        <v>15.271434036297819</v>
      </c>
      <c r="DF34" s="161">
        <v>10.860708238106838</v>
      </c>
      <c r="DG34" s="161">
        <v>7.5314862108038199</v>
      </c>
      <c r="DH34" s="161">
        <v>7.804918157744595</v>
      </c>
      <c r="DI34" s="161">
        <v>6.5594924429299795</v>
      </c>
      <c r="DJ34" s="161">
        <v>7.7575988341777986</v>
      </c>
      <c r="DK34" s="161">
        <v>8.2089773353484787</v>
      </c>
      <c r="DL34" s="161">
        <v>7.4452824799112136</v>
      </c>
      <c r="DM34" s="161">
        <v>6.3288430469839483</v>
      </c>
      <c r="DN34" s="161">
        <v>7.9993416321433699</v>
      </c>
      <c r="DO34" s="161">
        <v>8.3000475827621329</v>
      </c>
      <c r="DP34" s="161">
        <v>5.7824421385825531</v>
      </c>
      <c r="DQ34" s="161">
        <v>5.5672451771130937</v>
      </c>
      <c r="DR34" s="161">
        <v>6.8212504794537949</v>
      </c>
      <c r="DS34" s="161">
        <v>6.589514522771978</v>
      </c>
      <c r="DT34" s="161">
        <v>4.4238942773705503</v>
      </c>
      <c r="DU34" s="161">
        <v>5.1301216950336794</v>
      </c>
      <c r="DV34" s="161">
        <v>5.2549499415186318</v>
      </c>
      <c r="DW34" s="161">
        <v>6.8962605495006102</v>
      </c>
      <c r="DX34" s="161">
        <v>5.4268707854018601</v>
      </c>
      <c r="DY34" s="161">
        <v>7.519180942835618</v>
      </c>
      <c r="DZ34" s="161">
        <v>7.5910418010905971</v>
      </c>
      <c r="EA34" s="161">
        <v>8.139739856862235</v>
      </c>
      <c r="EB34" s="161">
        <v>8.1355396571024556</v>
      </c>
      <c r="EC34" s="161">
        <v>6.9366176669171722</v>
      </c>
      <c r="ED34" s="161">
        <v>6.3968542120287282</v>
      </c>
      <c r="EE34" s="161">
        <v>5.8503815614235606</v>
      </c>
      <c r="EF34" s="161">
        <v>5.2789041309116413</v>
      </c>
      <c r="EG34" s="161">
        <v>5.4376783059083493</v>
      </c>
      <c r="EH34" s="161">
        <v>8.1325739711573419</v>
      </c>
      <c r="EI34" s="161">
        <v>6.4868658993520114</v>
      </c>
      <c r="EJ34" s="161">
        <v>5.9700559527830706</v>
      </c>
      <c r="EK34" s="161">
        <v>8.05773998177105</v>
      </c>
      <c r="EL34" s="161">
        <v>7.4111254586610045</v>
      </c>
      <c r="EM34" s="161">
        <v>7.6166917288010438</v>
      </c>
      <c r="EN34" s="161">
        <v>6.228886197789123</v>
      </c>
      <c r="EO34" s="161">
        <v>5.685084093867701</v>
      </c>
      <c r="EP34" s="161">
        <v>7.0140633429801795</v>
      </c>
      <c r="EQ34" s="161">
        <v>6.0915104137865228</v>
      </c>
      <c r="ER34" s="161">
        <v>4.9603274943598024</v>
      </c>
      <c r="ES34" s="161">
        <v>4.540227325616442</v>
      </c>
      <c r="ET34" s="161">
        <v>3.8279203911701813</v>
      </c>
      <c r="EU34" s="161">
        <v>4.1478372435196178</v>
      </c>
      <c r="EV34" s="161">
        <v>3.3691274569732172</v>
      </c>
      <c r="EW34" s="161">
        <v>5.7978141047767195</v>
      </c>
      <c r="EX34" s="161">
        <v>4.5186935170694653</v>
      </c>
      <c r="EY34" s="161">
        <v>4.3496299835625933</v>
      </c>
      <c r="EZ34" s="161">
        <v>8.3443464859819727</v>
      </c>
      <c r="FA34" s="161">
        <v>6.3646286371587308</v>
      </c>
      <c r="FB34" s="161">
        <v>10.476956275719559</v>
      </c>
      <c r="FC34" s="161">
        <v>7.747516220799227</v>
      </c>
      <c r="FD34" s="161">
        <v>6.2245733286732019</v>
      </c>
      <c r="FE34" s="161">
        <v>8.0365877122550273</v>
      </c>
      <c r="FF34" s="161">
        <v>5.4805835703922128</v>
      </c>
      <c r="FG34" s="161">
        <v>4.2235813265213551</v>
      </c>
      <c r="FH34" s="161">
        <v>5.4199379799079201</v>
      </c>
      <c r="FI34" s="161">
        <v>7.8744716403401203</v>
      </c>
      <c r="FJ34" s="161">
        <v>8.14317261499653</v>
      </c>
      <c r="FK34" s="161">
        <v>5.4911555166049704</v>
      </c>
      <c r="FL34" s="161">
        <v>5.68561537261614</v>
      </c>
      <c r="FM34" s="161">
        <v>6.8764784820552203</v>
      </c>
      <c r="FN34" s="161">
        <v>6.2163229240481597</v>
      </c>
      <c r="FO34" s="161">
        <v>9.1564223936592803</v>
      </c>
      <c r="FP34" s="161">
        <v>3.5407261342963601</v>
      </c>
      <c r="FQ34" s="161">
        <v>5.5081910486631598</v>
      </c>
      <c r="FR34" s="161">
        <v>4.8187405266229399</v>
      </c>
      <c r="FS34" s="161">
        <v>4.7253038730977002</v>
      </c>
      <c r="FT34" s="161">
        <v>4.5130707895015796</v>
      </c>
      <c r="FU34" s="161">
        <v>5.6771049659938599</v>
      </c>
      <c r="FV34" s="161">
        <v>7.4008877592754096</v>
      </c>
      <c r="FW34" s="161">
        <v>5.5896647555810803</v>
      </c>
      <c r="FX34" s="161">
        <v>6.0878763059707497</v>
      </c>
      <c r="FY34" s="161">
        <v>5.0983017632115502</v>
      </c>
      <c r="FZ34" s="161">
        <v>5.1172356356126496</v>
      </c>
      <c r="GA34" s="161">
        <v>4.6392833090771202</v>
      </c>
      <c r="GB34" s="161">
        <v>5.7031375402395703</v>
      </c>
      <c r="GC34" s="161">
        <v>6.6896767279017002</v>
      </c>
      <c r="GD34" s="161">
        <v>7.2114764753472302</v>
      </c>
      <c r="GE34" s="161">
        <v>7.0301085608232396</v>
      </c>
      <c r="GF34" s="161">
        <v>5.5094046537284402</v>
      </c>
      <c r="GG34" s="161">
        <v>6.1844703039010804</v>
      </c>
      <c r="GH34" s="161">
        <v>10.451104573531</v>
      </c>
      <c r="GI34" s="161">
        <v>8.9189714919231005</v>
      </c>
      <c r="GJ34" s="161">
        <v>8.4509197651587407</v>
      </c>
      <c r="GK34" s="161">
        <v>7.8777529151221399</v>
      </c>
      <c r="GL34" s="161">
        <v>8.8636386560956009</v>
      </c>
      <c r="GM34" s="161">
        <v>7.2129335162587003</v>
      </c>
      <c r="GN34" s="161">
        <v>6.8367241061056498</v>
      </c>
      <c r="GO34" s="161">
        <v>6.7773783668706002</v>
      </c>
      <c r="GP34" s="161">
        <v>4.6890438545386299</v>
      </c>
      <c r="GQ34" s="161">
        <v>8.6953215629785401</v>
      </c>
      <c r="GR34" s="161">
        <v>5.24922224206101</v>
      </c>
      <c r="GS34" s="161">
        <v>5.4989799402992698</v>
      </c>
      <c r="GT34" s="161">
        <v>5.8680948239972501</v>
      </c>
      <c r="GU34" s="161">
        <v>5.1437485004387096</v>
      </c>
      <c r="GV34" s="161">
        <v>4.44756664607982</v>
      </c>
      <c r="GW34" s="161">
        <v>5.1607635610670801</v>
      </c>
      <c r="GX34" s="161">
        <v>4.2263370254276396</v>
      </c>
      <c r="GY34" s="161">
        <v>0</v>
      </c>
      <c r="GZ34" s="161">
        <v>4.4924011701821103</v>
      </c>
      <c r="HA34" s="161">
        <v>3.6699999582630101</v>
      </c>
      <c r="HB34" s="161">
        <v>4.6396429252153801</v>
      </c>
      <c r="HC34" s="161">
        <v>4.2235969727573996</v>
      </c>
      <c r="HD34" s="161">
        <v>5.3912507537785599</v>
      </c>
      <c r="HE34" s="161">
        <v>5.33565711746341</v>
      </c>
      <c r="HF34" s="161">
        <v>5.67966270731573</v>
      </c>
      <c r="HG34" s="161">
        <v>6.9212748887426798</v>
      </c>
      <c r="HH34" s="161">
        <v>5.8117274833846899</v>
      </c>
      <c r="HI34" s="161">
        <v>4.7759703077649602</v>
      </c>
      <c r="HJ34" s="161">
        <v>5.3986163150082502</v>
      </c>
      <c r="HK34" s="161">
        <v>4.40333199085324</v>
      </c>
      <c r="HL34" s="161">
        <v>6.3005557823148903</v>
      </c>
      <c r="HM34" s="161">
        <v>5.3021118811190604</v>
      </c>
      <c r="HN34" s="161">
        <v>3.77906247542158</v>
      </c>
      <c r="HO34" s="161">
        <v>4.7642655889664702</v>
      </c>
      <c r="HP34" s="161">
        <v>5.1660729396492799</v>
      </c>
      <c r="HQ34" s="161">
        <v>3.5312780972977902</v>
      </c>
      <c r="HR34" s="161">
        <v>3.51959071783708</v>
      </c>
      <c r="HS34" s="161">
        <v>4.6488083228023998</v>
      </c>
      <c r="HT34" s="161">
        <v>5.3479061694199501</v>
      </c>
      <c r="HU34" s="161">
        <v>5.3512078470631996</v>
      </c>
      <c r="HV34" s="161">
        <v>4.6724465142857801</v>
      </c>
      <c r="HW34" s="161">
        <v>4.3716431386355596</v>
      </c>
      <c r="HX34" s="161">
        <v>4.1807526082750996</v>
      </c>
      <c r="HY34" s="161">
        <v>5.2940827945140398</v>
      </c>
      <c r="HZ34" s="161">
        <v>4.9685099233361303</v>
      </c>
      <c r="IA34" s="161">
        <v>3.5950556035841101</v>
      </c>
      <c r="IB34" s="161">
        <v>3.0171657135996401</v>
      </c>
      <c r="IC34" s="161">
        <v>3.01335870759761</v>
      </c>
      <c r="ID34" s="161">
        <v>3.76484563841746</v>
      </c>
      <c r="IE34" s="161">
        <v>4.4792628417623801</v>
      </c>
    </row>
    <row r="35" spans="1:275" s="142" customFormat="1" ht="16.5" customHeight="1">
      <c r="A35" s="147" t="s">
        <v>200</v>
      </c>
      <c r="B35" s="154"/>
      <c r="C35" s="162">
        <v>29.235465395907141</v>
      </c>
      <c r="D35" s="162">
        <v>26.725160011751754</v>
      </c>
      <c r="E35" s="162">
        <v>29.206257969971603</v>
      </c>
      <c r="F35" s="162">
        <v>35.935170078916173</v>
      </c>
      <c r="G35" s="162">
        <v>41.572250452596748</v>
      </c>
      <c r="H35" s="162">
        <v>33.41791030779477</v>
      </c>
      <c r="I35" s="162">
        <v>35.713814952886409</v>
      </c>
      <c r="J35" s="162">
        <v>26.889042237439412</v>
      </c>
      <c r="K35" s="162">
        <v>23.904936733872347</v>
      </c>
      <c r="L35" s="162">
        <v>29.124775770523229</v>
      </c>
      <c r="M35" s="162">
        <v>28.481189567640499</v>
      </c>
      <c r="N35" s="162">
        <v>28.428742683949537</v>
      </c>
      <c r="O35" s="162">
        <v>17.332835600833391</v>
      </c>
      <c r="P35" s="162">
        <v>19.248945694103227</v>
      </c>
      <c r="Q35" s="162">
        <v>20.670089630028087</v>
      </c>
      <c r="R35" s="162">
        <v>13.505027879003336</v>
      </c>
      <c r="S35" s="162">
        <v>25.699958633022305</v>
      </c>
      <c r="T35" s="162">
        <v>15.690643108021604</v>
      </c>
      <c r="U35" s="162">
        <v>27.285630097264757</v>
      </c>
      <c r="V35" s="162">
        <v>14.534322133813561</v>
      </c>
      <c r="W35" s="162">
        <v>35.139228530932272</v>
      </c>
      <c r="X35" s="162">
        <v>21.613890345628619</v>
      </c>
      <c r="Y35" s="162">
        <v>26.1096260572142</v>
      </c>
      <c r="Z35" s="162">
        <v>37.830212603235225</v>
      </c>
      <c r="AA35" s="162">
        <v>20.306977938361101</v>
      </c>
      <c r="AB35" s="162">
        <v>18.434391038467695</v>
      </c>
      <c r="AC35" s="162">
        <v>8.0814871897673584</v>
      </c>
      <c r="AD35" s="162">
        <v>12.940189255523478</v>
      </c>
      <c r="AE35" s="162">
        <v>12.431915630745749</v>
      </c>
      <c r="AF35" s="162">
        <v>3.0147635297222877</v>
      </c>
      <c r="AG35" s="162">
        <v>12.767126554547787</v>
      </c>
      <c r="AH35" s="162">
        <v>12.537185308183112</v>
      </c>
      <c r="AI35" s="162">
        <v>10.435625185542648</v>
      </c>
      <c r="AJ35" s="162">
        <v>4.9653151609832662</v>
      </c>
      <c r="AK35" s="162">
        <v>12.605293370238897</v>
      </c>
      <c r="AL35" s="162">
        <v>20.715351893735161</v>
      </c>
      <c r="AM35" s="162">
        <v>20.965172028302703</v>
      </c>
      <c r="AN35" s="162">
        <v>24.624676239625614</v>
      </c>
      <c r="AO35" s="162">
        <v>24.919079289473586</v>
      </c>
      <c r="AP35" s="162">
        <v>29.279682993078907</v>
      </c>
      <c r="AQ35" s="162">
        <v>33.032711253209484</v>
      </c>
      <c r="AR35" s="162">
        <v>24.666930448117981</v>
      </c>
      <c r="AS35" s="162">
        <v>58.379025392772093</v>
      </c>
      <c r="AT35" s="162">
        <v>7.5302545079785261</v>
      </c>
      <c r="AU35" s="162">
        <v>45.931195807189972</v>
      </c>
      <c r="AV35" s="162">
        <v>35.439872432966638</v>
      </c>
      <c r="AW35" s="162">
        <v>48.397902404520629</v>
      </c>
      <c r="AX35" s="162">
        <v>45.091306657522331</v>
      </c>
      <c r="AY35" s="162">
        <v>16.041622397110586</v>
      </c>
      <c r="AZ35" s="162">
        <v>50.133905421002048</v>
      </c>
      <c r="BA35" s="162">
        <v>68.999393432772763</v>
      </c>
      <c r="BB35" s="162">
        <v>59.162599792702331</v>
      </c>
      <c r="BC35" s="162">
        <v>49.394950533988521</v>
      </c>
      <c r="BD35" s="162">
        <v>29.518531635673099</v>
      </c>
      <c r="BE35" s="162">
        <v>18.691594301464107</v>
      </c>
      <c r="BF35" s="162">
        <v>15.595057823070746</v>
      </c>
      <c r="BG35" s="162">
        <v>11.425468225175166</v>
      </c>
      <c r="BH35" s="162">
        <v>17.229978957706692</v>
      </c>
      <c r="BI35" s="162">
        <v>21.504659381705878</v>
      </c>
      <c r="BJ35" s="162">
        <v>27.1610414226774</v>
      </c>
      <c r="BK35" s="162">
        <v>23.017131340275441</v>
      </c>
      <c r="BL35" s="162">
        <v>30.96716138940765</v>
      </c>
      <c r="BM35" s="162">
        <v>32.248576570792551</v>
      </c>
      <c r="BN35" s="162">
        <v>27.113777972146508</v>
      </c>
      <c r="BO35" s="162">
        <v>23.329251733008164</v>
      </c>
      <c r="BP35" s="162">
        <v>9.9183079943355352</v>
      </c>
      <c r="BQ35" s="162">
        <v>14.455910451552853</v>
      </c>
      <c r="BR35" s="162">
        <v>35.934490988412762</v>
      </c>
      <c r="BS35" s="162">
        <v>38.47267002431105</v>
      </c>
      <c r="BT35" s="162">
        <v>36.331548253998079</v>
      </c>
      <c r="BU35" s="162">
        <v>28.252984180524734</v>
      </c>
      <c r="BV35" s="162">
        <v>20.634201999182054</v>
      </c>
      <c r="BW35" s="162">
        <v>19.247338353951719</v>
      </c>
      <c r="BX35" s="162">
        <v>18.414929908758523</v>
      </c>
      <c r="BY35" s="162">
        <v>21.264282602816465</v>
      </c>
      <c r="BZ35" s="162">
        <v>34.931057401194536</v>
      </c>
      <c r="CA35" s="162">
        <v>39.925429087241369</v>
      </c>
      <c r="CB35" s="162">
        <v>23.007883852532956</v>
      </c>
      <c r="CC35" s="162">
        <v>19.461700981908876</v>
      </c>
      <c r="CD35" s="162">
        <v>20.77930667244641</v>
      </c>
      <c r="CE35" s="162">
        <v>21.204945782198877</v>
      </c>
      <c r="CF35" s="162">
        <v>24.617956516059394</v>
      </c>
      <c r="CG35" s="162">
        <v>18.724535094991396</v>
      </c>
      <c r="CH35" s="162">
        <v>11.967076240124356</v>
      </c>
      <c r="CI35" s="162">
        <v>13.48409390226027</v>
      </c>
      <c r="CJ35" s="162">
        <v>39.595173167285083</v>
      </c>
      <c r="CK35" s="162">
        <v>27.34398236954344</v>
      </c>
      <c r="CL35" s="162">
        <v>50.251634110580056</v>
      </c>
      <c r="CM35" s="162">
        <v>56.85559955855431</v>
      </c>
      <c r="CN35" s="162">
        <v>19.576818341721747</v>
      </c>
      <c r="CO35" s="162">
        <v>37.358541727377826</v>
      </c>
      <c r="CP35" s="162">
        <v>43.784028053800725</v>
      </c>
      <c r="CQ35" s="162">
        <v>24.508668328479033</v>
      </c>
      <c r="CR35" s="162">
        <v>34.980368823703131</v>
      </c>
      <c r="CS35" s="162">
        <v>51.562301861752395</v>
      </c>
      <c r="CT35" s="162">
        <v>46.521497155578182</v>
      </c>
      <c r="CU35" s="162">
        <v>46.919669568205556</v>
      </c>
      <c r="CV35" s="162">
        <v>53.877242491523539</v>
      </c>
      <c r="CW35" s="162">
        <v>60.533873226175231</v>
      </c>
      <c r="CX35" s="162">
        <v>51.55468276972757</v>
      </c>
      <c r="CY35" s="162">
        <v>57.695536660856135</v>
      </c>
      <c r="CZ35" s="162">
        <v>48.366114936671877</v>
      </c>
      <c r="DA35" s="162">
        <v>64.648065015062883</v>
      </c>
      <c r="DB35" s="162">
        <v>56.983658149019654</v>
      </c>
      <c r="DC35" s="162">
        <v>17.868156791795627</v>
      </c>
      <c r="DD35" s="162">
        <v>26.857778435751214</v>
      </c>
      <c r="DE35" s="162">
        <v>55.793495590113125</v>
      </c>
      <c r="DF35" s="162">
        <v>49.68083707401474</v>
      </c>
      <c r="DG35" s="162">
        <v>16.596646742328815</v>
      </c>
      <c r="DH35" s="162">
        <v>24.569459127701805</v>
      </c>
      <c r="DI35" s="162">
        <v>16.539953530257051</v>
      </c>
      <c r="DJ35" s="162">
        <v>28.590625665300806</v>
      </c>
      <c r="DK35" s="162">
        <v>23.413680459994993</v>
      </c>
      <c r="DL35" s="162">
        <v>14.853392627355831</v>
      </c>
      <c r="DM35" s="162">
        <v>13.43037053839673</v>
      </c>
      <c r="DN35" s="162">
        <v>25.630499662135634</v>
      </c>
      <c r="DO35" s="162">
        <v>24.906056472060911</v>
      </c>
      <c r="DP35" s="162">
        <v>14.768908294646636</v>
      </c>
      <c r="DQ35" s="162">
        <v>10.318077118358275</v>
      </c>
      <c r="DR35" s="162">
        <v>21.825442742082316</v>
      </c>
      <c r="DS35" s="162">
        <v>13.868601444907654</v>
      </c>
      <c r="DT35" s="162">
        <v>11.442505153777333</v>
      </c>
      <c r="DU35" s="162">
        <v>21.861775428460831</v>
      </c>
      <c r="DV35" s="162">
        <v>26.137404246835857</v>
      </c>
      <c r="DW35" s="162">
        <v>25.130484428515047</v>
      </c>
      <c r="DX35" s="162">
        <v>7.9107272904517316</v>
      </c>
      <c r="DY35" s="162">
        <v>32.024236629174936</v>
      </c>
      <c r="DZ35" s="162">
        <v>24.422707790924093</v>
      </c>
      <c r="EA35" s="162">
        <v>24.891893480581629</v>
      </c>
      <c r="EB35" s="162">
        <v>30.653138097709558</v>
      </c>
      <c r="EC35" s="162">
        <v>22.041175917880267</v>
      </c>
      <c r="ED35" s="162">
        <v>31.303732327418444</v>
      </c>
      <c r="EE35" s="162">
        <v>15.396479557151466</v>
      </c>
      <c r="EF35" s="162">
        <v>15.755613048315794</v>
      </c>
      <c r="EG35" s="162">
        <v>36.982063155441949</v>
      </c>
      <c r="EH35" s="162">
        <v>28.448153408096232</v>
      </c>
      <c r="EI35" s="162">
        <v>21.25610625845961</v>
      </c>
      <c r="EJ35" s="162">
        <v>27.926246911498097</v>
      </c>
      <c r="EK35" s="162">
        <v>29.57078634208716</v>
      </c>
      <c r="EL35" s="162">
        <v>23.43583715668926</v>
      </c>
      <c r="EM35" s="162">
        <v>26.154214281129427</v>
      </c>
      <c r="EN35" s="162">
        <v>14.71042077958667</v>
      </c>
      <c r="EO35" s="162">
        <v>15.372277196466484</v>
      </c>
      <c r="EP35" s="162">
        <v>12.727133850507613</v>
      </c>
      <c r="EQ35" s="162">
        <v>18.820502055064125</v>
      </c>
      <c r="ER35" s="162">
        <v>30.678400799113945</v>
      </c>
      <c r="ES35" s="162">
        <v>32.179075285903792</v>
      </c>
      <c r="ET35" s="162">
        <v>25.169044423440013</v>
      </c>
      <c r="EU35" s="162">
        <v>24.556673533998804</v>
      </c>
      <c r="EV35" s="162">
        <v>12.294188150689777</v>
      </c>
      <c r="EW35" s="162">
        <v>22.265704722739045</v>
      </c>
      <c r="EX35" s="162">
        <v>14.629422652109099</v>
      </c>
      <c r="EY35" s="162">
        <v>14.419300950354582</v>
      </c>
      <c r="EZ35" s="162">
        <v>41.984959139272959</v>
      </c>
      <c r="FA35" s="162">
        <v>23.401529920369768</v>
      </c>
      <c r="FB35" s="162">
        <v>39.343104234568038</v>
      </c>
      <c r="FC35" s="162">
        <v>34.672360513496173</v>
      </c>
      <c r="FD35" s="162">
        <v>25.718938316945668</v>
      </c>
      <c r="FE35" s="162">
        <v>32.186055865665821</v>
      </c>
      <c r="FF35" s="162">
        <v>29.044446563007327</v>
      </c>
      <c r="FG35" s="162">
        <v>21.43992815465252</v>
      </c>
      <c r="FH35" s="162">
        <v>19.441276233796199</v>
      </c>
      <c r="FI35" s="162">
        <v>8.8202258083794192</v>
      </c>
      <c r="FJ35" s="162">
        <v>11.4988131237858</v>
      </c>
      <c r="FK35" s="162">
        <v>13.1339995049421</v>
      </c>
      <c r="FL35" s="162">
        <v>20.854714018135201</v>
      </c>
      <c r="FM35" s="162">
        <v>24.7698104523867</v>
      </c>
      <c r="FN35" s="162">
        <v>31.145506070096999</v>
      </c>
      <c r="FO35" s="162">
        <v>8.2186291858490108</v>
      </c>
      <c r="FP35" s="162">
        <v>16.581375213329501</v>
      </c>
      <c r="FQ35" s="162">
        <v>33.446593928770596</v>
      </c>
      <c r="FR35" s="162">
        <v>14.872372113391201</v>
      </c>
      <c r="FS35" s="162">
        <v>27.919602548185399</v>
      </c>
      <c r="FT35" s="162">
        <v>25.315737729116801</v>
      </c>
      <c r="FU35" s="162">
        <v>30.020947559693202</v>
      </c>
      <c r="FV35" s="162">
        <v>17.738544370522199</v>
      </c>
      <c r="FW35" s="162">
        <v>18.5838438975345</v>
      </c>
      <c r="FX35" s="162">
        <v>29.287655333656101</v>
      </c>
      <c r="FY35" s="162">
        <v>22.428232657292799</v>
      </c>
      <c r="FZ35" s="162">
        <v>29.411261760152399</v>
      </c>
      <c r="GA35" s="162">
        <v>21.846029840537899</v>
      </c>
      <c r="GB35" s="162">
        <v>30.563161580209499</v>
      </c>
      <c r="GC35" s="162">
        <v>30.7035479092937</v>
      </c>
      <c r="GD35" s="162">
        <v>30.4850964633046</v>
      </c>
      <c r="GE35" s="162">
        <v>28.7818403165919</v>
      </c>
      <c r="GF35" s="162">
        <v>17.371489701664299</v>
      </c>
      <c r="GG35" s="162">
        <v>20.800824500356001</v>
      </c>
      <c r="GH35" s="162">
        <v>35.149700737016197</v>
      </c>
      <c r="GI35" s="162">
        <v>21.228462531461801</v>
      </c>
      <c r="GJ35" s="162">
        <v>30.236362828696901</v>
      </c>
      <c r="GK35" s="162">
        <v>30.861920773309802</v>
      </c>
      <c r="GL35" s="162">
        <v>24.483398051983201</v>
      </c>
      <c r="GM35" s="162">
        <v>22.732382219662899</v>
      </c>
      <c r="GN35" s="162">
        <v>27.299558902267599</v>
      </c>
      <c r="GO35" s="162">
        <v>23.320891626644599</v>
      </c>
      <c r="GP35" s="162">
        <v>16.404688128295099</v>
      </c>
      <c r="GQ35" s="162">
        <v>14.9157688743558</v>
      </c>
      <c r="GR35" s="162">
        <v>10.0985225926068</v>
      </c>
      <c r="GS35" s="162">
        <v>13.8563426592345</v>
      </c>
      <c r="GT35" s="162">
        <v>16.938658346381001</v>
      </c>
      <c r="GU35" s="162">
        <v>11.3623740689531</v>
      </c>
      <c r="GV35" s="162">
        <v>10.4877310208946</v>
      </c>
      <c r="GW35" s="162">
        <v>12.3560086368981</v>
      </c>
      <c r="GX35" s="162">
        <v>7.7271808714835499</v>
      </c>
      <c r="GY35" s="162">
        <v>0</v>
      </c>
      <c r="GZ35" s="162">
        <v>28.982428879520899</v>
      </c>
      <c r="HA35" s="162">
        <v>14.651968255250701</v>
      </c>
      <c r="HB35" s="162">
        <v>16.704940169896801</v>
      </c>
      <c r="HC35" s="162">
        <v>20.8076331710669</v>
      </c>
      <c r="HD35" s="162">
        <v>20.237071930454</v>
      </c>
      <c r="HE35" s="162">
        <v>12.2276910520026</v>
      </c>
      <c r="HF35" s="162">
        <v>24.792671002534401</v>
      </c>
      <c r="HG35" s="162">
        <v>8.1912947185708092</v>
      </c>
      <c r="HH35" s="162">
        <v>6.8860716063550598</v>
      </c>
      <c r="HI35" s="162">
        <v>4.0191738811695803</v>
      </c>
      <c r="HJ35" s="162">
        <v>6.8890285449189497</v>
      </c>
      <c r="HK35" s="162">
        <v>6.0608439503175999</v>
      </c>
      <c r="HL35" s="162">
        <v>7.4099820042947799</v>
      </c>
      <c r="HM35" s="162">
        <v>11.722348680559399</v>
      </c>
      <c r="HN35" s="162">
        <v>12.8234364183637</v>
      </c>
      <c r="HO35" s="162">
        <v>9.6124882112684702</v>
      </c>
      <c r="HP35" s="162">
        <v>10.9616469843363</v>
      </c>
      <c r="HQ35" s="162">
        <v>13.8160758531819</v>
      </c>
      <c r="HR35" s="162">
        <v>10.2370898889084</v>
      </c>
      <c r="HS35" s="162">
        <v>16.5768383640042</v>
      </c>
      <c r="HT35" s="162">
        <v>19.476181099505698</v>
      </c>
      <c r="HU35" s="162">
        <v>15.090039795139299</v>
      </c>
      <c r="HV35" s="162">
        <v>9.6584066145707705</v>
      </c>
      <c r="HW35" s="162">
        <v>15.1517937974413</v>
      </c>
      <c r="HX35" s="162">
        <v>17.634811547638499</v>
      </c>
      <c r="HY35" s="162">
        <v>17.841803239618699</v>
      </c>
      <c r="HZ35" s="162">
        <v>20.486232930046899</v>
      </c>
      <c r="IA35" s="162">
        <v>19.190241022773801</v>
      </c>
      <c r="IB35" s="162">
        <v>15.7937772183797</v>
      </c>
      <c r="IC35" s="162">
        <v>10.2770665962951</v>
      </c>
      <c r="ID35" s="162">
        <v>3.8124250934409698</v>
      </c>
      <c r="IE35" s="162">
        <v>6.1753057405057303</v>
      </c>
    </row>
    <row r="36" spans="1:275" s="142" customFormat="1" ht="16.5" customHeight="1">
      <c r="A36" s="147" t="s">
        <v>201</v>
      </c>
      <c r="B36" s="154"/>
      <c r="C36" s="162">
        <v>11.294340884861882</v>
      </c>
      <c r="D36" s="162">
        <v>10.31781374000272</v>
      </c>
      <c r="E36" s="162">
        <v>12.427611470697556</v>
      </c>
      <c r="F36" s="162">
        <v>5.6495019129692281</v>
      </c>
      <c r="G36" s="162">
        <v>8.2700175913249581</v>
      </c>
      <c r="H36" s="162">
        <v>2.5796379569620171</v>
      </c>
      <c r="I36" s="162">
        <v>5.5236585226214174</v>
      </c>
      <c r="J36" s="162">
        <v>10.235099328772904</v>
      </c>
      <c r="K36" s="162">
        <v>9.9964499273525433</v>
      </c>
      <c r="L36" s="162">
        <v>11.201818762917114</v>
      </c>
      <c r="M36" s="162">
        <v>9.1093948953786992</v>
      </c>
      <c r="N36" s="162">
        <v>7.3897920732295574</v>
      </c>
      <c r="O36" s="162">
        <v>13.550368736624819</v>
      </c>
      <c r="P36" s="162">
        <v>13.354910939611202</v>
      </c>
      <c r="Q36" s="162">
        <v>11.418601410235723</v>
      </c>
      <c r="R36" s="162">
        <v>11.357077470270255</v>
      </c>
      <c r="S36" s="162">
        <v>17.095341810103037</v>
      </c>
      <c r="T36" s="162">
        <v>7.6498824732489652</v>
      </c>
      <c r="U36" s="162">
        <v>8.4965521662346077</v>
      </c>
      <c r="V36" s="162">
        <v>9.4421222329634276</v>
      </c>
      <c r="W36" s="162">
        <v>18.20134328164545</v>
      </c>
      <c r="X36" s="162">
        <v>22.206502746466427</v>
      </c>
      <c r="Y36" s="162">
        <v>14.440766430363496</v>
      </c>
      <c r="Z36" s="162">
        <v>10.737136287238684</v>
      </c>
      <c r="AA36" s="162">
        <v>17.049003035645896</v>
      </c>
      <c r="AB36" s="162">
        <v>8.2588547121888638</v>
      </c>
      <c r="AC36" s="162">
        <v>11.678390115291322</v>
      </c>
      <c r="AD36" s="162">
        <v>22.26599430306004</v>
      </c>
      <c r="AE36" s="162">
        <v>5.2743865483449923</v>
      </c>
      <c r="AF36" s="162">
        <v>4.3527209634894604</v>
      </c>
      <c r="AG36" s="162">
        <v>5.5814438016932826</v>
      </c>
      <c r="AH36" s="162">
        <v>5.9799016531074045</v>
      </c>
      <c r="AI36" s="162">
        <v>6.2413798233474438</v>
      </c>
      <c r="AJ36" s="162">
        <v>15.809917878420862</v>
      </c>
      <c r="AK36" s="162">
        <v>5.2387222142978374</v>
      </c>
      <c r="AL36" s="162">
        <v>9.6206133895582724</v>
      </c>
      <c r="AM36" s="162">
        <v>9.0333912472705435</v>
      </c>
      <c r="AN36" s="162">
        <v>13.336432506316925</v>
      </c>
      <c r="AO36" s="162">
        <v>7.6630536046793623</v>
      </c>
      <c r="AP36" s="162">
        <v>11.968820134225993</v>
      </c>
      <c r="AQ36" s="162">
        <v>12.383566627786962</v>
      </c>
      <c r="AR36" s="162">
        <v>6.6499029628807307</v>
      </c>
      <c r="AS36" s="162">
        <v>16.421684448127138</v>
      </c>
      <c r="AT36" s="162">
        <v>14.348671352258762</v>
      </c>
      <c r="AU36" s="162">
        <v>17.827850041480019</v>
      </c>
      <c r="AV36" s="162">
        <v>17.402683247412938</v>
      </c>
      <c r="AW36" s="162">
        <v>20.393268465729847</v>
      </c>
      <c r="AX36" s="162">
        <v>18.92058321341824</v>
      </c>
      <c r="AY36" s="162">
        <v>9.3863607013780097</v>
      </c>
      <c r="AZ36" s="162">
        <v>16.210241972815197</v>
      </c>
      <c r="BA36" s="162">
        <v>18.536105949824062</v>
      </c>
      <c r="BB36" s="162">
        <v>14.493790135572894</v>
      </c>
      <c r="BC36" s="162">
        <v>11.278306598275606</v>
      </c>
      <c r="BD36" s="162">
        <v>7.3011968205368305</v>
      </c>
      <c r="BE36" s="162">
        <v>6.3433083980629306</v>
      </c>
      <c r="BF36" s="162">
        <v>6.0957933112808149</v>
      </c>
      <c r="BG36" s="162">
        <v>4.7344183887266524</v>
      </c>
      <c r="BH36" s="162">
        <v>6.0670999612175365</v>
      </c>
      <c r="BI36" s="162">
        <v>15.137682421124339</v>
      </c>
      <c r="BJ36" s="162">
        <v>12.809996787069963</v>
      </c>
      <c r="BK36" s="162">
        <v>13.532067481270744</v>
      </c>
      <c r="BL36" s="162">
        <v>13.750649919900496</v>
      </c>
      <c r="BM36" s="162">
        <v>13.433885330926316</v>
      </c>
      <c r="BN36" s="162">
        <v>9.3310592546239093</v>
      </c>
      <c r="BO36" s="162">
        <v>9.7139309277571471</v>
      </c>
      <c r="BP36" s="162">
        <v>6.8101725956640422</v>
      </c>
      <c r="BQ36" s="162">
        <v>11.261712008746983</v>
      </c>
      <c r="BR36" s="162">
        <v>14.21635873990202</v>
      </c>
      <c r="BS36" s="162">
        <v>9.8365252719505065</v>
      </c>
      <c r="BT36" s="162">
        <v>10.340241126717928</v>
      </c>
      <c r="BU36" s="162">
        <v>15.020883586449528</v>
      </c>
      <c r="BV36" s="162">
        <v>14.3012550788537</v>
      </c>
      <c r="BW36" s="162">
        <v>17.717023639804808</v>
      </c>
      <c r="BX36" s="162">
        <v>14.704373212007766</v>
      </c>
      <c r="BY36" s="162">
        <v>11.77198740368695</v>
      </c>
      <c r="BZ36" s="162">
        <v>15.816464542913835</v>
      </c>
      <c r="CA36" s="162">
        <v>16.86374236508432</v>
      </c>
      <c r="CB36" s="162">
        <v>22.828367592580406</v>
      </c>
      <c r="CC36" s="162">
        <v>14.944914963346065</v>
      </c>
      <c r="CD36" s="162">
        <v>33.366936749545644</v>
      </c>
      <c r="CE36" s="162">
        <v>34.218427125638215</v>
      </c>
      <c r="CF36" s="162">
        <v>15.297430191416737</v>
      </c>
      <c r="CG36" s="162">
        <v>21.510202395088641</v>
      </c>
      <c r="CH36" s="162">
        <v>20.354044699986062</v>
      </c>
      <c r="CI36" s="162">
        <v>17.626745950795112</v>
      </c>
      <c r="CJ36" s="162">
        <v>32.868498310346538</v>
      </c>
      <c r="CK36" s="162">
        <v>26.709568200405698</v>
      </c>
      <c r="CL36" s="162">
        <v>30.576591674885364</v>
      </c>
      <c r="CM36" s="162">
        <v>11.37465299763862</v>
      </c>
      <c r="CN36" s="162">
        <v>18.699881216936774</v>
      </c>
      <c r="CO36" s="162">
        <v>24.146236376853096</v>
      </c>
      <c r="CP36" s="162">
        <v>29.873506904091983</v>
      </c>
      <c r="CQ36" s="162">
        <v>17.966868182798351</v>
      </c>
      <c r="CR36" s="162">
        <v>21.844197090060106</v>
      </c>
      <c r="CS36" s="162">
        <v>28.942777729257458</v>
      </c>
      <c r="CT36" s="162">
        <v>23.399108828605293</v>
      </c>
      <c r="CU36" s="162">
        <v>11.463479987974722</v>
      </c>
      <c r="CV36" s="162">
        <v>15.19840029552735</v>
      </c>
      <c r="CW36" s="162">
        <v>10.697218927262327</v>
      </c>
      <c r="CX36" s="162">
        <v>12.553304928183877</v>
      </c>
      <c r="CY36" s="162">
        <v>13.391603957528318</v>
      </c>
      <c r="CZ36" s="162">
        <v>8.1648299862058877</v>
      </c>
      <c r="DA36" s="162">
        <v>12.41219043526246</v>
      </c>
      <c r="DB36" s="162">
        <v>10.889410451410953</v>
      </c>
      <c r="DC36" s="162">
        <v>5.6719471210945613</v>
      </c>
      <c r="DD36" s="162">
        <v>15.08543394600018</v>
      </c>
      <c r="DE36" s="162">
        <v>21.594171420478247</v>
      </c>
      <c r="DF36" s="162">
        <v>15.871006407639442</v>
      </c>
      <c r="DG36" s="162">
        <v>12.856549271945454</v>
      </c>
      <c r="DH36" s="162">
        <v>13.955525798313715</v>
      </c>
      <c r="DI36" s="162">
        <v>20.277979000370053</v>
      </c>
      <c r="DJ36" s="162">
        <v>19.544710567921655</v>
      </c>
      <c r="DK36" s="162">
        <v>11.136992146833208</v>
      </c>
      <c r="DL36" s="162">
        <v>10.012220617480111</v>
      </c>
      <c r="DM36" s="162">
        <v>13.021562944592631</v>
      </c>
      <c r="DN36" s="162">
        <v>8.0877282398830914</v>
      </c>
      <c r="DO36" s="162">
        <v>11.665288627141976</v>
      </c>
      <c r="DP36" s="162">
        <v>9.6901252411398247</v>
      </c>
      <c r="DQ36" s="162">
        <v>7.0678666341969461</v>
      </c>
      <c r="DR36" s="162">
        <v>12.257500780322431</v>
      </c>
      <c r="DS36" s="162">
        <v>13.26651544195029</v>
      </c>
      <c r="DT36" s="162">
        <v>12.814151551589276</v>
      </c>
      <c r="DU36" s="162">
        <v>12.549634566349184</v>
      </c>
      <c r="DV36" s="162">
        <v>12.248569596283403</v>
      </c>
      <c r="DW36" s="162">
        <v>17.747261541279187</v>
      </c>
      <c r="DX36" s="162">
        <v>8.9138594849607244</v>
      </c>
      <c r="DY36" s="162">
        <v>9.4433891873124196</v>
      </c>
      <c r="DZ36" s="162">
        <v>13.186792472910071</v>
      </c>
      <c r="EA36" s="162">
        <v>13.949765791901612</v>
      </c>
      <c r="EB36" s="162">
        <v>20.269057530344398</v>
      </c>
      <c r="EC36" s="162">
        <v>10.300865196420347</v>
      </c>
      <c r="ED36" s="162">
        <v>10.511757210509003</v>
      </c>
      <c r="EE36" s="162">
        <v>9.8051576383220578</v>
      </c>
      <c r="EF36" s="162">
        <v>7.282134147551119</v>
      </c>
      <c r="EG36" s="162">
        <v>13.554191260515083</v>
      </c>
      <c r="EH36" s="162">
        <v>20.900483873143756</v>
      </c>
      <c r="EI36" s="162">
        <v>17.456314335610543</v>
      </c>
      <c r="EJ36" s="162">
        <v>7.8333205178545597</v>
      </c>
      <c r="EK36" s="162">
        <v>13.46441614916084</v>
      </c>
      <c r="EL36" s="162">
        <v>13.822269838742571</v>
      </c>
      <c r="EM36" s="162">
        <v>10.917891849062002</v>
      </c>
      <c r="EN36" s="162">
        <v>14.591070393055318</v>
      </c>
      <c r="EO36" s="162">
        <v>8.763373069035822</v>
      </c>
      <c r="EP36" s="162">
        <v>11.314427621036572</v>
      </c>
      <c r="EQ36" s="162">
        <v>7.0600585731414043</v>
      </c>
      <c r="ER36" s="162">
        <v>4.7258817765723933</v>
      </c>
      <c r="ES36" s="162">
        <v>5.3518466816607599</v>
      </c>
      <c r="ET36" s="162">
        <v>12.462218119201211</v>
      </c>
      <c r="EU36" s="162">
        <v>8.2672369442979345</v>
      </c>
      <c r="EV36" s="162">
        <v>3.4430521057625612</v>
      </c>
      <c r="EW36" s="162">
        <v>10.34134793996833</v>
      </c>
      <c r="EX36" s="162">
        <v>5.350470111021238</v>
      </c>
      <c r="EY36" s="162">
        <v>6.8156002192800429</v>
      </c>
      <c r="EZ36" s="162">
        <v>6.6483307412322716</v>
      </c>
      <c r="FA36" s="162">
        <v>7.1976535563522503</v>
      </c>
      <c r="FB36" s="162">
        <v>9.3964374882603749</v>
      </c>
      <c r="FC36" s="162">
        <v>14.647431069364956</v>
      </c>
      <c r="FD36" s="162">
        <v>13.177333176288471</v>
      </c>
      <c r="FE36" s="162">
        <v>16.208418546367412</v>
      </c>
      <c r="FF36" s="162">
        <v>9.6441683039536628</v>
      </c>
      <c r="FG36" s="162">
        <v>6.0423650135301159</v>
      </c>
      <c r="FH36" s="162">
        <v>6.53868058741591</v>
      </c>
      <c r="FI36" s="162">
        <v>7.4856877677254596</v>
      </c>
      <c r="FJ36" s="162">
        <v>17.485781253990702</v>
      </c>
      <c r="FK36" s="162">
        <v>8.0893553683886505</v>
      </c>
      <c r="FL36" s="162">
        <v>9.3015092964808499</v>
      </c>
      <c r="FM36" s="162">
        <v>20.019697125476601</v>
      </c>
      <c r="FN36" s="162">
        <v>13.0156654958703</v>
      </c>
      <c r="FO36" s="162">
        <v>12.530858385069999</v>
      </c>
      <c r="FP36" s="162">
        <v>9.0297352293469206</v>
      </c>
      <c r="FQ36" s="162">
        <v>11.111536831713099</v>
      </c>
      <c r="FR36" s="162">
        <v>18.096836177087599</v>
      </c>
      <c r="FS36" s="162">
        <v>5.7548071447180797</v>
      </c>
      <c r="FT36" s="162">
        <v>4.66809671466961</v>
      </c>
      <c r="FU36" s="162">
        <v>8.9162960311944204</v>
      </c>
      <c r="FV36" s="162">
        <v>9.6812942937691702</v>
      </c>
      <c r="FW36" s="162">
        <v>8.3706717295591595</v>
      </c>
      <c r="FX36" s="162">
        <v>11.2987901458491</v>
      </c>
      <c r="FY36" s="162">
        <v>8.2272912861275405</v>
      </c>
      <c r="FZ36" s="162">
        <v>6.7881215194434104</v>
      </c>
      <c r="GA36" s="162">
        <v>9.1877047657581006</v>
      </c>
      <c r="GB36" s="162">
        <v>11.5681187824774</v>
      </c>
      <c r="GC36" s="162">
        <v>14.934401434471599</v>
      </c>
      <c r="GD36" s="162">
        <v>17.1959336602905</v>
      </c>
      <c r="GE36" s="162">
        <v>12.407606202903301</v>
      </c>
      <c r="GF36" s="162">
        <v>6.0261120517659998</v>
      </c>
      <c r="GG36" s="162">
        <v>7.9554278389876298</v>
      </c>
      <c r="GH36" s="162">
        <v>10.4935366045906</v>
      </c>
      <c r="GI36" s="162">
        <v>12.272478202522599</v>
      </c>
      <c r="GJ36" s="162">
        <v>15.781005070541299</v>
      </c>
      <c r="GK36" s="162">
        <v>11.9724574999243</v>
      </c>
      <c r="GL36" s="162">
        <v>8.6879938080583106</v>
      </c>
      <c r="GM36" s="162">
        <v>8.1369246673162596</v>
      </c>
      <c r="GN36" s="162">
        <v>10.0914471935022</v>
      </c>
      <c r="GO36" s="162">
        <v>11.4811777976157</v>
      </c>
      <c r="GP36" s="162">
        <v>8.5185032452999803</v>
      </c>
      <c r="GQ36" s="162">
        <v>12.1552677712671</v>
      </c>
      <c r="GR36" s="162">
        <v>5.9082141739670204</v>
      </c>
      <c r="GS36" s="162">
        <v>8.1683795710708793</v>
      </c>
      <c r="GT36" s="162">
        <v>6.4006714968247698</v>
      </c>
      <c r="GU36" s="162">
        <v>7.4234212168653801</v>
      </c>
      <c r="GV36" s="162">
        <v>9.0645619124479495</v>
      </c>
      <c r="GW36" s="162">
        <v>6.39998252499882</v>
      </c>
      <c r="GX36" s="162">
        <v>6.3668866202477998</v>
      </c>
      <c r="GY36" s="162">
        <v>0</v>
      </c>
      <c r="GZ36" s="162">
        <v>6.9439079152833498</v>
      </c>
      <c r="HA36" s="162">
        <v>7.2940747421134002</v>
      </c>
      <c r="HB36" s="162">
        <v>7.1230861904595999</v>
      </c>
      <c r="HC36" s="162">
        <v>3.5841512252752898</v>
      </c>
      <c r="HD36" s="162">
        <v>4.66821810433472</v>
      </c>
      <c r="HE36" s="162">
        <v>6.6370326883915203</v>
      </c>
      <c r="HF36" s="162">
        <v>8.5387583641575606</v>
      </c>
      <c r="HG36" s="162">
        <v>8.7347277638189595</v>
      </c>
      <c r="HH36" s="162">
        <v>10.743970108929799</v>
      </c>
      <c r="HI36" s="162">
        <v>8.7395902386464908</v>
      </c>
      <c r="HJ36" s="162">
        <v>7.8556208019038802</v>
      </c>
      <c r="HK36" s="162">
        <v>9.1305030472503503</v>
      </c>
      <c r="HL36" s="162">
        <v>8.58059206103656</v>
      </c>
      <c r="HM36" s="162">
        <v>12.8552120853101</v>
      </c>
      <c r="HN36" s="162">
        <v>6.5727204367435501</v>
      </c>
      <c r="HO36" s="162">
        <v>5.9602999520827096</v>
      </c>
      <c r="HP36" s="162">
        <v>11.719814808734499</v>
      </c>
      <c r="HQ36" s="162">
        <v>4.4079722173007001</v>
      </c>
      <c r="HR36" s="162">
        <v>7.0673544976683598</v>
      </c>
      <c r="HS36" s="162">
        <v>9.08299688591101</v>
      </c>
      <c r="HT36" s="162">
        <v>11.024422628915</v>
      </c>
      <c r="HU36" s="162">
        <v>10.525798082346901</v>
      </c>
      <c r="HV36" s="162">
        <v>10.2617003710234</v>
      </c>
      <c r="HW36" s="162">
        <v>13.3717348744165</v>
      </c>
      <c r="HX36" s="162">
        <v>6.1244679043835299</v>
      </c>
      <c r="HY36" s="162">
        <v>13.087725949200401</v>
      </c>
      <c r="HZ36" s="162">
        <v>10.301070400321199</v>
      </c>
      <c r="IA36" s="162">
        <v>6.0629917929654003</v>
      </c>
      <c r="IB36" s="162">
        <v>4.5470192415557804</v>
      </c>
      <c r="IC36" s="162">
        <v>3.18528390820192</v>
      </c>
      <c r="ID36" s="162">
        <v>3.7668250283059899</v>
      </c>
      <c r="IE36" s="162">
        <v>5.1613014566454103</v>
      </c>
    </row>
    <row r="37" spans="1:275" s="142" customFormat="1" ht="16.5" customHeight="1">
      <c r="A37" s="147" t="s">
        <v>202</v>
      </c>
      <c r="B37" s="147"/>
      <c r="C37" s="162">
        <v>7.184745751697136</v>
      </c>
      <c r="D37" s="162">
        <v>3.8120495020545064</v>
      </c>
      <c r="E37" s="162">
        <v>6.6563202738407057</v>
      </c>
      <c r="F37" s="162">
        <v>5.469057105155656</v>
      </c>
      <c r="G37" s="162">
        <v>3.9949335431029454</v>
      </c>
      <c r="H37" s="162">
        <v>4.7657187387636952</v>
      </c>
      <c r="I37" s="162">
        <v>5.0317253135199564</v>
      </c>
      <c r="J37" s="162">
        <v>6.9845422394617174</v>
      </c>
      <c r="K37" s="162">
        <v>7.7320754731999557</v>
      </c>
      <c r="L37" s="162">
        <v>3.8063521459777974</v>
      </c>
      <c r="M37" s="162">
        <v>9.8939887528740229</v>
      </c>
      <c r="N37" s="162">
        <v>7.7708922730987666</v>
      </c>
      <c r="O37" s="162">
        <v>7.0903090329917688</v>
      </c>
      <c r="P37" s="162">
        <v>6.2171398674087754</v>
      </c>
      <c r="Q37" s="162">
        <v>5.7226940281653782</v>
      </c>
      <c r="R37" s="162">
        <v>4.8615805638014677</v>
      </c>
      <c r="S37" s="162">
        <v>8.2824258273895452</v>
      </c>
      <c r="T37" s="162">
        <v>11.18430681017189</v>
      </c>
      <c r="U37" s="162">
        <v>3.4435889443661551</v>
      </c>
      <c r="V37" s="162">
        <v>5.4381013064041355</v>
      </c>
      <c r="W37" s="162">
        <v>4.1172550130178109</v>
      </c>
      <c r="X37" s="162">
        <v>16.547230533719599</v>
      </c>
      <c r="Y37" s="162">
        <v>13.122179452964559</v>
      </c>
      <c r="Z37" s="162">
        <v>16.443227020623354</v>
      </c>
      <c r="AA37" s="162">
        <v>13.340768009167931</v>
      </c>
      <c r="AB37" s="162">
        <v>13.129728867233382</v>
      </c>
      <c r="AC37" s="162">
        <v>16.314656222669583</v>
      </c>
      <c r="AD37" s="162">
        <v>2.6458192626779891</v>
      </c>
      <c r="AE37" s="162">
        <v>2.3835403625802769</v>
      </c>
      <c r="AF37" s="162">
        <v>1.8534212931183305</v>
      </c>
      <c r="AG37" s="162">
        <v>11.90077625596885</v>
      </c>
      <c r="AH37" s="162">
        <v>16.079519938515475</v>
      </c>
      <c r="AI37" s="162">
        <v>2.139438719164815</v>
      </c>
      <c r="AJ37" s="162">
        <v>2.7306796365026571</v>
      </c>
      <c r="AK37" s="162">
        <v>5.3846034115764496</v>
      </c>
      <c r="AL37" s="162">
        <v>1.3562322976498677</v>
      </c>
      <c r="AM37" s="162">
        <v>4.2999118155495353</v>
      </c>
      <c r="AN37" s="162">
        <v>2.41344566576403</v>
      </c>
      <c r="AO37" s="162">
        <v>3.6185690043281085</v>
      </c>
      <c r="AP37" s="162">
        <v>3.2163850366252404</v>
      </c>
      <c r="AQ37" s="162">
        <v>4.4179833643889168</v>
      </c>
      <c r="AR37" s="162">
        <v>9.5550943729110145</v>
      </c>
      <c r="AS37" s="162">
        <v>5.5475334031953452</v>
      </c>
      <c r="AT37" s="162">
        <v>6.4227937894818012</v>
      </c>
      <c r="AU37" s="162">
        <v>6.4429971257011118</v>
      </c>
      <c r="AV37" s="162">
        <v>6.562786121969225</v>
      </c>
      <c r="AW37" s="162">
        <v>5.5084096447120032</v>
      </c>
      <c r="AX37" s="162">
        <v>6.8771081767197302</v>
      </c>
      <c r="AY37" s="162">
        <v>11.256517073107645</v>
      </c>
      <c r="AZ37" s="162">
        <v>8.5999301522691951</v>
      </c>
      <c r="BA37" s="162">
        <v>9.2171960382245572</v>
      </c>
      <c r="BB37" s="162">
        <v>12.70580532740756</v>
      </c>
      <c r="BC37" s="162">
        <v>8.8067616196685066</v>
      </c>
      <c r="BD37" s="162">
        <v>5.7169446406726223</v>
      </c>
      <c r="BE37" s="162">
        <v>6.5590206676010609</v>
      </c>
      <c r="BF37" s="162">
        <v>5.0784390699921289</v>
      </c>
      <c r="BG37" s="162">
        <v>6.1178134099837536</v>
      </c>
      <c r="BH37" s="162">
        <v>6.8394263609595782</v>
      </c>
      <c r="BI37" s="162">
        <v>6.8482474284967623</v>
      </c>
      <c r="BJ37" s="162">
        <v>8.5311607230016762</v>
      </c>
      <c r="BK37" s="162">
        <v>12.483999696989713</v>
      </c>
      <c r="BL37" s="162">
        <v>8.8127175201101977</v>
      </c>
      <c r="BM37" s="162">
        <v>6.9101249296663667</v>
      </c>
      <c r="BN37" s="162">
        <v>2.9623824729266346</v>
      </c>
      <c r="BO37" s="162">
        <v>6.4158310879131903</v>
      </c>
      <c r="BP37" s="162">
        <v>3.3750273793571495</v>
      </c>
      <c r="BQ37" s="162">
        <v>5.0266864836718099</v>
      </c>
      <c r="BR37" s="162">
        <v>6.9172201571659571</v>
      </c>
      <c r="BS37" s="162">
        <v>4.4295648939273775</v>
      </c>
      <c r="BT37" s="162">
        <v>5.6145780885730687</v>
      </c>
      <c r="BU37" s="162">
        <v>6.9089055099017713</v>
      </c>
      <c r="BV37" s="162">
        <v>6.249942890162302</v>
      </c>
      <c r="BW37" s="162">
        <v>5.3569649367029939</v>
      </c>
      <c r="BX37" s="162">
        <v>3.9032046851664148</v>
      </c>
      <c r="BY37" s="162">
        <v>7.300251527845532</v>
      </c>
      <c r="BZ37" s="162">
        <v>4.3083692517299426</v>
      </c>
      <c r="CA37" s="162">
        <v>4.7995293689060361</v>
      </c>
      <c r="CB37" s="162">
        <v>6.0868761331447132</v>
      </c>
      <c r="CC37" s="162">
        <v>3.3620985641516654</v>
      </c>
      <c r="CD37" s="162">
        <v>8.4514044939217001</v>
      </c>
      <c r="CE37" s="162">
        <v>6.8412733453303645</v>
      </c>
      <c r="CF37" s="162">
        <v>4.9288150339925636</v>
      </c>
      <c r="CG37" s="162">
        <v>4.2939532844381745</v>
      </c>
      <c r="CH37" s="162">
        <v>4.4036612787582357</v>
      </c>
      <c r="CI37" s="162">
        <v>2.8903312957921514</v>
      </c>
      <c r="CJ37" s="162">
        <v>5.7755287530144699</v>
      </c>
      <c r="CK37" s="162">
        <v>5.3726009727820667</v>
      </c>
      <c r="CL37" s="162">
        <v>16.290408203088262</v>
      </c>
      <c r="CM37" s="162">
        <v>11.601061543384589</v>
      </c>
      <c r="CN37" s="162">
        <v>10.888758833146483</v>
      </c>
      <c r="CO37" s="162">
        <v>11.234610419788822</v>
      </c>
      <c r="CP37" s="162">
        <v>7.9062735811038181</v>
      </c>
      <c r="CQ37" s="162">
        <v>8.0866995916324527</v>
      </c>
      <c r="CR37" s="162">
        <v>7.8845588299366227</v>
      </c>
      <c r="CS37" s="162">
        <v>7.891870164038977</v>
      </c>
      <c r="CT37" s="162">
        <v>3.6915307918271765</v>
      </c>
      <c r="CU37" s="162">
        <v>6.2635037276109244</v>
      </c>
      <c r="CV37" s="162">
        <v>5.5530163169899112</v>
      </c>
      <c r="CW37" s="162">
        <v>2.9930955623451325</v>
      </c>
      <c r="CX37" s="162">
        <v>3.3440531689622901</v>
      </c>
      <c r="CY37" s="162">
        <v>4.4643286101278079</v>
      </c>
      <c r="CZ37" s="162">
        <v>3.9527098076910647</v>
      </c>
      <c r="DA37" s="162">
        <v>5.84125350344857</v>
      </c>
      <c r="DB37" s="162">
        <v>4.6323643648376418</v>
      </c>
      <c r="DC37" s="162">
        <v>3.8045867989908544</v>
      </c>
      <c r="DD37" s="162">
        <v>7.471380297593484</v>
      </c>
      <c r="DE37" s="162">
        <v>7.6794528316305275</v>
      </c>
      <c r="DF37" s="162">
        <v>6.2844157249816419</v>
      </c>
      <c r="DG37" s="162">
        <v>6.8388241904989115</v>
      </c>
      <c r="DH37" s="162">
        <v>7.9200008976468155</v>
      </c>
      <c r="DI37" s="162">
        <v>4.499513495407129</v>
      </c>
      <c r="DJ37" s="162">
        <v>3.6725953056390637</v>
      </c>
      <c r="DK37" s="162">
        <v>7.655621645240771</v>
      </c>
      <c r="DL37" s="162">
        <v>6.8943645760915615</v>
      </c>
      <c r="DM37" s="162">
        <v>3.9148135175746432</v>
      </c>
      <c r="DN37" s="162">
        <v>7.0984174761428989</v>
      </c>
      <c r="DO37" s="162">
        <v>4.8134937818765167</v>
      </c>
      <c r="DP37" s="162">
        <v>3.4433682734749596</v>
      </c>
      <c r="DQ37" s="162">
        <v>5.6043276581473407</v>
      </c>
      <c r="DR37" s="162">
        <v>5.5960457952544402</v>
      </c>
      <c r="DS37" s="162">
        <v>4.2042832518907574</v>
      </c>
      <c r="DT37" s="162">
        <v>3.6271850113364223</v>
      </c>
      <c r="DU37" s="162">
        <v>3.4867050098542904</v>
      </c>
      <c r="DV37" s="162">
        <v>4.413506258330429</v>
      </c>
      <c r="DW37" s="162">
        <v>4.2122433530691694</v>
      </c>
      <c r="DX37" s="162">
        <v>5.3265703158176478</v>
      </c>
      <c r="DY37" s="162">
        <v>4.9923631165979714</v>
      </c>
      <c r="DZ37" s="162">
        <v>5.8471632637855748</v>
      </c>
      <c r="EA37" s="162">
        <v>6.9113498737961407</v>
      </c>
      <c r="EB37" s="162">
        <v>3.7074223171636334</v>
      </c>
      <c r="EC37" s="162">
        <v>6.5228108476070901</v>
      </c>
      <c r="ED37" s="162">
        <v>2.6145488234479757</v>
      </c>
      <c r="EE37" s="162">
        <v>5.5191785467053194</v>
      </c>
      <c r="EF37" s="162">
        <v>6.5518903565859148</v>
      </c>
      <c r="EG37" s="162">
        <v>4.1552787387617798</v>
      </c>
      <c r="EH37" s="162">
        <v>5.521926319807875</v>
      </c>
      <c r="EI37" s="162">
        <v>4.2312364891684382</v>
      </c>
      <c r="EJ37" s="162">
        <v>5.3086285239166529</v>
      </c>
      <c r="EK37" s="162">
        <v>6.9461055077601657</v>
      </c>
      <c r="EL37" s="162">
        <v>5.9788711745564882</v>
      </c>
      <c r="EM37" s="162">
        <v>6.2503891614117606</v>
      </c>
      <c r="EN37" s="162">
        <v>5.6856386538789963</v>
      </c>
      <c r="EO37" s="162">
        <v>4.7790667224079471</v>
      </c>
      <c r="EP37" s="162">
        <v>7.383877810501815</v>
      </c>
      <c r="EQ37" s="162">
        <v>7.2723541218447849</v>
      </c>
      <c r="ER37" s="162">
        <v>4.6992105590954907</v>
      </c>
      <c r="ES37" s="162">
        <v>5.2129429298410059</v>
      </c>
      <c r="ET37" s="162">
        <v>1.8792917416115387</v>
      </c>
      <c r="EU37" s="162">
        <v>2.2086727370211463</v>
      </c>
      <c r="EV37" s="162">
        <v>2.5063391231722818</v>
      </c>
      <c r="EW37" s="162">
        <v>1.7868800465720511</v>
      </c>
      <c r="EX37" s="162">
        <v>3.7920883111762294</v>
      </c>
      <c r="EY37" s="162">
        <v>3.1700889962199312</v>
      </c>
      <c r="EZ37" s="162">
        <v>5.0662352856871422</v>
      </c>
      <c r="FA37" s="162">
        <v>3.9506104320607136</v>
      </c>
      <c r="FB37" s="162">
        <v>5.3084695381668183</v>
      </c>
      <c r="FC37" s="162">
        <v>2.3791284777363018</v>
      </c>
      <c r="FD37" s="162">
        <v>4.0725277304442926</v>
      </c>
      <c r="FE37" s="162">
        <v>5.8226793459064652</v>
      </c>
      <c r="FF37" s="162">
        <v>3.4240908792455969</v>
      </c>
      <c r="FG37" s="162">
        <v>2.4629774724509872</v>
      </c>
      <c r="FH37" s="162">
        <v>1.0452739526543</v>
      </c>
      <c r="FI37" s="162">
        <v>4.2459860478110203</v>
      </c>
      <c r="FJ37" s="162">
        <v>4.1952346457719001</v>
      </c>
      <c r="FK37" s="162">
        <v>5.7442618796241698</v>
      </c>
      <c r="FL37" s="162">
        <v>2.8192629613550202</v>
      </c>
      <c r="FM37" s="162">
        <v>1.5276562730043199</v>
      </c>
      <c r="FN37" s="162">
        <v>3.7305320225130298</v>
      </c>
      <c r="FO37" s="162">
        <v>1.2198537681799899</v>
      </c>
      <c r="FP37" s="162">
        <v>1.7199943911864599</v>
      </c>
      <c r="FQ37" s="162">
        <v>2.3893692482244702</v>
      </c>
      <c r="FR37" s="162">
        <v>0.89991399271258699</v>
      </c>
      <c r="FS37" s="162">
        <v>2.8452231775577301</v>
      </c>
      <c r="FT37" s="162">
        <v>1.73761300017267</v>
      </c>
      <c r="FU37" s="162">
        <v>2.2496870922499199</v>
      </c>
      <c r="FV37" s="162">
        <v>3.14063736953787</v>
      </c>
      <c r="FW37" s="162">
        <v>4.1351215980747602</v>
      </c>
      <c r="FX37" s="162">
        <v>3.7434794117742398</v>
      </c>
      <c r="FY37" s="162">
        <v>2.5450014656045901</v>
      </c>
      <c r="FZ37" s="162">
        <v>3.4845028096628101</v>
      </c>
      <c r="GA37" s="162">
        <v>3.29664622123817</v>
      </c>
      <c r="GB37" s="162">
        <v>3.7729803180918098</v>
      </c>
      <c r="GC37" s="162">
        <v>4.0565871298044396</v>
      </c>
      <c r="GD37" s="162">
        <v>3.4018479575020399</v>
      </c>
      <c r="GE37" s="162">
        <v>4.7389742682134903</v>
      </c>
      <c r="GF37" s="162">
        <v>5.0122758194905703</v>
      </c>
      <c r="GG37" s="162">
        <v>3.9382866429646302</v>
      </c>
      <c r="GH37" s="162">
        <v>8.7207542164206693</v>
      </c>
      <c r="GI37" s="162">
        <v>7.2326637504046998</v>
      </c>
      <c r="GJ37" s="162">
        <v>6.4074842634585698</v>
      </c>
      <c r="GK37" s="162">
        <v>4.0530959341753698</v>
      </c>
      <c r="GL37" s="162">
        <v>9.4747737009029809</v>
      </c>
      <c r="GM37" s="162">
        <v>5.3407901819105597</v>
      </c>
      <c r="GN37" s="162">
        <v>6.2684678056488004</v>
      </c>
      <c r="GO37" s="162">
        <v>5.3232403600559799</v>
      </c>
      <c r="GP37" s="162">
        <v>5.3835097517266899</v>
      </c>
      <c r="GQ37" s="162">
        <v>9.5073930073093909</v>
      </c>
      <c r="GR37" s="162">
        <v>5.6673281372081004</v>
      </c>
      <c r="GS37" s="162">
        <v>5.3118689096959404</v>
      </c>
      <c r="GT37" s="162">
        <v>7.30626461018434</v>
      </c>
      <c r="GU37" s="162">
        <v>5.6091791834590801</v>
      </c>
      <c r="GV37" s="162">
        <v>4.6544488510670998</v>
      </c>
      <c r="GW37" s="162">
        <v>3.5617947145987201</v>
      </c>
      <c r="GX37" s="162">
        <v>4.0243068371048398</v>
      </c>
      <c r="GY37" s="162">
        <v>0</v>
      </c>
      <c r="GZ37" s="162">
        <v>2.7890169563257601</v>
      </c>
      <c r="HA37" s="162">
        <v>2.3238170175536101</v>
      </c>
      <c r="HB37" s="162">
        <v>2.6890210980261098</v>
      </c>
      <c r="HC37" s="162">
        <v>2.8427429614584101</v>
      </c>
      <c r="HD37" s="162">
        <v>5.5055508763260104</v>
      </c>
      <c r="HE37" s="162">
        <v>5.2637273719909299</v>
      </c>
      <c r="HF37" s="162">
        <v>4.9855447622203997</v>
      </c>
      <c r="HG37" s="162">
        <v>9.6655950721978492</v>
      </c>
      <c r="HH37" s="162">
        <v>5.6573759665507399</v>
      </c>
      <c r="HI37" s="162">
        <v>4.1763324660044301</v>
      </c>
      <c r="HJ37" s="162">
        <v>4.5337569989047299</v>
      </c>
      <c r="HK37" s="162">
        <v>4.26322982958603</v>
      </c>
      <c r="HL37" s="162">
        <v>8.7286364938433394</v>
      </c>
      <c r="HM37" s="162">
        <v>5.8062162399138799</v>
      </c>
      <c r="HN37" s="162">
        <v>2.9418726101827302</v>
      </c>
      <c r="HO37" s="162">
        <v>4.4030500777572597</v>
      </c>
      <c r="HP37" s="162">
        <v>4.3817078868166197</v>
      </c>
      <c r="HQ37" s="162">
        <v>0.88256335366216099</v>
      </c>
      <c r="HR37" s="162">
        <v>2.1613396611308402</v>
      </c>
      <c r="HS37" s="162">
        <v>3.5115705919155</v>
      </c>
      <c r="HT37" s="162">
        <v>5.0813723757926201</v>
      </c>
      <c r="HU37" s="162">
        <v>2.8379741564823102</v>
      </c>
      <c r="HV37" s="162">
        <v>3.0426817978049701</v>
      </c>
      <c r="HW37" s="162">
        <v>1.26041366414822</v>
      </c>
      <c r="HX37" s="162">
        <v>3.71062515404802</v>
      </c>
      <c r="HY37" s="162">
        <v>3.5755323926950799</v>
      </c>
      <c r="HZ37" s="162">
        <v>3.8959805621130501</v>
      </c>
      <c r="IA37" s="162">
        <v>1.7043378163532801</v>
      </c>
      <c r="IB37" s="162">
        <v>2.63876106857973</v>
      </c>
      <c r="IC37" s="162">
        <v>3.6025609701863699</v>
      </c>
      <c r="ID37" s="162">
        <v>4.4052598239794802</v>
      </c>
      <c r="IE37" s="162">
        <v>4.9000751170808199</v>
      </c>
    </row>
    <row r="38" spans="1:275" s="142" customFormat="1" ht="16.5" customHeight="1" thickBot="1">
      <c r="A38" s="158" t="s">
        <v>203</v>
      </c>
      <c r="B38" s="158"/>
      <c r="C38" s="163">
        <v>1.3122497092606267</v>
      </c>
      <c r="D38" s="163">
        <v>3.0875064334678513</v>
      </c>
      <c r="E38" s="163">
        <v>2.8633310180525768</v>
      </c>
      <c r="F38" s="163">
        <v>2.1529270682684114</v>
      </c>
      <c r="G38" s="163">
        <v>3.3221814867972626</v>
      </c>
      <c r="H38" s="163">
        <v>2.6203873891888776</v>
      </c>
      <c r="I38" s="163">
        <v>2.1816419647434486</v>
      </c>
      <c r="J38" s="163">
        <v>5.4042419172509284</v>
      </c>
      <c r="K38" s="163">
        <v>1.2285398416262723</v>
      </c>
      <c r="L38" s="163">
        <v>1.4249116496102801</v>
      </c>
      <c r="M38" s="163">
        <v>2.4897414342893143</v>
      </c>
      <c r="N38" s="163">
        <v>2.9651973283118878</v>
      </c>
      <c r="O38" s="163">
        <v>2.7657942575334857</v>
      </c>
      <c r="P38" s="163">
        <v>2.8445695615919959</v>
      </c>
      <c r="Q38" s="163">
        <v>1.5558895620922897</v>
      </c>
      <c r="R38" s="163">
        <v>9.9313748731748746</v>
      </c>
      <c r="S38" s="163">
        <v>3.7825447957037568</v>
      </c>
      <c r="T38" s="163">
        <v>2.9742852784738147</v>
      </c>
      <c r="U38" s="163">
        <v>3.6169393395296936</v>
      </c>
      <c r="V38" s="163">
        <v>2.808598674654462</v>
      </c>
      <c r="W38" s="163">
        <v>0.86321391947279835</v>
      </c>
      <c r="X38" s="163">
        <v>1.1600200561067027</v>
      </c>
      <c r="Y38" s="163">
        <v>0.51120925257446004</v>
      </c>
      <c r="Z38" s="163">
        <v>0.50093494831355656</v>
      </c>
      <c r="AA38" s="163">
        <v>2.0263795663305331</v>
      </c>
      <c r="AB38" s="163">
        <v>2.3144640824686036</v>
      </c>
      <c r="AC38" s="163">
        <v>6.131285853082602E-2</v>
      </c>
      <c r="AD38" s="163">
        <v>1.7516648755347575</v>
      </c>
      <c r="AE38" s="163">
        <v>0.66819597949327658</v>
      </c>
      <c r="AF38" s="163">
        <v>4.6691296017019965</v>
      </c>
      <c r="AG38" s="163">
        <v>0.70209319427982564</v>
      </c>
      <c r="AH38" s="163">
        <v>0.9720272425899168</v>
      </c>
      <c r="AI38" s="163">
        <v>1.08586508071879</v>
      </c>
      <c r="AJ38" s="163">
        <v>1.7886583314021465</v>
      </c>
      <c r="AK38" s="163">
        <v>0.76106550470534273</v>
      </c>
      <c r="AL38" s="163">
        <v>1.4274248394369238</v>
      </c>
      <c r="AM38" s="163">
        <v>0.75720861854956922</v>
      </c>
      <c r="AN38" s="163">
        <v>1.5861979006373303</v>
      </c>
      <c r="AO38" s="163">
        <v>1.8071131915170469</v>
      </c>
      <c r="AP38" s="163">
        <v>2.8318995997360048</v>
      </c>
      <c r="AQ38" s="163">
        <v>1.2512557963119662</v>
      </c>
      <c r="AR38" s="163">
        <v>6.3561231798275202</v>
      </c>
      <c r="AS38" s="163">
        <v>1.2780124034303242</v>
      </c>
      <c r="AT38" s="163">
        <v>4.0034274376399566</v>
      </c>
      <c r="AU38" s="163">
        <v>2.9001324260804466</v>
      </c>
      <c r="AV38" s="163">
        <v>2.0093776821515519</v>
      </c>
      <c r="AW38" s="163">
        <v>0.97374036565490485</v>
      </c>
      <c r="AX38" s="163">
        <v>2.419937494402717</v>
      </c>
      <c r="AY38" s="163">
        <v>2.7486411016902821</v>
      </c>
      <c r="AZ38" s="163">
        <v>2.8458029741985342</v>
      </c>
      <c r="BA38" s="163">
        <v>3.8103326388866634</v>
      </c>
      <c r="BB38" s="163">
        <v>5.1617822471081212</v>
      </c>
      <c r="BC38" s="163">
        <v>4.7503736410862132</v>
      </c>
      <c r="BD38" s="163">
        <v>2.3158639892771333</v>
      </c>
      <c r="BE38" s="163">
        <v>5.4230818827657572</v>
      </c>
      <c r="BF38" s="163">
        <v>1.2328249763180281</v>
      </c>
      <c r="BG38" s="163">
        <v>1.6462373581787944</v>
      </c>
      <c r="BH38" s="163">
        <v>5.0895188374933866</v>
      </c>
      <c r="BI38" s="163">
        <v>4.1366434983135747</v>
      </c>
      <c r="BJ38" s="163">
        <v>4.199333529055906</v>
      </c>
      <c r="BK38" s="163">
        <v>3.1406087333458572</v>
      </c>
      <c r="BL38" s="163">
        <v>1.839690421883958</v>
      </c>
      <c r="BM38" s="163">
        <v>2.6324033183317255</v>
      </c>
      <c r="BN38" s="163">
        <v>2.6616140079667048</v>
      </c>
      <c r="BO38" s="163">
        <v>2.3768343323895351</v>
      </c>
      <c r="BP38" s="163">
        <v>2.9301505358063906</v>
      </c>
      <c r="BQ38" s="163">
        <v>2.1711055810632161</v>
      </c>
      <c r="BR38" s="163">
        <v>2.3936493719827041</v>
      </c>
      <c r="BS38" s="163">
        <v>2.5661208004926124</v>
      </c>
      <c r="BT38" s="163">
        <v>2.3067487425982591</v>
      </c>
      <c r="BU38" s="163">
        <v>2.1437887142051864</v>
      </c>
      <c r="BV38" s="163">
        <v>2.658055113584652</v>
      </c>
      <c r="BW38" s="163">
        <v>2.0106854635587013</v>
      </c>
      <c r="BX38" s="163">
        <v>1.0553882975437716</v>
      </c>
      <c r="BY38" s="163">
        <v>1.9120975951467614</v>
      </c>
      <c r="BZ38" s="163">
        <v>1.091181261029547</v>
      </c>
      <c r="CA38" s="163">
        <v>1.4357086499271077</v>
      </c>
      <c r="CB38" s="163">
        <v>1.900444506963197</v>
      </c>
      <c r="CC38" s="163">
        <v>1.8495350302466136</v>
      </c>
      <c r="CD38" s="163">
        <v>0.79113089729514741</v>
      </c>
      <c r="CE38" s="163">
        <v>2.1805979400967175</v>
      </c>
      <c r="CF38" s="163">
        <v>1.391745413394375</v>
      </c>
      <c r="CG38" s="163">
        <v>0.98746579760535269</v>
      </c>
      <c r="CH38" s="163">
        <v>1.8296988982714737</v>
      </c>
      <c r="CI38" s="163">
        <v>1.455014060058275</v>
      </c>
      <c r="CJ38" s="163">
        <v>1.2010170273197645</v>
      </c>
      <c r="CK38" s="163">
        <v>1.4373276950316409</v>
      </c>
      <c r="CL38" s="163">
        <v>2.9174253617822217</v>
      </c>
      <c r="CM38" s="163">
        <v>1.2360267867987318</v>
      </c>
      <c r="CN38" s="163">
        <v>2.767499390695221</v>
      </c>
      <c r="CO38" s="163">
        <v>2.47067620445074</v>
      </c>
      <c r="CP38" s="163">
        <v>2.7669889560225442</v>
      </c>
      <c r="CQ38" s="163">
        <v>2.812640251105222</v>
      </c>
      <c r="CR38" s="163">
        <v>1.0911529568559786</v>
      </c>
      <c r="CS38" s="163">
        <v>1.383684276144038</v>
      </c>
      <c r="CT38" s="163">
        <v>0.31055541199430081</v>
      </c>
      <c r="CU38" s="163">
        <v>1.8543448896121504</v>
      </c>
      <c r="CV38" s="163">
        <v>1.0282276057048989</v>
      </c>
      <c r="CW38" s="163">
        <v>1.5092849185089818</v>
      </c>
      <c r="CX38" s="163">
        <v>0.56633778365119269</v>
      </c>
      <c r="CY38" s="163">
        <v>2.9644056714325728</v>
      </c>
      <c r="CZ38" s="163">
        <v>2.1514898821753832</v>
      </c>
      <c r="DA38" s="163">
        <v>3.4718753530947595</v>
      </c>
      <c r="DB38" s="163">
        <v>0.84705491185721371</v>
      </c>
      <c r="DC38" s="163">
        <v>0.46365165114673346</v>
      </c>
      <c r="DD38" s="163">
        <v>1.3449453539774794</v>
      </c>
      <c r="DE38" s="163">
        <v>4.6418471421363989</v>
      </c>
      <c r="DF38" s="163">
        <v>1.038152702315287</v>
      </c>
      <c r="DG38" s="163">
        <v>5.1565255099438332</v>
      </c>
      <c r="DH38" s="163">
        <v>1.9883527375234991</v>
      </c>
      <c r="DI38" s="163">
        <v>3.2216882184831945</v>
      </c>
      <c r="DJ38" s="163">
        <v>3.8667372852990809</v>
      </c>
      <c r="DK38" s="163">
        <v>2.5954752436546187</v>
      </c>
      <c r="DL38" s="163">
        <v>3.511922494936897</v>
      </c>
      <c r="DM38" s="163">
        <v>2.9734776963002361</v>
      </c>
      <c r="DN38" s="163">
        <v>4.6762546273243544</v>
      </c>
      <c r="DO38" s="163">
        <v>7.3440287991074484</v>
      </c>
      <c r="DP38" s="163">
        <v>5.4956242333951764</v>
      </c>
      <c r="DQ38" s="163">
        <v>3.6047655666000509</v>
      </c>
      <c r="DR38" s="163">
        <v>2.2868565496925441</v>
      </c>
      <c r="DS38" s="163">
        <v>5.0263266591419864</v>
      </c>
      <c r="DT38" s="163">
        <v>1.2313567859940804</v>
      </c>
      <c r="DU38" s="163">
        <v>2.8520349168531141</v>
      </c>
      <c r="DV38" s="163">
        <v>0.99763093861467667</v>
      </c>
      <c r="DW38" s="163">
        <v>1.3886323034383707</v>
      </c>
      <c r="DX38" s="163">
        <v>2.2887351361942763</v>
      </c>
      <c r="DY38" s="163">
        <v>3.9509369779713381</v>
      </c>
      <c r="DZ38" s="163">
        <v>3.3816182722027577</v>
      </c>
      <c r="EA38" s="163">
        <v>1.4367866986744389</v>
      </c>
      <c r="EB38" s="163">
        <v>2.4297907661782148</v>
      </c>
      <c r="EC38" s="163">
        <v>2.5844837055099816</v>
      </c>
      <c r="ED38" s="163">
        <v>3.6845558601048083</v>
      </c>
      <c r="EE38" s="163">
        <v>3.0388011029610169</v>
      </c>
      <c r="EF38" s="163">
        <v>2.1943475702622663</v>
      </c>
      <c r="EG38" s="163">
        <v>0.72628614356038668</v>
      </c>
      <c r="EH38" s="163">
        <v>4.2107298357590537</v>
      </c>
      <c r="EI38" s="163">
        <v>0.89158358418504235</v>
      </c>
      <c r="EJ38" s="163">
        <v>1.3143847739161458</v>
      </c>
      <c r="EK38" s="163">
        <v>0.33557889790989748</v>
      </c>
      <c r="EL38" s="163">
        <v>0.67201391485812678</v>
      </c>
      <c r="EM38" s="163">
        <v>0.67430840643729084</v>
      </c>
      <c r="EN38" s="163">
        <v>0.53048131637386575</v>
      </c>
      <c r="EO38" s="163">
        <v>1.9155247381973481</v>
      </c>
      <c r="EP38" s="163">
        <v>1.0341699248726286</v>
      </c>
      <c r="EQ38" s="163">
        <v>1.8230963522516817</v>
      </c>
      <c r="ER38" s="163">
        <v>0.53279502471555418</v>
      </c>
      <c r="ES38" s="163">
        <v>3.6875726586799829E-2</v>
      </c>
      <c r="ET38" s="163">
        <v>0.11100771157063605</v>
      </c>
      <c r="EU38" s="163">
        <v>1.4445983642629159</v>
      </c>
      <c r="EV38" s="163">
        <v>1.8417925927445253</v>
      </c>
      <c r="EW38" s="163">
        <v>2.458970480274175</v>
      </c>
      <c r="EX38" s="163">
        <v>1.8485916104375093</v>
      </c>
      <c r="EY38" s="163">
        <v>1.3209156456951092</v>
      </c>
      <c r="EZ38" s="163">
        <v>2.8397030196391739</v>
      </c>
      <c r="FA38" s="163">
        <v>1.4649365557923772</v>
      </c>
      <c r="FB38" s="163">
        <v>3.1367382733845375</v>
      </c>
      <c r="FC38" s="163">
        <v>1.3740776325460331</v>
      </c>
      <c r="FD38" s="163">
        <v>0.67351602188878701</v>
      </c>
      <c r="FE38" s="163">
        <v>0.56967165400753572</v>
      </c>
      <c r="FF38" s="163">
        <v>0.31108484748473586</v>
      </c>
      <c r="FG38" s="163">
        <v>0.33340468753964103</v>
      </c>
      <c r="FH38" s="163">
        <v>0.157916932100368</v>
      </c>
      <c r="FI38" s="163">
        <v>0</v>
      </c>
      <c r="FJ38" s="163">
        <v>2.7910071596932502</v>
      </c>
      <c r="FK38" s="163">
        <v>2.1698758909475102</v>
      </c>
      <c r="FL38" s="163">
        <v>0.37170970895030098</v>
      </c>
      <c r="FM38" s="163">
        <v>0</v>
      </c>
      <c r="FN38" s="163">
        <v>0.121080507436194</v>
      </c>
      <c r="FO38" s="163">
        <v>5.8965621630940896</v>
      </c>
      <c r="FP38" s="163">
        <v>4.4861150745883302E-2</v>
      </c>
      <c r="FQ38" s="163">
        <v>2.9791682624565299</v>
      </c>
      <c r="FR38" s="163">
        <v>0.69557130831479796</v>
      </c>
      <c r="FS38" s="163">
        <v>0.71239182830918901</v>
      </c>
      <c r="FT38" s="163">
        <v>2.31158404079325</v>
      </c>
      <c r="FU38" s="163">
        <v>0.19944981392177899</v>
      </c>
      <c r="FV38" s="163">
        <v>1.0473314493845201</v>
      </c>
      <c r="FW38" s="163">
        <v>1.08948030177845</v>
      </c>
      <c r="FX38" s="163">
        <v>0.26310079038626399</v>
      </c>
      <c r="FY38" s="163">
        <v>0.29442878456120902</v>
      </c>
      <c r="FZ38" s="163">
        <v>1.25411877106713</v>
      </c>
      <c r="GA38" s="163">
        <v>0.69708696639325396</v>
      </c>
      <c r="GB38" s="163">
        <v>1.0302124060293201</v>
      </c>
      <c r="GC38" s="163">
        <v>0.315768074168091</v>
      </c>
      <c r="GD38" s="163">
        <v>2.1086749112913998</v>
      </c>
      <c r="GE38" s="163">
        <v>0.73073057993659196</v>
      </c>
      <c r="GF38" s="163">
        <v>2.51230969175958</v>
      </c>
      <c r="GG38" s="163">
        <v>2.4311151998284699</v>
      </c>
      <c r="GH38" s="163">
        <v>4.2256169158145997</v>
      </c>
      <c r="GI38" s="163">
        <v>3.3471721967075498</v>
      </c>
      <c r="GJ38" s="163">
        <v>1.1095147010847699</v>
      </c>
      <c r="GK38" s="163">
        <v>1.71441723968434</v>
      </c>
      <c r="GL38" s="163">
        <v>2.45221390328045</v>
      </c>
      <c r="GM38" s="163">
        <v>1.5699337425378499</v>
      </c>
      <c r="GN38" s="163">
        <v>1.83997088405825</v>
      </c>
      <c r="GO38" s="163">
        <v>2.92952609387559</v>
      </c>
      <c r="GP38" s="163">
        <v>0.50866546820422098</v>
      </c>
      <c r="GQ38" s="163">
        <v>1.5418381806349699</v>
      </c>
      <c r="GR38" s="163">
        <v>2.4987483032336701</v>
      </c>
      <c r="GS38" s="163">
        <v>2.4688338634074598</v>
      </c>
      <c r="GT38" s="163">
        <v>0.60418818247921002</v>
      </c>
      <c r="GU38" s="163">
        <v>1.33030027242626</v>
      </c>
      <c r="GV38" s="163">
        <v>4.2338480112218801E-2</v>
      </c>
      <c r="GW38" s="163">
        <v>2.6312618372904799</v>
      </c>
      <c r="GX38" s="163">
        <v>2.16775796136967</v>
      </c>
      <c r="GY38" s="163">
        <v>0</v>
      </c>
      <c r="GZ38" s="163">
        <v>0.29108859275679599</v>
      </c>
      <c r="HA38" s="163">
        <v>1.23238227967764</v>
      </c>
      <c r="HB38" s="163">
        <v>1.4186828048790301</v>
      </c>
      <c r="HC38" s="163">
        <v>0.89466120269051697</v>
      </c>
      <c r="HD38" s="163">
        <v>0.40551479390093598</v>
      </c>
      <c r="HE38" s="163">
        <v>0.80709354135625</v>
      </c>
      <c r="HF38" s="163">
        <v>0.36836073385433099</v>
      </c>
      <c r="HG38" s="163">
        <v>0.71603001497677199</v>
      </c>
      <c r="HH38" s="163">
        <v>2.2869307949064499</v>
      </c>
      <c r="HI38" s="163">
        <v>1.4780953583787999</v>
      </c>
      <c r="HJ38" s="163">
        <v>2.5719969168510599</v>
      </c>
      <c r="HK38" s="163">
        <v>1.6191996522187899</v>
      </c>
      <c r="HL38" s="163">
        <v>2.1819531403050099</v>
      </c>
      <c r="HM38" s="163">
        <v>1.61337822193428</v>
      </c>
      <c r="HN38" s="163">
        <v>0.73009571103802695</v>
      </c>
      <c r="HO38" s="163">
        <v>1.32202938718379</v>
      </c>
      <c r="HP38" s="163">
        <v>0.229844219637791</v>
      </c>
      <c r="HQ38" s="163">
        <v>1.3219534718208901</v>
      </c>
      <c r="HR38" s="163">
        <v>1.1854479481046001</v>
      </c>
      <c r="HS38" s="163">
        <v>1.0506153410538299</v>
      </c>
      <c r="HT38" s="163">
        <v>1.68541180160157</v>
      </c>
      <c r="HU38" s="163">
        <v>1.57905774129471</v>
      </c>
      <c r="HV38" s="163">
        <v>1.91360539841538</v>
      </c>
      <c r="HW38" s="163">
        <v>0.89812251837431001</v>
      </c>
      <c r="HX38" s="163">
        <v>1.36301733290545</v>
      </c>
      <c r="HY38" s="163">
        <v>2.02401389941544</v>
      </c>
      <c r="HZ38" s="163">
        <v>1.0545762035514501</v>
      </c>
      <c r="IA38" s="163">
        <v>0.21077131861252199</v>
      </c>
      <c r="IB38" s="163">
        <v>0.43413902691502099</v>
      </c>
      <c r="IC38" s="163">
        <v>0.24646537679156999</v>
      </c>
      <c r="ID38" s="163">
        <v>1.60055661612189</v>
      </c>
      <c r="IE38" s="163">
        <v>0.34944103736145199</v>
      </c>
    </row>
    <row r="39" spans="1:275" s="142" customFormat="1" ht="12.75" customHeight="1">
      <c r="A39" s="147"/>
      <c r="B39" s="147"/>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c r="AG39" s="164"/>
      <c r="AH39" s="164"/>
      <c r="AI39" s="164"/>
      <c r="AJ39" s="164"/>
      <c r="AK39" s="164"/>
      <c r="AL39" s="164"/>
      <c r="AM39" s="164"/>
      <c r="AN39" s="164"/>
      <c r="AO39" s="164"/>
      <c r="AP39" s="164"/>
      <c r="AQ39" s="164"/>
      <c r="AR39" s="164"/>
      <c r="AS39" s="164"/>
      <c r="AT39" s="164"/>
      <c r="AU39" s="164"/>
      <c r="AV39" s="164"/>
      <c r="AW39" s="164"/>
      <c r="AX39" s="164"/>
      <c r="AY39" s="164"/>
      <c r="AZ39" s="164"/>
      <c r="BA39" s="164"/>
      <c r="BB39" s="164"/>
      <c r="BC39" s="164"/>
      <c r="BD39" s="164"/>
      <c r="BE39" s="164"/>
      <c r="BF39" s="164"/>
      <c r="BG39" s="164"/>
      <c r="BH39" s="164"/>
      <c r="BI39" s="164"/>
      <c r="BJ39" s="164"/>
      <c r="BK39" s="164"/>
      <c r="BL39" s="164"/>
      <c r="BM39" s="164"/>
      <c r="BN39" s="164"/>
      <c r="BO39" s="164"/>
      <c r="BP39" s="164"/>
      <c r="BQ39" s="164"/>
      <c r="BR39" s="164"/>
      <c r="BS39" s="164"/>
      <c r="BT39" s="164"/>
      <c r="BU39" s="164"/>
      <c r="BV39" s="164"/>
      <c r="BW39" s="164"/>
      <c r="BX39" s="164"/>
      <c r="BY39" s="164"/>
      <c r="BZ39" s="164"/>
      <c r="CA39" s="164"/>
      <c r="CB39" s="164"/>
      <c r="CC39" s="164"/>
      <c r="CD39" s="164"/>
      <c r="CE39" s="164"/>
      <c r="CF39" s="164"/>
      <c r="CG39" s="164"/>
      <c r="CH39" s="164"/>
      <c r="CI39" s="164"/>
      <c r="CJ39" s="164"/>
      <c r="CK39" s="164"/>
      <c r="CL39" s="164"/>
      <c r="CM39" s="164"/>
      <c r="CN39" s="164"/>
      <c r="CO39" s="164"/>
      <c r="CP39" s="164"/>
      <c r="CQ39" s="164"/>
      <c r="CR39" s="164"/>
      <c r="CS39" s="164"/>
      <c r="CT39" s="164"/>
      <c r="CU39" s="164"/>
      <c r="CV39" s="164"/>
      <c r="CW39" s="164"/>
      <c r="CX39" s="164"/>
      <c r="CY39" s="164"/>
      <c r="CZ39" s="164"/>
      <c r="DA39" s="164"/>
      <c r="DB39" s="164"/>
      <c r="DC39" s="164"/>
      <c r="DD39" s="164"/>
      <c r="DE39" s="164"/>
      <c r="DF39" s="164"/>
      <c r="DG39" s="164"/>
      <c r="DH39" s="164"/>
      <c r="DI39" s="164"/>
      <c r="DJ39" s="164"/>
      <c r="DK39" s="164"/>
      <c r="DL39" s="164"/>
      <c r="DM39" s="164"/>
      <c r="DN39" s="164"/>
      <c r="DO39" s="164"/>
      <c r="DP39" s="164"/>
      <c r="DQ39" s="164"/>
      <c r="DR39" s="164"/>
      <c r="DS39" s="164"/>
      <c r="DT39" s="164"/>
      <c r="DU39" s="164"/>
      <c r="DV39" s="164"/>
      <c r="DW39" s="164"/>
      <c r="DX39" s="164"/>
      <c r="DY39" s="164"/>
      <c r="DZ39" s="164"/>
      <c r="EA39" s="164"/>
      <c r="EB39" s="164"/>
      <c r="EC39" s="164"/>
      <c r="ED39" s="164"/>
      <c r="EE39" s="164"/>
      <c r="EF39" s="164"/>
      <c r="EG39" s="164"/>
      <c r="EH39" s="164"/>
      <c r="EI39" s="164"/>
      <c r="EJ39" s="164"/>
      <c r="EK39" s="164"/>
      <c r="EL39" s="164"/>
      <c r="EM39" s="164"/>
      <c r="EN39" s="164"/>
      <c r="EO39" s="164"/>
      <c r="EP39" s="164"/>
      <c r="EQ39" s="164"/>
      <c r="ER39" s="164"/>
      <c r="ES39" s="164"/>
      <c r="ET39" s="164"/>
      <c r="EU39" s="164"/>
      <c r="EV39" s="164"/>
      <c r="EW39" s="164"/>
      <c r="EX39" s="164"/>
      <c r="EY39" s="164"/>
      <c r="EZ39" s="164"/>
      <c r="FA39" s="164"/>
      <c r="FB39" s="164"/>
      <c r="FC39" s="164"/>
      <c r="FD39" s="164"/>
      <c r="FE39" s="164"/>
      <c r="FF39" s="164"/>
      <c r="FG39" s="164"/>
      <c r="FH39" s="164"/>
      <c r="FI39" s="164"/>
      <c r="FJ39" s="164"/>
      <c r="FK39" s="164"/>
      <c r="FL39" s="164"/>
      <c r="FM39" s="164"/>
      <c r="FN39" s="164"/>
      <c r="FO39" s="164"/>
      <c r="FP39" s="164"/>
      <c r="FQ39" s="164"/>
      <c r="FR39" s="164"/>
      <c r="FS39" s="164"/>
      <c r="FT39" s="164"/>
      <c r="FU39" s="164"/>
      <c r="FV39" s="164"/>
      <c r="FW39" s="164"/>
      <c r="FX39" s="164"/>
      <c r="FY39" s="164"/>
      <c r="FZ39" s="164"/>
      <c r="GA39" s="164"/>
      <c r="GB39" s="164"/>
      <c r="GC39" s="164"/>
      <c r="GD39" s="164"/>
      <c r="GE39" s="164"/>
      <c r="GF39" s="164"/>
      <c r="GG39" s="164"/>
      <c r="GH39" s="164"/>
      <c r="GI39" s="164"/>
      <c r="GJ39" s="164"/>
      <c r="GK39" s="164"/>
      <c r="GL39" s="164"/>
      <c r="GM39" s="164"/>
      <c r="GN39" s="164"/>
      <c r="GO39" s="164"/>
      <c r="GP39" s="164"/>
      <c r="GQ39" s="164"/>
      <c r="GR39" s="164"/>
      <c r="GS39" s="164"/>
      <c r="GT39" s="164"/>
      <c r="GU39" s="164"/>
      <c r="GV39" s="164"/>
      <c r="GW39" s="164"/>
      <c r="GX39" s="164"/>
      <c r="GY39" s="164"/>
      <c r="GZ39" s="164"/>
      <c r="HA39" s="164"/>
      <c r="HB39" s="164"/>
      <c r="HC39" s="164"/>
      <c r="HD39" s="164"/>
      <c r="HE39" s="164"/>
      <c r="HF39" s="164"/>
      <c r="HG39" s="164"/>
      <c r="HH39" s="164"/>
      <c r="HI39" s="164"/>
      <c r="HJ39" s="164"/>
      <c r="HK39" s="164"/>
      <c r="HL39" s="164"/>
      <c r="HM39" s="164"/>
      <c r="HN39" s="164"/>
      <c r="HO39" s="164"/>
      <c r="HP39" s="164"/>
      <c r="HQ39" s="164"/>
      <c r="HR39" s="164"/>
      <c r="HS39" s="164"/>
      <c r="HT39" s="164"/>
      <c r="HU39" s="164"/>
      <c r="HV39" s="164"/>
      <c r="HW39" s="164"/>
      <c r="HX39" s="164"/>
      <c r="HY39" s="164"/>
      <c r="HZ39" s="164"/>
      <c r="IA39" s="164"/>
      <c r="IB39" s="164"/>
      <c r="IC39" s="164"/>
      <c r="ID39" s="164"/>
      <c r="IE39" s="164"/>
    </row>
    <row r="40" spans="1:275" s="142" customFormat="1" ht="15.75" customHeight="1">
      <c r="A40" s="147" t="s">
        <v>9</v>
      </c>
      <c r="B40" s="147"/>
      <c r="C40" s="160"/>
      <c r="D40" s="160"/>
      <c r="E40" s="160"/>
      <c r="F40" s="160"/>
      <c r="G40" s="160"/>
      <c r="H40" s="160"/>
      <c r="I40" s="160"/>
      <c r="J40" s="160"/>
      <c r="K40" s="160"/>
      <c r="L40" s="160"/>
      <c r="M40" s="160"/>
      <c r="N40" s="160"/>
      <c r="O40" s="160"/>
      <c r="P40" s="160"/>
      <c r="Q40" s="160"/>
      <c r="R40" s="160"/>
      <c r="S40" s="160"/>
      <c r="T40" s="160"/>
      <c r="U40" s="160"/>
      <c r="V40" s="160"/>
      <c r="W40" s="160"/>
      <c r="X40" s="160"/>
      <c r="Y40" s="160"/>
      <c r="Z40" s="160"/>
      <c r="AA40" s="160"/>
      <c r="AB40" s="160"/>
      <c r="AC40" s="160"/>
      <c r="AD40" s="160"/>
      <c r="AE40" s="160"/>
      <c r="AF40" s="160"/>
      <c r="AG40" s="160"/>
      <c r="AH40" s="160"/>
      <c r="AI40" s="160"/>
      <c r="AJ40" s="160"/>
      <c r="AK40" s="160"/>
      <c r="AL40" s="160"/>
      <c r="AM40" s="160"/>
      <c r="AN40" s="160"/>
      <c r="AO40" s="160"/>
      <c r="AP40" s="160"/>
      <c r="AQ40" s="160"/>
      <c r="AR40" s="160"/>
      <c r="AS40" s="160"/>
      <c r="AT40" s="160"/>
      <c r="AU40" s="160"/>
      <c r="AV40" s="160"/>
      <c r="AW40" s="160"/>
      <c r="AX40" s="160"/>
      <c r="AY40" s="160"/>
      <c r="AZ40" s="160"/>
      <c r="BA40" s="160"/>
      <c r="BB40" s="160"/>
      <c r="BC40" s="160"/>
      <c r="BD40" s="160"/>
      <c r="BE40" s="160"/>
      <c r="BF40" s="160"/>
      <c r="BG40" s="160"/>
      <c r="BH40" s="160"/>
      <c r="BI40" s="160"/>
      <c r="BJ40" s="160"/>
      <c r="BK40" s="160"/>
      <c r="BL40" s="160"/>
      <c r="BM40" s="160"/>
      <c r="BN40" s="160"/>
      <c r="BO40" s="160"/>
      <c r="BP40" s="160"/>
      <c r="BQ40" s="160"/>
      <c r="BR40" s="160"/>
      <c r="BS40" s="160"/>
      <c r="BT40" s="160"/>
      <c r="BU40" s="160"/>
      <c r="BV40" s="160"/>
      <c r="BW40" s="160"/>
      <c r="BX40" s="160"/>
      <c r="BY40" s="160"/>
      <c r="BZ40" s="160"/>
      <c r="CA40" s="160"/>
      <c r="CB40" s="160"/>
      <c r="CC40" s="160"/>
      <c r="CD40" s="160"/>
      <c r="CE40" s="160"/>
      <c r="CF40" s="160"/>
      <c r="CG40" s="160"/>
      <c r="CH40" s="160"/>
    </row>
    <row r="41" spans="1:275" s="142" customFormat="1" ht="15.75" customHeight="1">
      <c r="A41" s="165" t="s">
        <v>210</v>
      </c>
      <c r="B41" s="147"/>
    </row>
    <row r="42" spans="1:275" s="142" customFormat="1" ht="15.75" customHeight="1">
      <c r="A42" s="165" t="s">
        <v>211</v>
      </c>
      <c r="B42" s="147"/>
    </row>
    <row r="43" spans="1:275" s="142" customFormat="1" ht="15.75" customHeight="1">
      <c r="A43" s="142" t="s">
        <v>212</v>
      </c>
      <c r="B43" s="147"/>
    </row>
    <row r="44" spans="1:275" s="142" customFormat="1" ht="15.75" customHeight="1">
      <c r="A44" s="165" t="s">
        <v>213</v>
      </c>
      <c r="B44" s="147"/>
    </row>
    <row r="45" spans="1:275" s="142" customFormat="1" ht="15.75" customHeight="1">
      <c r="A45" s="254" t="s">
        <v>20</v>
      </c>
      <c r="B45" s="254"/>
      <c r="C45" s="254"/>
      <c r="D45" s="254"/>
      <c r="E45" s="254"/>
      <c r="F45" s="254"/>
      <c r="G45" s="254"/>
      <c r="H45" s="254"/>
      <c r="I45" s="254"/>
      <c r="J45" s="254"/>
      <c r="K45" s="254"/>
      <c r="L45" s="254"/>
      <c r="M45" s="254"/>
      <c r="N45" s="254"/>
      <c r="O45" s="254"/>
      <c r="P45" s="254"/>
      <c r="Q45" s="254"/>
      <c r="R45" s="254"/>
      <c r="S45" s="254"/>
      <c r="T45" s="254"/>
      <c r="U45" s="254"/>
      <c r="V45" s="254"/>
      <c r="W45" s="254"/>
      <c r="X45" s="254"/>
      <c r="Y45" s="254"/>
      <c r="Z45" s="254"/>
      <c r="AA45" s="254"/>
      <c r="AB45" s="254"/>
      <c r="AC45" s="254"/>
      <c r="AD45" s="254"/>
      <c r="AE45" s="254"/>
      <c r="AF45" s="254"/>
      <c r="AG45" s="254"/>
      <c r="AH45" s="254"/>
      <c r="AI45" s="254"/>
      <c r="AJ45" s="254"/>
      <c r="AK45" s="254"/>
      <c r="AL45" s="254"/>
      <c r="AM45" s="254"/>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c r="BL45" s="254"/>
      <c r="BM45" s="254"/>
      <c r="BN45" s="254"/>
      <c r="BO45" s="254"/>
      <c r="BP45" s="254"/>
      <c r="BQ45" s="254"/>
      <c r="BR45" s="254"/>
      <c r="BS45" s="254"/>
      <c r="BT45" s="254"/>
      <c r="BU45" s="254"/>
      <c r="BV45" s="254"/>
      <c r="BW45" s="254"/>
      <c r="BX45" s="254"/>
      <c r="BY45" s="254"/>
      <c r="BZ45" s="254"/>
      <c r="CA45" s="254"/>
      <c r="CB45" s="254"/>
      <c r="CC45" s="254"/>
      <c r="CD45" s="254"/>
      <c r="CE45" s="254"/>
      <c r="CF45" s="254"/>
      <c r="CG45" s="254"/>
      <c r="CH45" s="254"/>
      <c r="CI45" s="254"/>
      <c r="CJ45" s="254"/>
      <c r="CK45" s="254"/>
      <c r="CL45" s="254"/>
      <c r="CM45" s="254"/>
      <c r="CN45" s="254"/>
      <c r="CO45" s="254"/>
      <c r="CP45" s="254"/>
      <c r="CQ45" s="254"/>
      <c r="CR45" s="254"/>
      <c r="CS45" s="254"/>
      <c r="CT45" s="254"/>
      <c r="CU45" s="254"/>
      <c r="CV45" s="254"/>
      <c r="CW45" s="254"/>
      <c r="CX45" s="254"/>
      <c r="CY45" s="254"/>
      <c r="CZ45" s="254"/>
      <c r="DA45" s="254"/>
      <c r="DB45" s="254"/>
      <c r="DC45" s="254"/>
      <c r="DD45" s="254"/>
      <c r="DE45" s="254"/>
      <c r="DF45" s="254"/>
      <c r="DG45" s="254"/>
      <c r="DH45" s="254"/>
      <c r="DI45" s="254"/>
      <c r="DJ45" s="254"/>
      <c r="DK45" s="254"/>
      <c r="DL45" s="254"/>
      <c r="DM45" s="254"/>
      <c r="DN45" s="254"/>
      <c r="DO45" s="254"/>
      <c r="DP45" s="254"/>
      <c r="DQ45" s="254"/>
      <c r="DR45" s="254"/>
      <c r="DS45" s="254"/>
      <c r="DT45" s="254"/>
      <c r="DU45" s="254"/>
      <c r="DV45" s="254"/>
      <c r="DW45" s="254"/>
      <c r="DX45" s="254"/>
      <c r="DY45" s="254"/>
      <c r="DZ45" s="254"/>
      <c r="EA45" s="254"/>
      <c r="EB45" s="254"/>
      <c r="EC45" s="254"/>
      <c r="ED45" s="254"/>
      <c r="EE45" s="254"/>
      <c r="EF45" s="166"/>
      <c r="EG45" s="166"/>
      <c r="EH45" s="166"/>
      <c r="EI45" s="166"/>
      <c r="EJ45" s="166"/>
      <c r="EK45" s="166"/>
      <c r="EL45" s="166"/>
      <c r="EM45" s="166"/>
      <c r="EN45" s="166"/>
      <c r="EO45" s="166"/>
      <c r="EP45" s="166"/>
      <c r="EQ45" s="166"/>
      <c r="ER45" s="166"/>
      <c r="ES45" s="166"/>
      <c r="ET45" s="166"/>
      <c r="EU45" s="166"/>
      <c r="EV45" s="166"/>
      <c r="EW45" s="166"/>
      <c r="EX45" s="166"/>
      <c r="EY45" s="166"/>
      <c r="EZ45" s="166"/>
      <c r="FA45" s="166"/>
      <c r="FB45" s="166"/>
      <c r="FC45" s="166"/>
      <c r="FD45" s="166"/>
      <c r="FE45" s="166"/>
      <c r="FF45" s="166"/>
      <c r="FG45" s="166"/>
      <c r="FH45" s="166"/>
      <c r="FI45" s="166"/>
      <c r="FJ45" s="166"/>
      <c r="FK45" s="166"/>
      <c r="FL45" s="166"/>
      <c r="FM45" s="166"/>
      <c r="FN45" s="166"/>
      <c r="FO45" s="166"/>
      <c r="FP45" s="166"/>
      <c r="FQ45" s="166"/>
      <c r="FR45" s="166"/>
      <c r="FS45" s="166"/>
      <c r="FT45" s="166"/>
      <c r="FU45" s="166"/>
      <c r="FV45" s="166"/>
      <c r="FW45" s="166"/>
      <c r="FX45" s="166"/>
      <c r="FY45" s="166"/>
      <c r="FZ45" s="166"/>
      <c r="GA45" s="166"/>
      <c r="GB45" s="166"/>
      <c r="GC45" s="166"/>
      <c r="GD45" s="166"/>
      <c r="GE45" s="166"/>
      <c r="GF45" s="166"/>
      <c r="GG45" s="166"/>
      <c r="GH45" s="166"/>
      <c r="GI45" s="166"/>
      <c r="GJ45" s="166"/>
      <c r="GK45" s="166"/>
      <c r="GL45" s="166"/>
      <c r="GM45" s="166"/>
      <c r="GN45" s="166"/>
      <c r="GO45" s="166"/>
      <c r="GP45" s="166"/>
      <c r="GQ45" s="166"/>
      <c r="GR45" s="166"/>
      <c r="GS45" s="166"/>
      <c r="GT45" s="166"/>
      <c r="GU45" s="166"/>
      <c r="GV45" s="166"/>
      <c r="GW45" s="166"/>
      <c r="GX45" s="166"/>
      <c r="GY45" s="166"/>
      <c r="GZ45" s="166"/>
      <c r="HA45" s="166"/>
      <c r="HB45" s="166"/>
      <c r="HC45" s="166"/>
      <c r="HD45" s="166"/>
      <c r="HE45" s="166"/>
      <c r="HF45" s="166"/>
      <c r="HG45" s="166"/>
      <c r="HH45" s="166"/>
      <c r="HI45" s="166"/>
      <c r="HJ45" s="166"/>
      <c r="HK45" s="166"/>
      <c r="HL45" s="166"/>
      <c r="HM45" s="166"/>
      <c r="HN45" s="166"/>
      <c r="HO45" s="166"/>
      <c r="HP45" s="166"/>
      <c r="HQ45" s="166"/>
      <c r="HR45" s="166"/>
      <c r="HS45" s="166"/>
      <c r="HT45" s="166"/>
      <c r="HU45" s="166"/>
      <c r="HV45" s="166"/>
      <c r="HW45" s="209"/>
      <c r="HX45" s="209"/>
      <c r="HY45" s="210"/>
      <c r="HZ45" s="212"/>
      <c r="IA45" s="212"/>
      <c r="IB45" s="212"/>
      <c r="IC45" s="223"/>
      <c r="ID45" s="223"/>
      <c r="IE45" s="223"/>
      <c r="IF45" s="167"/>
      <c r="IG45" s="167"/>
      <c r="IH45" s="167"/>
      <c r="II45" s="167"/>
      <c r="IJ45" s="167"/>
      <c r="IK45" s="167"/>
      <c r="IL45" s="167"/>
      <c r="IM45" s="167"/>
      <c r="IN45" s="167"/>
      <c r="IO45" s="167"/>
      <c r="IP45" s="167"/>
      <c r="IQ45" s="167"/>
      <c r="IR45" s="167"/>
      <c r="IS45" s="167"/>
      <c r="IT45" s="167"/>
      <c r="IU45" s="167"/>
      <c r="IV45" s="167"/>
      <c r="IW45" s="167"/>
      <c r="IX45" s="167"/>
      <c r="IY45" s="167"/>
      <c r="IZ45" s="167"/>
      <c r="JA45" s="167"/>
      <c r="JB45" s="167"/>
      <c r="JC45" s="167"/>
      <c r="JD45" s="167"/>
      <c r="JE45" s="167"/>
      <c r="JF45" s="167"/>
      <c r="JG45" s="167"/>
      <c r="JH45" s="167"/>
      <c r="JI45" s="167"/>
      <c r="JJ45" s="167"/>
      <c r="JK45" s="167"/>
      <c r="JL45" s="167"/>
      <c r="JM45" s="167"/>
      <c r="JN45" s="167"/>
      <c r="JO45" s="167"/>
    </row>
    <row r="46" spans="1:275" s="142" customFormat="1">
      <c r="A46" s="147"/>
    </row>
    <row r="47" spans="1:275" s="142" customFormat="1">
      <c r="A47" s="147"/>
    </row>
    <row r="48" spans="1:275" s="142" customFormat="1">
      <c r="A48" s="147"/>
    </row>
    <row r="49" spans="1:2" s="142" customFormat="1" hidden="1">
      <c r="A49" s="147"/>
      <c r="B49" s="147"/>
    </row>
    <row r="50" spans="1:2" hidden="1"/>
    <row r="51" spans="1:2" hidden="1"/>
    <row r="52" spans="1:2" hidden="1"/>
    <row r="53" spans="1:2" hidden="1"/>
    <row r="54" spans="1:2" hidden="1"/>
    <row r="55" spans="1:2" hidden="1"/>
    <row r="56" spans="1:2" hidden="1"/>
    <row r="57" spans="1:2" hidden="1"/>
    <row r="58" spans="1:2" hidden="1"/>
    <row r="59" spans="1:2" hidden="1"/>
    <row r="60" spans="1:2" hidden="1"/>
    <row r="61" spans="1:2" hidden="1"/>
    <row r="62" spans="1:2" hidden="1"/>
    <row r="63" spans="1:2" hidden="1"/>
    <row r="64" spans="1:2" hidden="1"/>
    <row r="65" spans="220:220" hidden="1"/>
    <row r="66" spans="220:220" hidden="1"/>
    <row r="67" spans="220:220" hidden="1"/>
    <row r="68" spans="220:220" hidden="1"/>
    <row r="69" spans="220:220" hidden="1"/>
    <row r="70" spans="220:220" hidden="1"/>
    <row r="71" spans="220:220" hidden="1"/>
    <row r="72" spans="220:220" hidden="1">
      <c r="HL72" s="133">
        <v>0</v>
      </c>
    </row>
    <row r="73" spans="220:220" hidden="1">
      <c r="HL73" s="133">
        <v>0</v>
      </c>
    </row>
    <row r="74" spans="220:220" hidden="1">
      <c r="HL74" s="133">
        <v>0</v>
      </c>
    </row>
    <row r="75" spans="220:220" hidden="1">
      <c r="HL75" s="133">
        <v>-6</v>
      </c>
    </row>
    <row r="76" spans="220:220" hidden="1">
      <c r="HL76" s="133">
        <v>0</v>
      </c>
    </row>
  </sheetData>
  <mergeCells count="3">
    <mergeCell ref="A2:EE2"/>
    <mergeCell ref="A3:B3"/>
    <mergeCell ref="A45:EE45"/>
  </mergeCells>
  <printOptions horizontalCentered="1" verticalCentered="1"/>
  <pageMargins left="0.59055118110236227" right="0.59055118110236227" top="0.59055118110236227" bottom="0.59055118110236227" header="0" footer="0"/>
  <pageSetup paperSize="5" scale="85" orientation="landscape" r:id="rId1"/>
  <headerFooter alignWithMargins="0"/>
</worksheet>
</file>

<file path=xl/worksheets/sheet7.xml><?xml version="1.0" encoding="utf-8"?>
<worksheet xmlns="http://schemas.openxmlformats.org/spreadsheetml/2006/main" xmlns:r="http://schemas.openxmlformats.org/officeDocument/2006/relationships">
  <sheetPr codeName="Hoja7">
    <tabColor theme="3"/>
    <pageSetUpPr fitToPage="1"/>
  </sheetPr>
  <dimension ref="A1:AO414"/>
  <sheetViews>
    <sheetView showGridLines="0" zoomScaleNormal="100" workbookViewId="0">
      <pane xSplit="1" ySplit="5" topLeftCell="B369" activePane="bottomRight" state="frozen"/>
      <selection activeCell="H27" sqref="H27"/>
      <selection pane="topRight" activeCell="H27" sqref="H27"/>
      <selection pane="bottomLeft" activeCell="H27" sqref="H27"/>
      <selection pane="bottomRight" activeCell="A372" sqref="A372:XFD372"/>
    </sheetView>
  </sheetViews>
  <sheetFormatPr baseColWidth="10" defaultColWidth="0" defaultRowHeight="12" zeroHeight="1"/>
  <cols>
    <col min="1" max="1" width="16.140625" style="169" customWidth="1"/>
    <col min="2" max="2" width="13.28515625" style="169" customWidth="1"/>
    <col min="3" max="3" width="11.42578125" style="169" customWidth="1"/>
    <col min="4" max="4" width="10" style="169" bestFit="1" customWidth="1"/>
    <col min="5" max="5" width="13.28515625" style="169" customWidth="1"/>
    <col min="6" max="6" width="10.5703125" style="169" bestFit="1" customWidth="1"/>
    <col min="7" max="7" width="10" style="169" bestFit="1" customWidth="1"/>
    <col min="8" max="8" width="13.28515625" style="169" customWidth="1"/>
    <col min="9" max="9" width="10.5703125" style="169" bestFit="1" customWidth="1"/>
    <col min="10" max="10" width="9.42578125" style="169" bestFit="1" customWidth="1"/>
    <col min="11" max="11" width="13.28515625" style="169" customWidth="1"/>
    <col min="12" max="12" width="10.5703125" style="169" bestFit="1" customWidth="1"/>
    <col min="13" max="13" width="9.42578125" style="169" bestFit="1" customWidth="1"/>
    <col min="14" max="14" width="13.28515625" style="169" customWidth="1"/>
    <col min="15" max="15" width="10.5703125" style="169" bestFit="1" customWidth="1"/>
    <col min="16" max="16" width="9.42578125" style="169" bestFit="1" customWidth="1"/>
    <col min="17" max="17" width="13.28515625" style="169" customWidth="1"/>
    <col min="18" max="18" width="10.5703125" style="169" bestFit="1" customWidth="1"/>
    <col min="19" max="19" width="9" style="169" bestFit="1" customWidth="1"/>
    <col min="20" max="20" width="13.28515625" style="169" customWidth="1"/>
    <col min="21" max="21" width="10.5703125" style="169" bestFit="1" customWidth="1"/>
    <col min="22" max="22" width="9.42578125" style="169" bestFit="1" customWidth="1"/>
    <col min="23" max="23" width="13.28515625" style="169" customWidth="1"/>
    <col min="24" max="24" width="10.5703125" style="169" bestFit="1" customWidth="1"/>
    <col min="25" max="25" width="9" style="169" bestFit="1" customWidth="1"/>
    <col min="26" max="26" width="13.28515625" style="169" customWidth="1"/>
    <col min="27" max="27" width="10.5703125" style="169" bestFit="1" customWidth="1"/>
    <col min="28" max="28" width="9" style="169" bestFit="1" customWidth="1"/>
    <col min="29" max="29" width="13.28515625" style="169" customWidth="1"/>
    <col min="30" max="30" width="10.5703125" style="169" bestFit="1" customWidth="1"/>
    <col min="31" max="31" width="9" style="169" bestFit="1" customWidth="1"/>
    <col min="32" max="32" width="13.28515625" style="169" customWidth="1"/>
    <col min="33" max="33" width="10.5703125" style="169" bestFit="1" customWidth="1"/>
    <col min="34" max="34" width="9" style="169" bestFit="1" customWidth="1"/>
    <col min="35" max="35" width="13.28515625" style="169" customWidth="1"/>
    <col min="36" max="36" width="10.5703125" style="169" bestFit="1" customWidth="1"/>
    <col min="37" max="37" width="9" style="169" bestFit="1" customWidth="1"/>
    <col min="38" max="41" width="11.42578125" style="169" customWidth="1"/>
    <col min="42" max="16384" width="11.42578125" style="169" hidden="1"/>
  </cols>
  <sheetData>
    <row r="1" spans="1:37" ht="18.75" customHeight="1">
      <c r="A1" s="258" t="s">
        <v>10</v>
      </c>
      <c r="B1" s="258"/>
      <c r="C1" s="258"/>
      <c r="D1" s="258"/>
      <c r="E1" s="258"/>
      <c r="F1" s="258"/>
      <c r="G1" s="258"/>
    </row>
    <row r="2" spans="1:37" s="170" customFormat="1" ht="29.25" customHeight="1">
      <c r="A2" s="259" t="s">
        <v>214</v>
      </c>
      <c r="B2" s="259"/>
      <c r="C2" s="259"/>
      <c r="D2" s="259"/>
      <c r="E2" s="259"/>
      <c r="F2" s="259"/>
      <c r="G2" s="259"/>
      <c r="H2" s="259"/>
      <c r="I2" s="259"/>
      <c r="J2" s="259"/>
      <c r="K2" s="259"/>
      <c r="L2" s="259"/>
      <c r="M2" s="259"/>
      <c r="N2" s="259"/>
      <c r="O2" s="259"/>
      <c r="P2" s="259"/>
      <c r="Q2" s="259"/>
      <c r="R2" s="259"/>
      <c r="S2" s="259"/>
      <c r="T2" s="259"/>
      <c r="U2" s="259"/>
      <c r="V2" s="259"/>
      <c r="W2" s="259"/>
      <c r="X2" s="259"/>
      <c r="Y2" s="259"/>
      <c r="Z2" s="259"/>
      <c r="AA2" s="259"/>
      <c r="AB2" s="259"/>
      <c r="AC2" s="259"/>
      <c r="AD2" s="259"/>
      <c r="AE2" s="259"/>
      <c r="AF2" s="259"/>
      <c r="AG2" s="259"/>
      <c r="AH2" s="259"/>
      <c r="AI2" s="259"/>
      <c r="AJ2" s="259"/>
      <c r="AK2" s="259"/>
    </row>
    <row r="3" spans="1:37" s="172" customFormat="1" ht="29.25" customHeight="1" thickBot="1">
      <c r="A3" s="171" t="s">
        <v>215</v>
      </c>
      <c r="B3" s="260" t="s">
        <v>216</v>
      </c>
      <c r="C3" s="261"/>
      <c r="D3" s="261"/>
      <c r="E3" s="260" t="s">
        <v>217</v>
      </c>
      <c r="F3" s="261"/>
      <c r="G3" s="261"/>
      <c r="H3" s="260" t="s">
        <v>218</v>
      </c>
      <c r="I3" s="261"/>
      <c r="J3" s="261"/>
      <c r="K3" s="260" t="s">
        <v>219</v>
      </c>
      <c r="L3" s="261"/>
      <c r="M3" s="261"/>
      <c r="N3" s="260" t="s">
        <v>220</v>
      </c>
      <c r="O3" s="261"/>
      <c r="P3" s="261"/>
      <c r="Q3" s="260" t="s">
        <v>221</v>
      </c>
      <c r="R3" s="261"/>
      <c r="S3" s="261"/>
      <c r="T3" s="260" t="s">
        <v>222</v>
      </c>
      <c r="U3" s="261"/>
      <c r="V3" s="261"/>
      <c r="W3" s="260" t="s">
        <v>223</v>
      </c>
      <c r="X3" s="261"/>
      <c r="Y3" s="261"/>
      <c r="Z3" s="260" t="s">
        <v>224</v>
      </c>
      <c r="AA3" s="261"/>
      <c r="AB3" s="261"/>
      <c r="AC3" s="260" t="s">
        <v>225</v>
      </c>
      <c r="AD3" s="261"/>
      <c r="AE3" s="261"/>
      <c r="AF3" s="260" t="s">
        <v>226</v>
      </c>
      <c r="AG3" s="261"/>
      <c r="AH3" s="261"/>
      <c r="AI3" s="260" t="s">
        <v>227</v>
      </c>
      <c r="AJ3" s="261"/>
      <c r="AK3" s="262"/>
    </row>
    <row r="4" spans="1:37" s="175" customFormat="1" ht="49.5" customHeight="1" thickBot="1">
      <c r="A4" s="173"/>
      <c r="B4" s="174" t="s">
        <v>3</v>
      </c>
      <c r="C4" s="255" t="s">
        <v>4</v>
      </c>
      <c r="D4" s="255"/>
      <c r="E4" s="174" t="s">
        <v>3</v>
      </c>
      <c r="F4" s="255" t="s">
        <v>4</v>
      </c>
      <c r="G4" s="255"/>
      <c r="H4" s="174" t="s">
        <v>3</v>
      </c>
      <c r="I4" s="255" t="s">
        <v>4</v>
      </c>
      <c r="J4" s="255"/>
      <c r="K4" s="174" t="s">
        <v>3</v>
      </c>
      <c r="L4" s="255" t="s">
        <v>4</v>
      </c>
      <c r="M4" s="255"/>
      <c r="N4" s="174" t="s">
        <v>228</v>
      </c>
      <c r="O4" s="255" t="s">
        <v>4</v>
      </c>
      <c r="P4" s="255"/>
      <c r="Q4" s="174" t="s">
        <v>229</v>
      </c>
      <c r="R4" s="255" t="s">
        <v>4</v>
      </c>
      <c r="S4" s="255"/>
      <c r="T4" s="174" t="s">
        <v>230</v>
      </c>
      <c r="U4" s="255" t="s">
        <v>4</v>
      </c>
      <c r="V4" s="255"/>
      <c r="W4" s="174" t="s">
        <v>231</v>
      </c>
      <c r="X4" s="255" t="s">
        <v>4</v>
      </c>
      <c r="Y4" s="255"/>
      <c r="Z4" s="174" t="s">
        <v>232</v>
      </c>
      <c r="AA4" s="255" t="s">
        <v>4</v>
      </c>
      <c r="AB4" s="255"/>
      <c r="AC4" s="174" t="s">
        <v>233</v>
      </c>
      <c r="AD4" s="255" t="s">
        <v>4</v>
      </c>
      <c r="AE4" s="255"/>
      <c r="AF4" s="174" t="s">
        <v>234</v>
      </c>
      <c r="AG4" s="255" t="s">
        <v>4</v>
      </c>
      <c r="AH4" s="255"/>
      <c r="AI4" s="174" t="s">
        <v>234</v>
      </c>
      <c r="AJ4" s="255" t="s">
        <v>4</v>
      </c>
      <c r="AK4" s="257"/>
    </row>
    <row r="5" spans="1:37" s="175" customFormat="1" ht="27" customHeight="1" thickBot="1">
      <c r="A5" s="176" t="s">
        <v>0</v>
      </c>
      <c r="B5" s="177"/>
      <c r="C5" s="176" t="s">
        <v>5</v>
      </c>
      <c r="D5" s="176" t="s">
        <v>6</v>
      </c>
      <c r="E5" s="177"/>
      <c r="F5" s="176" t="s">
        <v>5</v>
      </c>
      <c r="G5" s="176" t="s">
        <v>6</v>
      </c>
      <c r="H5" s="177"/>
      <c r="I5" s="176" t="s">
        <v>5</v>
      </c>
      <c r="J5" s="176" t="s">
        <v>6</v>
      </c>
      <c r="K5" s="177"/>
      <c r="L5" s="176" t="s">
        <v>5</v>
      </c>
      <c r="M5" s="176" t="s">
        <v>6</v>
      </c>
      <c r="N5" s="177"/>
      <c r="O5" s="176" t="s">
        <v>5</v>
      </c>
      <c r="P5" s="176" t="s">
        <v>6</v>
      </c>
      <c r="Q5" s="177"/>
      <c r="R5" s="176" t="s">
        <v>5</v>
      </c>
      <c r="S5" s="176" t="s">
        <v>6</v>
      </c>
      <c r="T5" s="177"/>
      <c r="U5" s="176" t="s">
        <v>5</v>
      </c>
      <c r="V5" s="176" t="s">
        <v>6</v>
      </c>
      <c r="W5" s="177"/>
      <c r="X5" s="176" t="s">
        <v>5</v>
      </c>
      <c r="Y5" s="176" t="s">
        <v>6</v>
      </c>
      <c r="Z5" s="177"/>
      <c r="AA5" s="176" t="s">
        <v>5</v>
      </c>
      <c r="AB5" s="176" t="s">
        <v>6</v>
      </c>
      <c r="AC5" s="177"/>
      <c r="AD5" s="176" t="s">
        <v>5</v>
      </c>
      <c r="AE5" s="176" t="s">
        <v>6</v>
      </c>
      <c r="AF5" s="177"/>
      <c r="AG5" s="176" t="s">
        <v>5</v>
      </c>
      <c r="AH5" s="176" t="s">
        <v>6</v>
      </c>
      <c r="AI5" s="177"/>
      <c r="AJ5" s="176" t="s">
        <v>5</v>
      </c>
      <c r="AK5" s="178" t="s">
        <v>6</v>
      </c>
    </row>
    <row r="6" spans="1:37" ht="15.75" customHeight="1">
      <c r="A6" s="179">
        <v>35034</v>
      </c>
      <c r="B6" s="180">
        <v>100.19293396456241</v>
      </c>
      <c r="C6" s="181"/>
      <c r="D6" s="182"/>
      <c r="E6" s="180" t="s">
        <v>8</v>
      </c>
      <c r="F6" s="181" t="s">
        <v>8</v>
      </c>
      <c r="G6" s="182" t="s">
        <v>8</v>
      </c>
      <c r="H6" s="180" t="s">
        <v>8</v>
      </c>
      <c r="I6" s="181" t="s">
        <v>8</v>
      </c>
      <c r="J6" s="182" t="s">
        <v>8</v>
      </c>
      <c r="K6" s="180" t="s">
        <v>8</v>
      </c>
      <c r="L6" s="181" t="s">
        <v>8</v>
      </c>
      <c r="M6" s="182" t="s">
        <v>8</v>
      </c>
      <c r="N6" s="180" t="s">
        <v>8</v>
      </c>
      <c r="O6" s="181" t="s">
        <v>8</v>
      </c>
      <c r="P6" s="182" t="s">
        <v>8</v>
      </c>
      <c r="Q6" s="180" t="s">
        <v>8</v>
      </c>
      <c r="R6" s="181" t="s">
        <v>8</v>
      </c>
      <c r="S6" s="182" t="s">
        <v>8</v>
      </c>
      <c r="T6" s="180" t="s">
        <v>8</v>
      </c>
      <c r="U6" s="181" t="s">
        <v>8</v>
      </c>
      <c r="V6" s="182" t="s">
        <v>8</v>
      </c>
      <c r="W6" s="180" t="s">
        <v>8</v>
      </c>
      <c r="X6" s="181" t="s">
        <v>8</v>
      </c>
      <c r="Y6" s="182" t="s">
        <v>8</v>
      </c>
      <c r="Z6" s="180" t="s">
        <v>8</v>
      </c>
      <c r="AA6" s="181" t="s">
        <v>8</v>
      </c>
      <c r="AB6" s="182" t="s">
        <v>8</v>
      </c>
      <c r="AC6" s="180" t="s">
        <v>8</v>
      </c>
      <c r="AD6" s="181" t="s">
        <v>8</v>
      </c>
      <c r="AE6" s="182" t="s">
        <v>8</v>
      </c>
      <c r="AF6" s="180" t="s">
        <v>8</v>
      </c>
      <c r="AG6" s="181" t="s">
        <v>8</v>
      </c>
      <c r="AH6" s="182" t="s">
        <v>8</v>
      </c>
      <c r="AI6" s="180" t="s">
        <v>8</v>
      </c>
      <c r="AJ6" s="181" t="s">
        <v>8</v>
      </c>
      <c r="AK6" s="183" t="s">
        <v>8</v>
      </c>
    </row>
    <row r="7" spans="1:37" ht="15.75" customHeight="1">
      <c r="A7" s="179">
        <v>35065</v>
      </c>
      <c r="B7" s="180">
        <v>99.93243233625455</v>
      </c>
      <c r="C7" s="181">
        <v>-2.6000000000000467E-3</v>
      </c>
      <c r="D7" s="181" t="s">
        <v>8</v>
      </c>
      <c r="E7" s="180" t="s">
        <v>8</v>
      </c>
      <c r="F7" s="181" t="s">
        <v>8</v>
      </c>
      <c r="G7" s="182" t="s">
        <v>8</v>
      </c>
      <c r="H7" s="180" t="s">
        <v>8</v>
      </c>
      <c r="I7" s="181" t="s">
        <v>8</v>
      </c>
      <c r="J7" s="182" t="s">
        <v>8</v>
      </c>
      <c r="K7" s="180" t="s">
        <v>8</v>
      </c>
      <c r="L7" s="181" t="s">
        <v>8</v>
      </c>
      <c r="M7" s="182" t="s">
        <v>8</v>
      </c>
      <c r="N7" s="180" t="s">
        <v>8</v>
      </c>
      <c r="O7" s="181" t="s">
        <v>8</v>
      </c>
      <c r="P7" s="182" t="s">
        <v>8</v>
      </c>
      <c r="Q7" s="180" t="s">
        <v>8</v>
      </c>
      <c r="R7" s="181" t="s">
        <v>8</v>
      </c>
      <c r="S7" s="182" t="s">
        <v>8</v>
      </c>
      <c r="T7" s="180" t="s">
        <v>8</v>
      </c>
      <c r="U7" s="181" t="s">
        <v>8</v>
      </c>
      <c r="V7" s="182" t="s">
        <v>8</v>
      </c>
      <c r="W7" s="180" t="s">
        <v>8</v>
      </c>
      <c r="X7" s="181" t="s">
        <v>8</v>
      </c>
      <c r="Y7" s="182" t="s">
        <v>8</v>
      </c>
      <c r="Z7" s="180" t="s">
        <v>8</v>
      </c>
      <c r="AA7" s="181" t="s">
        <v>8</v>
      </c>
      <c r="AB7" s="182" t="s">
        <v>8</v>
      </c>
      <c r="AC7" s="180" t="s">
        <v>8</v>
      </c>
      <c r="AD7" s="181" t="s">
        <v>8</v>
      </c>
      <c r="AE7" s="182" t="s">
        <v>8</v>
      </c>
      <c r="AF7" s="180" t="s">
        <v>8</v>
      </c>
      <c r="AG7" s="181" t="s">
        <v>8</v>
      </c>
      <c r="AH7" s="182" t="s">
        <v>8</v>
      </c>
      <c r="AI7" s="180" t="s">
        <v>8</v>
      </c>
      <c r="AJ7" s="181" t="s">
        <v>8</v>
      </c>
      <c r="AK7" s="183" t="s">
        <v>8</v>
      </c>
    </row>
    <row r="8" spans="1:37" ht="15.75" customHeight="1">
      <c r="A8" s="179">
        <v>35096</v>
      </c>
      <c r="B8" s="180">
        <v>99.651892121153779</v>
      </c>
      <c r="C8" s="181">
        <v>-2.8072989773411106E-3</v>
      </c>
      <c r="D8" s="181" t="s">
        <v>8</v>
      </c>
      <c r="E8" s="180" t="s">
        <v>8</v>
      </c>
      <c r="F8" s="181" t="s">
        <v>8</v>
      </c>
      <c r="G8" s="182" t="s">
        <v>8</v>
      </c>
      <c r="H8" s="180" t="s">
        <v>8</v>
      </c>
      <c r="I8" s="181" t="s">
        <v>8</v>
      </c>
      <c r="J8" s="182" t="s">
        <v>8</v>
      </c>
      <c r="K8" s="180" t="s">
        <v>8</v>
      </c>
      <c r="L8" s="181" t="s">
        <v>8</v>
      </c>
      <c r="M8" s="182" t="s">
        <v>8</v>
      </c>
      <c r="N8" s="180" t="s">
        <v>8</v>
      </c>
      <c r="O8" s="181" t="s">
        <v>8</v>
      </c>
      <c r="P8" s="182" t="s">
        <v>8</v>
      </c>
      <c r="Q8" s="180" t="s">
        <v>8</v>
      </c>
      <c r="R8" s="181" t="s">
        <v>8</v>
      </c>
      <c r="S8" s="182" t="s">
        <v>8</v>
      </c>
      <c r="T8" s="180" t="s">
        <v>8</v>
      </c>
      <c r="U8" s="181" t="s">
        <v>8</v>
      </c>
      <c r="V8" s="182" t="s">
        <v>8</v>
      </c>
      <c r="W8" s="180" t="s">
        <v>8</v>
      </c>
      <c r="X8" s="181" t="s">
        <v>8</v>
      </c>
      <c r="Y8" s="182" t="s">
        <v>8</v>
      </c>
      <c r="Z8" s="180" t="s">
        <v>8</v>
      </c>
      <c r="AA8" s="181" t="s">
        <v>8</v>
      </c>
      <c r="AB8" s="182" t="s">
        <v>8</v>
      </c>
      <c r="AC8" s="180" t="s">
        <v>8</v>
      </c>
      <c r="AD8" s="181" t="s">
        <v>8</v>
      </c>
      <c r="AE8" s="182" t="s">
        <v>8</v>
      </c>
      <c r="AF8" s="180" t="s">
        <v>8</v>
      </c>
      <c r="AG8" s="181" t="s">
        <v>8</v>
      </c>
      <c r="AH8" s="182" t="s">
        <v>8</v>
      </c>
      <c r="AI8" s="180" t="s">
        <v>8</v>
      </c>
      <c r="AJ8" s="181" t="s">
        <v>8</v>
      </c>
      <c r="AK8" s="183" t="s">
        <v>8</v>
      </c>
    </row>
    <row r="9" spans="1:37" ht="15.75" customHeight="1">
      <c r="A9" s="179">
        <v>35125</v>
      </c>
      <c r="B9" s="180">
        <v>99.311236145674272</v>
      </c>
      <c r="C9" s="181">
        <v>-3.4184596822842694E-3</v>
      </c>
      <c r="D9" s="181" t="s">
        <v>8</v>
      </c>
      <c r="E9" s="180" t="s">
        <v>8</v>
      </c>
      <c r="F9" s="181" t="s">
        <v>8</v>
      </c>
      <c r="G9" s="182" t="s">
        <v>8</v>
      </c>
      <c r="H9" s="180" t="s">
        <v>8</v>
      </c>
      <c r="I9" s="181" t="s">
        <v>8</v>
      </c>
      <c r="J9" s="182" t="s">
        <v>8</v>
      </c>
      <c r="K9" s="180" t="s">
        <v>8</v>
      </c>
      <c r="L9" s="181" t="s">
        <v>8</v>
      </c>
      <c r="M9" s="182" t="s">
        <v>8</v>
      </c>
      <c r="N9" s="180" t="s">
        <v>8</v>
      </c>
      <c r="O9" s="181" t="s">
        <v>8</v>
      </c>
      <c r="P9" s="182" t="s">
        <v>8</v>
      </c>
      <c r="Q9" s="180" t="s">
        <v>8</v>
      </c>
      <c r="R9" s="181" t="s">
        <v>8</v>
      </c>
      <c r="S9" s="182" t="s">
        <v>8</v>
      </c>
      <c r="T9" s="180" t="s">
        <v>8</v>
      </c>
      <c r="U9" s="181" t="s">
        <v>8</v>
      </c>
      <c r="V9" s="182" t="s">
        <v>8</v>
      </c>
      <c r="W9" s="180" t="s">
        <v>8</v>
      </c>
      <c r="X9" s="181" t="s">
        <v>8</v>
      </c>
      <c r="Y9" s="182" t="s">
        <v>8</v>
      </c>
      <c r="Z9" s="180" t="s">
        <v>8</v>
      </c>
      <c r="AA9" s="181" t="s">
        <v>8</v>
      </c>
      <c r="AB9" s="182" t="s">
        <v>8</v>
      </c>
      <c r="AC9" s="180" t="s">
        <v>8</v>
      </c>
      <c r="AD9" s="181" t="s">
        <v>8</v>
      </c>
      <c r="AE9" s="182" t="s">
        <v>8</v>
      </c>
      <c r="AF9" s="180" t="s">
        <v>8</v>
      </c>
      <c r="AG9" s="181" t="s">
        <v>8</v>
      </c>
      <c r="AH9" s="182" t="s">
        <v>8</v>
      </c>
      <c r="AI9" s="180" t="s">
        <v>8</v>
      </c>
      <c r="AJ9" s="181" t="s">
        <v>8</v>
      </c>
      <c r="AK9" s="183" t="s">
        <v>8</v>
      </c>
    </row>
    <row r="10" spans="1:37" ht="15.75" customHeight="1">
      <c r="A10" s="179">
        <v>35156</v>
      </c>
      <c r="B10" s="180">
        <v>99.912393749461643</v>
      </c>
      <c r="C10" s="181">
        <v>6.0532687651331241E-3</v>
      </c>
      <c r="D10" s="181" t="s">
        <v>8</v>
      </c>
      <c r="E10" s="180" t="s">
        <v>8</v>
      </c>
      <c r="F10" s="181" t="s">
        <v>8</v>
      </c>
      <c r="G10" s="182" t="s">
        <v>8</v>
      </c>
      <c r="H10" s="180" t="s">
        <v>8</v>
      </c>
      <c r="I10" s="181" t="s">
        <v>8</v>
      </c>
      <c r="J10" s="182" t="s">
        <v>8</v>
      </c>
      <c r="K10" s="180" t="s">
        <v>8</v>
      </c>
      <c r="L10" s="181" t="s">
        <v>8</v>
      </c>
      <c r="M10" s="182" t="s">
        <v>8</v>
      </c>
      <c r="N10" s="180" t="s">
        <v>8</v>
      </c>
      <c r="O10" s="181" t="s">
        <v>8</v>
      </c>
      <c r="P10" s="182" t="s">
        <v>8</v>
      </c>
      <c r="Q10" s="180" t="s">
        <v>8</v>
      </c>
      <c r="R10" s="181" t="s">
        <v>8</v>
      </c>
      <c r="S10" s="182" t="s">
        <v>8</v>
      </c>
      <c r="T10" s="180" t="s">
        <v>8</v>
      </c>
      <c r="U10" s="181" t="s">
        <v>8</v>
      </c>
      <c r="V10" s="182" t="s">
        <v>8</v>
      </c>
      <c r="W10" s="180" t="s">
        <v>8</v>
      </c>
      <c r="X10" s="181" t="s">
        <v>8</v>
      </c>
      <c r="Y10" s="182" t="s">
        <v>8</v>
      </c>
      <c r="Z10" s="180" t="s">
        <v>8</v>
      </c>
      <c r="AA10" s="181" t="s">
        <v>8</v>
      </c>
      <c r="AB10" s="182" t="s">
        <v>8</v>
      </c>
      <c r="AC10" s="180" t="s">
        <v>8</v>
      </c>
      <c r="AD10" s="181" t="s">
        <v>8</v>
      </c>
      <c r="AE10" s="182" t="s">
        <v>8</v>
      </c>
      <c r="AF10" s="180" t="s">
        <v>8</v>
      </c>
      <c r="AG10" s="181" t="s">
        <v>8</v>
      </c>
      <c r="AH10" s="182" t="s">
        <v>8</v>
      </c>
      <c r="AI10" s="180" t="s">
        <v>8</v>
      </c>
      <c r="AJ10" s="181" t="s">
        <v>8</v>
      </c>
      <c r="AK10" s="183" t="s">
        <v>8</v>
      </c>
    </row>
    <row r="11" spans="1:37" ht="15.75" customHeight="1">
      <c r="A11" s="179">
        <v>35186</v>
      </c>
      <c r="B11" s="180">
        <v>100.403339125888</v>
      </c>
      <c r="C11" s="181">
        <v>4.9137585238667736E-3</v>
      </c>
      <c r="D11" s="181" t="s">
        <v>8</v>
      </c>
      <c r="E11" s="180" t="s">
        <v>8</v>
      </c>
      <c r="F11" s="181" t="s">
        <v>8</v>
      </c>
      <c r="G11" s="182" t="s">
        <v>8</v>
      </c>
      <c r="H11" s="180" t="s">
        <v>8</v>
      </c>
      <c r="I11" s="181" t="s">
        <v>8</v>
      </c>
      <c r="J11" s="182" t="s">
        <v>8</v>
      </c>
      <c r="K11" s="180" t="s">
        <v>8</v>
      </c>
      <c r="L11" s="181" t="s">
        <v>8</v>
      </c>
      <c r="M11" s="182" t="s">
        <v>8</v>
      </c>
      <c r="N11" s="180" t="s">
        <v>8</v>
      </c>
      <c r="O11" s="181" t="s">
        <v>8</v>
      </c>
      <c r="P11" s="182" t="s">
        <v>8</v>
      </c>
      <c r="Q11" s="180" t="s">
        <v>8</v>
      </c>
      <c r="R11" s="181" t="s">
        <v>8</v>
      </c>
      <c r="S11" s="182" t="s">
        <v>8</v>
      </c>
      <c r="T11" s="180" t="s">
        <v>8</v>
      </c>
      <c r="U11" s="181" t="s">
        <v>8</v>
      </c>
      <c r="V11" s="182" t="s">
        <v>8</v>
      </c>
      <c r="W11" s="180" t="s">
        <v>8</v>
      </c>
      <c r="X11" s="181" t="s">
        <v>8</v>
      </c>
      <c r="Y11" s="182" t="s">
        <v>8</v>
      </c>
      <c r="Z11" s="180" t="s">
        <v>8</v>
      </c>
      <c r="AA11" s="181" t="s">
        <v>8</v>
      </c>
      <c r="AB11" s="182" t="s">
        <v>8</v>
      </c>
      <c r="AC11" s="180" t="s">
        <v>8</v>
      </c>
      <c r="AD11" s="181" t="s">
        <v>8</v>
      </c>
      <c r="AE11" s="182" t="s">
        <v>8</v>
      </c>
      <c r="AF11" s="180" t="s">
        <v>8</v>
      </c>
      <c r="AG11" s="181" t="s">
        <v>8</v>
      </c>
      <c r="AH11" s="182" t="s">
        <v>8</v>
      </c>
      <c r="AI11" s="180" t="s">
        <v>8</v>
      </c>
      <c r="AJ11" s="181" t="s">
        <v>8</v>
      </c>
      <c r="AK11" s="183" t="s">
        <v>8</v>
      </c>
    </row>
    <row r="12" spans="1:37" ht="15.75" customHeight="1">
      <c r="A12" s="179">
        <v>35217</v>
      </c>
      <c r="B12" s="180">
        <v>100.54360923343839</v>
      </c>
      <c r="C12" s="181">
        <v>1.3970661610618329E-3</v>
      </c>
      <c r="D12" s="181" t="s">
        <v>8</v>
      </c>
      <c r="E12" s="180" t="s">
        <v>8</v>
      </c>
      <c r="F12" s="181" t="s">
        <v>8</v>
      </c>
      <c r="G12" s="182" t="s">
        <v>8</v>
      </c>
      <c r="H12" s="180" t="s">
        <v>8</v>
      </c>
      <c r="I12" s="181" t="s">
        <v>8</v>
      </c>
      <c r="J12" s="182" t="s">
        <v>8</v>
      </c>
      <c r="K12" s="180" t="s">
        <v>8</v>
      </c>
      <c r="L12" s="181" t="s">
        <v>8</v>
      </c>
      <c r="M12" s="182" t="s">
        <v>8</v>
      </c>
      <c r="N12" s="180" t="s">
        <v>8</v>
      </c>
      <c r="O12" s="181" t="s">
        <v>8</v>
      </c>
      <c r="P12" s="182" t="s">
        <v>8</v>
      </c>
      <c r="Q12" s="180" t="s">
        <v>8</v>
      </c>
      <c r="R12" s="181" t="s">
        <v>8</v>
      </c>
      <c r="S12" s="182" t="s">
        <v>8</v>
      </c>
      <c r="T12" s="180" t="s">
        <v>8</v>
      </c>
      <c r="U12" s="181" t="s">
        <v>8</v>
      </c>
      <c r="V12" s="182" t="s">
        <v>8</v>
      </c>
      <c r="W12" s="180" t="s">
        <v>8</v>
      </c>
      <c r="X12" s="181" t="s">
        <v>8</v>
      </c>
      <c r="Y12" s="182" t="s">
        <v>8</v>
      </c>
      <c r="Z12" s="180" t="s">
        <v>8</v>
      </c>
      <c r="AA12" s="181" t="s">
        <v>8</v>
      </c>
      <c r="AB12" s="182" t="s">
        <v>8</v>
      </c>
      <c r="AC12" s="180" t="s">
        <v>8</v>
      </c>
      <c r="AD12" s="181" t="s">
        <v>8</v>
      </c>
      <c r="AE12" s="182" t="s">
        <v>8</v>
      </c>
      <c r="AF12" s="180" t="s">
        <v>8</v>
      </c>
      <c r="AG12" s="181" t="s">
        <v>8</v>
      </c>
      <c r="AH12" s="182" t="s">
        <v>8</v>
      </c>
      <c r="AI12" s="180" t="s">
        <v>8</v>
      </c>
      <c r="AJ12" s="181" t="s">
        <v>8</v>
      </c>
      <c r="AK12" s="183" t="s">
        <v>8</v>
      </c>
    </row>
    <row r="13" spans="1:37" ht="15.75" customHeight="1">
      <c r="A13" s="179">
        <v>35247</v>
      </c>
      <c r="B13" s="180">
        <v>100.37328124569865</v>
      </c>
      <c r="C13" s="181">
        <v>-1.6940707523666054E-3</v>
      </c>
      <c r="D13" s="181" t="s">
        <v>8</v>
      </c>
      <c r="E13" s="180" t="s">
        <v>8</v>
      </c>
      <c r="F13" s="181" t="s">
        <v>8</v>
      </c>
      <c r="G13" s="182" t="s">
        <v>8</v>
      </c>
      <c r="H13" s="180" t="s">
        <v>8</v>
      </c>
      <c r="I13" s="181" t="s">
        <v>8</v>
      </c>
      <c r="J13" s="182" t="s">
        <v>8</v>
      </c>
      <c r="K13" s="180" t="s">
        <v>8</v>
      </c>
      <c r="L13" s="181" t="s">
        <v>8</v>
      </c>
      <c r="M13" s="182" t="s">
        <v>8</v>
      </c>
      <c r="N13" s="180" t="s">
        <v>8</v>
      </c>
      <c r="O13" s="181" t="s">
        <v>8</v>
      </c>
      <c r="P13" s="182" t="s">
        <v>8</v>
      </c>
      <c r="Q13" s="180" t="s">
        <v>8</v>
      </c>
      <c r="R13" s="181" t="s">
        <v>8</v>
      </c>
      <c r="S13" s="182" t="s">
        <v>8</v>
      </c>
      <c r="T13" s="180" t="s">
        <v>8</v>
      </c>
      <c r="U13" s="181" t="s">
        <v>8</v>
      </c>
      <c r="V13" s="182" t="s">
        <v>8</v>
      </c>
      <c r="W13" s="180" t="s">
        <v>8</v>
      </c>
      <c r="X13" s="181" t="s">
        <v>8</v>
      </c>
      <c r="Y13" s="182" t="s">
        <v>8</v>
      </c>
      <c r="Z13" s="180" t="s">
        <v>8</v>
      </c>
      <c r="AA13" s="181" t="s">
        <v>8</v>
      </c>
      <c r="AB13" s="182" t="s">
        <v>8</v>
      </c>
      <c r="AC13" s="180" t="s">
        <v>8</v>
      </c>
      <c r="AD13" s="181" t="s">
        <v>8</v>
      </c>
      <c r="AE13" s="182" t="s">
        <v>8</v>
      </c>
      <c r="AF13" s="180" t="s">
        <v>8</v>
      </c>
      <c r="AG13" s="181" t="s">
        <v>8</v>
      </c>
      <c r="AH13" s="182" t="s">
        <v>8</v>
      </c>
      <c r="AI13" s="180" t="s">
        <v>8</v>
      </c>
      <c r="AJ13" s="181" t="s">
        <v>8</v>
      </c>
      <c r="AK13" s="183" t="s">
        <v>8</v>
      </c>
    </row>
    <row r="14" spans="1:37" ht="15.75" customHeight="1">
      <c r="A14" s="179">
        <v>35278</v>
      </c>
      <c r="B14" s="180">
        <v>100.50353205985257</v>
      </c>
      <c r="C14" s="181">
        <v>1.297664204432003E-3</v>
      </c>
      <c r="D14" s="181" t="s">
        <v>8</v>
      </c>
      <c r="E14" s="180" t="s">
        <v>8</v>
      </c>
      <c r="F14" s="181" t="s">
        <v>8</v>
      </c>
      <c r="G14" s="182" t="s">
        <v>8</v>
      </c>
      <c r="H14" s="180" t="s">
        <v>8</v>
      </c>
      <c r="I14" s="181" t="s">
        <v>8</v>
      </c>
      <c r="J14" s="182" t="s">
        <v>8</v>
      </c>
      <c r="K14" s="180" t="s">
        <v>8</v>
      </c>
      <c r="L14" s="181" t="s">
        <v>8</v>
      </c>
      <c r="M14" s="182" t="s">
        <v>8</v>
      </c>
      <c r="N14" s="180" t="s">
        <v>8</v>
      </c>
      <c r="O14" s="181" t="s">
        <v>8</v>
      </c>
      <c r="P14" s="182" t="s">
        <v>8</v>
      </c>
      <c r="Q14" s="180" t="s">
        <v>8</v>
      </c>
      <c r="R14" s="181" t="s">
        <v>8</v>
      </c>
      <c r="S14" s="182" t="s">
        <v>8</v>
      </c>
      <c r="T14" s="180" t="s">
        <v>8</v>
      </c>
      <c r="U14" s="181" t="s">
        <v>8</v>
      </c>
      <c r="V14" s="182" t="s">
        <v>8</v>
      </c>
      <c r="W14" s="180" t="s">
        <v>8</v>
      </c>
      <c r="X14" s="181" t="s">
        <v>8</v>
      </c>
      <c r="Y14" s="182" t="s">
        <v>8</v>
      </c>
      <c r="Z14" s="180" t="s">
        <v>8</v>
      </c>
      <c r="AA14" s="181" t="s">
        <v>8</v>
      </c>
      <c r="AB14" s="182" t="s">
        <v>8</v>
      </c>
      <c r="AC14" s="180" t="s">
        <v>8</v>
      </c>
      <c r="AD14" s="181" t="s">
        <v>8</v>
      </c>
      <c r="AE14" s="182" t="s">
        <v>8</v>
      </c>
      <c r="AF14" s="180" t="s">
        <v>8</v>
      </c>
      <c r="AG14" s="181" t="s">
        <v>8</v>
      </c>
      <c r="AH14" s="182" t="s">
        <v>8</v>
      </c>
      <c r="AI14" s="180" t="s">
        <v>8</v>
      </c>
      <c r="AJ14" s="181" t="s">
        <v>8</v>
      </c>
      <c r="AK14" s="183" t="s">
        <v>8</v>
      </c>
    </row>
    <row r="15" spans="1:37" ht="15.75" customHeight="1">
      <c r="A15" s="179">
        <v>35309</v>
      </c>
      <c r="B15" s="180">
        <v>100.35324265890573</v>
      </c>
      <c r="C15" s="181">
        <v>-1.4953643704516129E-3</v>
      </c>
      <c r="D15" s="181" t="s">
        <v>8</v>
      </c>
      <c r="E15" s="180" t="s">
        <v>8</v>
      </c>
      <c r="F15" s="181" t="s">
        <v>8</v>
      </c>
      <c r="G15" s="182" t="s">
        <v>8</v>
      </c>
      <c r="H15" s="180" t="s">
        <v>8</v>
      </c>
      <c r="I15" s="181" t="s">
        <v>8</v>
      </c>
      <c r="J15" s="182" t="s">
        <v>8</v>
      </c>
      <c r="K15" s="180" t="s">
        <v>8</v>
      </c>
      <c r="L15" s="181" t="s">
        <v>8</v>
      </c>
      <c r="M15" s="182" t="s">
        <v>8</v>
      </c>
      <c r="N15" s="180" t="s">
        <v>8</v>
      </c>
      <c r="O15" s="181" t="s">
        <v>8</v>
      </c>
      <c r="P15" s="182" t="s">
        <v>8</v>
      </c>
      <c r="Q15" s="180" t="s">
        <v>8</v>
      </c>
      <c r="R15" s="181" t="s">
        <v>8</v>
      </c>
      <c r="S15" s="182" t="s">
        <v>8</v>
      </c>
      <c r="T15" s="180" t="s">
        <v>8</v>
      </c>
      <c r="U15" s="181" t="s">
        <v>8</v>
      </c>
      <c r="V15" s="182" t="s">
        <v>8</v>
      </c>
      <c r="W15" s="180" t="s">
        <v>8</v>
      </c>
      <c r="X15" s="181" t="s">
        <v>8</v>
      </c>
      <c r="Y15" s="182" t="s">
        <v>8</v>
      </c>
      <c r="Z15" s="180" t="s">
        <v>8</v>
      </c>
      <c r="AA15" s="181" t="s">
        <v>8</v>
      </c>
      <c r="AB15" s="182" t="s">
        <v>8</v>
      </c>
      <c r="AC15" s="180" t="s">
        <v>8</v>
      </c>
      <c r="AD15" s="181" t="s">
        <v>8</v>
      </c>
      <c r="AE15" s="182" t="s">
        <v>8</v>
      </c>
      <c r="AF15" s="180" t="s">
        <v>8</v>
      </c>
      <c r="AG15" s="181" t="s">
        <v>8</v>
      </c>
      <c r="AH15" s="182" t="s">
        <v>8</v>
      </c>
      <c r="AI15" s="180" t="s">
        <v>8</v>
      </c>
      <c r="AJ15" s="181" t="s">
        <v>8</v>
      </c>
      <c r="AK15" s="183" t="s">
        <v>8</v>
      </c>
    </row>
    <row r="16" spans="1:37" ht="15.75" customHeight="1">
      <c r="A16" s="179">
        <v>35339</v>
      </c>
      <c r="B16" s="180">
        <v>101.15478613062223</v>
      </c>
      <c r="C16" s="181">
        <v>7.9872204472843933E-3</v>
      </c>
      <c r="D16" s="181" t="s">
        <v>8</v>
      </c>
      <c r="E16" s="180" t="s">
        <v>8</v>
      </c>
      <c r="F16" s="181" t="s">
        <v>8</v>
      </c>
      <c r="G16" s="182" t="s">
        <v>8</v>
      </c>
      <c r="H16" s="180" t="s">
        <v>8</v>
      </c>
      <c r="I16" s="181" t="s">
        <v>8</v>
      </c>
      <c r="J16" s="182" t="s">
        <v>8</v>
      </c>
      <c r="K16" s="180" t="s">
        <v>8</v>
      </c>
      <c r="L16" s="181" t="s">
        <v>8</v>
      </c>
      <c r="M16" s="182" t="s">
        <v>8</v>
      </c>
      <c r="N16" s="180" t="s">
        <v>8</v>
      </c>
      <c r="O16" s="181" t="s">
        <v>8</v>
      </c>
      <c r="P16" s="182" t="s">
        <v>8</v>
      </c>
      <c r="Q16" s="180" t="s">
        <v>8</v>
      </c>
      <c r="R16" s="181" t="s">
        <v>8</v>
      </c>
      <c r="S16" s="182" t="s">
        <v>8</v>
      </c>
      <c r="T16" s="180" t="s">
        <v>8</v>
      </c>
      <c r="U16" s="181" t="s">
        <v>8</v>
      </c>
      <c r="V16" s="182" t="s">
        <v>8</v>
      </c>
      <c r="W16" s="180" t="s">
        <v>8</v>
      </c>
      <c r="X16" s="181" t="s">
        <v>8</v>
      </c>
      <c r="Y16" s="182" t="s">
        <v>8</v>
      </c>
      <c r="Z16" s="180" t="s">
        <v>8</v>
      </c>
      <c r="AA16" s="181" t="s">
        <v>8</v>
      </c>
      <c r="AB16" s="182" t="s">
        <v>8</v>
      </c>
      <c r="AC16" s="180" t="s">
        <v>8</v>
      </c>
      <c r="AD16" s="181" t="s">
        <v>8</v>
      </c>
      <c r="AE16" s="182" t="s">
        <v>8</v>
      </c>
      <c r="AF16" s="180" t="s">
        <v>8</v>
      </c>
      <c r="AG16" s="181" t="s">
        <v>8</v>
      </c>
      <c r="AH16" s="182" t="s">
        <v>8</v>
      </c>
      <c r="AI16" s="180" t="s">
        <v>8</v>
      </c>
      <c r="AJ16" s="181" t="s">
        <v>8</v>
      </c>
      <c r="AK16" s="183" t="s">
        <v>8</v>
      </c>
    </row>
    <row r="17" spans="1:37" ht="15.75" customHeight="1">
      <c r="A17" s="179">
        <v>35370</v>
      </c>
      <c r="B17" s="180">
        <v>101.3952491721372</v>
      </c>
      <c r="C17" s="181">
        <v>2.3771790808242432E-3</v>
      </c>
      <c r="D17" s="181">
        <v>1.05851807469548E-2</v>
      </c>
      <c r="E17" s="180" t="s">
        <v>8</v>
      </c>
      <c r="F17" s="181" t="s">
        <v>8</v>
      </c>
      <c r="G17" s="182" t="s">
        <v>8</v>
      </c>
      <c r="H17" s="180" t="s">
        <v>8</v>
      </c>
      <c r="I17" s="181" t="s">
        <v>8</v>
      </c>
      <c r="J17" s="182" t="s">
        <v>8</v>
      </c>
      <c r="K17" s="180" t="s">
        <v>8</v>
      </c>
      <c r="L17" s="181" t="s">
        <v>8</v>
      </c>
      <c r="M17" s="182" t="s">
        <v>8</v>
      </c>
      <c r="N17" s="180" t="s">
        <v>8</v>
      </c>
      <c r="O17" s="181" t="s">
        <v>8</v>
      </c>
      <c r="P17" s="182" t="s">
        <v>8</v>
      </c>
      <c r="Q17" s="180" t="s">
        <v>8</v>
      </c>
      <c r="R17" s="181" t="s">
        <v>8</v>
      </c>
      <c r="S17" s="182" t="s">
        <v>8</v>
      </c>
      <c r="T17" s="180" t="s">
        <v>8</v>
      </c>
      <c r="U17" s="181" t="s">
        <v>8</v>
      </c>
      <c r="V17" s="182" t="s">
        <v>8</v>
      </c>
      <c r="W17" s="180" t="s">
        <v>8</v>
      </c>
      <c r="X17" s="181" t="s">
        <v>8</v>
      </c>
      <c r="Y17" s="182" t="s">
        <v>8</v>
      </c>
      <c r="Z17" s="180" t="s">
        <v>8</v>
      </c>
      <c r="AA17" s="181" t="s">
        <v>8</v>
      </c>
      <c r="AB17" s="182" t="s">
        <v>8</v>
      </c>
      <c r="AC17" s="180" t="s">
        <v>8</v>
      </c>
      <c r="AD17" s="181" t="s">
        <v>8</v>
      </c>
      <c r="AE17" s="182" t="s">
        <v>8</v>
      </c>
      <c r="AF17" s="180" t="s">
        <v>8</v>
      </c>
      <c r="AG17" s="181" t="s">
        <v>8</v>
      </c>
      <c r="AH17" s="182" t="s">
        <v>8</v>
      </c>
      <c r="AI17" s="180" t="s">
        <v>8</v>
      </c>
      <c r="AJ17" s="181" t="s">
        <v>8</v>
      </c>
      <c r="AK17" s="183" t="s">
        <v>8</v>
      </c>
    </row>
    <row r="18" spans="1:37" ht="15.75" customHeight="1">
      <c r="A18" s="179">
        <v>35400</v>
      </c>
      <c r="B18" s="180">
        <v>101.82607878818482</v>
      </c>
      <c r="C18" s="181">
        <v>4.2490118577074298E-3</v>
      </c>
      <c r="D18" s="181">
        <v>1.6300000000000425E-2</v>
      </c>
      <c r="E18" s="180" t="s">
        <v>8</v>
      </c>
      <c r="F18" s="181" t="s">
        <v>8</v>
      </c>
      <c r="G18" s="182" t="s">
        <v>8</v>
      </c>
      <c r="H18" s="180" t="s">
        <v>8</v>
      </c>
      <c r="I18" s="181" t="s">
        <v>8</v>
      </c>
      <c r="J18" s="182" t="s">
        <v>8</v>
      </c>
      <c r="K18" s="180" t="s">
        <v>8</v>
      </c>
      <c r="L18" s="181" t="s">
        <v>8</v>
      </c>
      <c r="M18" s="182" t="s">
        <v>8</v>
      </c>
      <c r="N18" s="180" t="s">
        <v>8</v>
      </c>
      <c r="O18" s="181" t="s">
        <v>8</v>
      </c>
      <c r="P18" s="182" t="s">
        <v>8</v>
      </c>
      <c r="Q18" s="180" t="s">
        <v>8</v>
      </c>
      <c r="R18" s="181" t="s">
        <v>8</v>
      </c>
      <c r="S18" s="182" t="s">
        <v>8</v>
      </c>
      <c r="T18" s="180" t="s">
        <v>8</v>
      </c>
      <c r="U18" s="181" t="s">
        <v>8</v>
      </c>
      <c r="V18" s="182" t="s">
        <v>8</v>
      </c>
      <c r="W18" s="180" t="s">
        <v>8</v>
      </c>
      <c r="X18" s="181" t="s">
        <v>8</v>
      </c>
      <c r="Y18" s="182" t="s">
        <v>8</v>
      </c>
      <c r="Z18" s="180" t="s">
        <v>8</v>
      </c>
      <c r="AA18" s="181" t="s">
        <v>8</v>
      </c>
      <c r="AB18" s="182" t="s">
        <v>8</v>
      </c>
      <c r="AC18" s="180" t="s">
        <v>8</v>
      </c>
      <c r="AD18" s="181" t="s">
        <v>8</v>
      </c>
      <c r="AE18" s="182" t="s">
        <v>8</v>
      </c>
      <c r="AF18" s="180" t="s">
        <v>8</v>
      </c>
      <c r="AG18" s="181" t="s">
        <v>8</v>
      </c>
      <c r="AH18" s="182" t="s">
        <v>8</v>
      </c>
      <c r="AI18" s="180" t="s">
        <v>8</v>
      </c>
      <c r="AJ18" s="181" t="s">
        <v>8</v>
      </c>
      <c r="AK18" s="183" t="s">
        <v>8</v>
      </c>
    </row>
    <row r="19" spans="1:37" ht="15.75" customHeight="1">
      <c r="A19" s="179">
        <v>35431</v>
      </c>
      <c r="B19" s="180">
        <v>101.90623313535646</v>
      </c>
      <c r="C19" s="181">
        <v>7.8716914296950158E-4</v>
      </c>
      <c r="D19" s="181">
        <v>1.9751353519150028E-2</v>
      </c>
      <c r="E19" s="180" t="s">
        <v>8</v>
      </c>
      <c r="F19" s="181" t="s">
        <v>8</v>
      </c>
      <c r="G19" s="182" t="s">
        <v>8</v>
      </c>
      <c r="H19" s="180" t="s">
        <v>8</v>
      </c>
      <c r="I19" s="181" t="s">
        <v>8</v>
      </c>
      <c r="J19" s="182" t="s">
        <v>8</v>
      </c>
      <c r="K19" s="180" t="s">
        <v>8</v>
      </c>
      <c r="L19" s="181" t="s">
        <v>8</v>
      </c>
      <c r="M19" s="182" t="s">
        <v>8</v>
      </c>
      <c r="N19" s="180" t="s">
        <v>8</v>
      </c>
      <c r="O19" s="181" t="s">
        <v>8</v>
      </c>
      <c r="P19" s="182" t="s">
        <v>8</v>
      </c>
      <c r="Q19" s="180" t="s">
        <v>8</v>
      </c>
      <c r="R19" s="181" t="s">
        <v>8</v>
      </c>
      <c r="S19" s="182" t="s">
        <v>8</v>
      </c>
      <c r="T19" s="180" t="s">
        <v>8</v>
      </c>
      <c r="U19" s="181" t="s">
        <v>8</v>
      </c>
      <c r="V19" s="182" t="s">
        <v>8</v>
      </c>
      <c r="W19" s="180" t="s">
        <v>8</v>
      </c>
      <c r="X19" s="181" t="s">
        <v>8</v>
      </c>
      <c r="Y19" s="182" t="s">
        <v>8</v>
      </c>
      <c r="Z19" s="180" t="s">
        <v>8</v>
      </c>
      <c r="AA19" s="181" t="s">
        <v>8</v>
      </c>
      <c r="AB19" s="182" t="s">
        <v>8</v>
      </c>
      <c r="AC19" s="180" t="s">
        <v>8</v>
      </c>
      <c r="AD19" s="181" t="s">
        <v>8</v>
      </c>
      <c r="AE19" s="182" t="s">
        <v>8</v>
      </c>
      <c r="AF19" s="180" t="s">
        <v>8</v>
      </c>
      <c r="AG19" s="181" t="s">
        <v>8</v>
      </c>
      <c r="AH19" s="182" t="s">
        <v>8</v>
      </c>
      <c r="AI19" s="180" t="s">
        <v>8</v>
      </c>
      <c r="AJ19" s="181" t="s">
        <v>8</v>
      </c>
      <c r="AK19" s="183" t="s">
        <v>8</v>
      </c>
    </row>
    <row r="20" spans="1:37" ht="15.75" customHeight="1">
      <c r="A20" s="179">
        <v>35462</v>
      </c>
      <c r="B20" s="180">
        <v>102.88812388820918</v>
      </c>
      <c r="C20" s="181">
        <v>9.6352374397798979E-3</v>
      </c>
      <c r="D20" s="181">
        <v>3.2475366981701503E-2</v>
      </c>
      <c r="E20" s="180" t="s">
        <v>8</v>
      </c>
      <c r="F20" s="181" t="s">
        <v>8</v>
      </c>
      <c r="G20" s="182" t="s">
        <v>8</v>
      </c>
      <c r="H20" s="180" t="s">
        <v>8</v>
      </c>
      <c r="I20" s="181" t="s">
        <v>8</v>
      </c>
      <c r="J20" s="182" t="s">
        <v>8</v>
      </c>
      <c r="K20" s="180" t="s">
        <v>8</v>
      </c>
      <c r="L20" s="181" t="s">
        <v>8</v>
      </c>
      <c r="M20" s="182" t="s">
        <v>8</v>
      </c>
      <c r="N20" s="180" t="s">
        <v>8</v>
      </c>
      <c r="O20" s="181" t="s">
        <v>8</v>
      </c>
      <c r="P20" s="182" t="s">
        <v>8</v>
      </c>
      <c r="Q20" s="180" t="s">
        <v>8</v>
      </c>
      <c r="R20" s="181" t="s">
        <v>8</v>
      </c>
      <c r="S20" s="182" t="s">
        <v>8</v>
      </c>
      <c r="T20" s="180" t="s">
        <v>8</v>
      </c>
      <c r="U20" s="181" t="s">
        <v>8</v>
      </c>
      <c r="V20" s="182" t="s">
        <v>8</v>
      </c>
      <c r="W20" s="180" t="s">
        <v>8</v>
      </c>
      <c r="X20" s="181" t="s">
        <v>8</v>
      </c>
      <c r="Y20" s="182" t="s">
        <v>8</v>
      </c>
      <c r="Z20" s="180" t="s">
        <v>8</v>
      </c>
      <c r="AA20" s="181" t="s">
        <v>8</v>
      </c>
      <c r="AB20" s="182" t="s">
        <v>8</v>
      </c>
      <c r="AC20" s="180" t="s">
        <v>8</v>
      </c>
      <c r="AD20" s="181" t="s">
        <v>8</v>
      </c>
      <c r="AE20" s="182" t="s">
        <v>8</v>
      </c>
      <c r="AF20" s="180" t="s">
        <v>8</v>
      </c>
      <c r="AG20" s="181" t="s">
        <v>8</v>
      </c>
      <c r="AH20" s="182" t="s">
        <v>8</v>
      </c>
      <c r="AI20" s="180" t="s">
        <v>8</v>
      </c>
      <c r="AJ20" s="181" t="s">
        <v>8</v>
      </c>
      <c r="AK20" s="183" t="s">
        <v>8</v>
      </c>
    </row>
    <row r="21" spans="1:37" ht="15.75" customHeight="1">
      <c r="A21" s="179">
        <v>35490</v>
      </c>
      <c r="B21" s="180">
        <v>103.73976382690797</v>
      </c>
      <c r="C21" s="181">
        <v>8.2773395656832172E-3</v>
      </c>
      <c r="D21" s="181">
        <v>4.4592413236481443E-2</v>
      </c>
      <c r="E21" s="180" t="s">
        <v>8</v>
      </c>
      <c r="F21" s="181" t="s">
        <v>8</v>
      </c>
      <c r="G21" s="182" t="s">
        <v>8</v>
      </c>
      <c r="H21" s="180" t="s">
        <v>8</v>
      </c>
      <c r="I21" s="181" t="s">
        <v>8</v>
      </c>
      <c r="J21" s="182" t="s">
        <v>8</v>
      </c>
      <c r="K21" s="180" t="s">
        <v>8</v>
      </c>
      <c r="L21" s="181" t="s">
        <v>8</v>
      </c>
      <c r="M21" s="182" t="s">
        <v>8</v>
      </c>
      <c r="N21" s="180" t="s">
        <v>8</v>
      </c>
      <c r="O21" s="181" t="s">
        <v>8</v>
      </c>
      <c r="P21" s="182" t="s">
        <v>8</v>
      </c>
      <c r="Q21" s="180" t="s">
        <v>8</v>
      </c>
      <c r="R21" s="181" t="s">
        <v>8</v>
      </c>
      <c r="S21" s="182" t="s">
        <v>8</v>
      </c>
      <c r="T21" s="180" t="s">
        <v>8</v>
      </c>
      <c r="U21" s="181" t="s">
        <v>8</v>
      </c>
      <c r="V21" s="182" t="s">
        <v>8</v>
      </c>
      <c r="W21" s="180" t="s">
        <v>8</v>
      </c>
      <c r="X21" s="181" t="s">
        <v>8</v>
      </c>
      <c r="Y21" s="182" t="s">
        <v>8</v>
      </c>
      <c r="Z21" s="180" t="s">
        <v>8</v>
      </c>
      <c r="AA21" s="181" t="s">
        <v>8</v>
      </c>
      <c r="AB21" s="182" t="s">
        <v>8</v>
      </c>
      <c r="AC21" s="180" t="s">
        <v>8</v>
      </c>
      <c r="AD21" s="181" t="s">
        <v>8</v>
      </c>
      <c r="AE21" s="182" t="s">
        <v>8</v>
      </c>
      <c r="AF21" s="180" t="s">
        <v>8</v>
      </c>
      <c r="AG21" s="181" t="s">
        <v>8</v>
      </c>
      <c r="AH21" s="182" t="s">
        <v>8</v>
      </c>
      <c r="AI21" s="180" t="s">
        <v>8</v>
      </c>
      <c r="AJ21" s="181" t="s">
        <v>8</v>
      </c>
      <c r="AK21" s="183" t="s">
        <v>8</v>
      </c>
    </row>
    <row r="22" spans="1:37" ht="15.75" customHeight="1">
      <c r="A22" s="179">
        <v>35521</v>
      </c>
      <c r="B22" s="180">
        <v>103.9802268684229</v>
      </c>
      <c r="C22" s="181">
        <v>2.3179447556498367E-3</v>
      </c>
      <c r="D22" s="181">
        <v>4.071399919775387E-2</v>
      </c>
      <c r="E22" s="180" t="s">
        <v>8</v>
      </c>
      <c r="F22" s="181" t="s">
        <v>8</v>
      </c>
      <c r="G22" s="182" t="s">
        <v>8</v>
      </c>
      <c r="H22" s="180" t="s">
        <v>8</v>
      </c>
      <c r="I22" s="181" t="s">
        <v>8</v>
      </c>
      <c r="J22" s="182" t="s">
        <v>8</v>
      </c>
      <c r="K22" s="180" t="s">
        <v>8</v>
      </c>
      <c r="L22" s="181" t="s">
        <v>8</v>
      </c>
      <c r="M22" s="182" t="s">
        <v>8</v>
      </c>
      <c r="N22" s="180" t="s">
        <v>8</v>
      </c>
      <c r="O22" s="181" t="s">
        <v>8</v>
      </c>
      <c r="P22" s="182" t="s">
        <v>8</v>
      </c>
      <c r="Q22" s="180" t="s">
        <v>8</v>
      </c>
      <c r="R22" s="181" t="s">
        <v>8</v>
      </c>
      <c r="S22" s="182" t="s">
        <v>8</v>
      </c>
      <c r="T22" s="180" t="s">
        <v>8</v>
      </c>
      <c r="U22" s="181" t="s">
        <v>8</v>
      </c>
      <c r="V22" s="182" t="s">
        <v>8</v>
      </c>
      <c r="W22" s="180" t="s">
        <v>8</v>
      </c>
      <c r="X22" s="181" t="s">
        <v>8</v>
      </c>
      <c r="Y22" s="182" t="s">
        <v>8</v>
      </c>
      <c r="Z22" s="180" t="s">
        <v>8</v>
      </c>
      <c r="AA22" s="181" t="s">
        <v>8</v>
      </c>
      <c r="AB22" s="182" t="s">
        <v>8</v>
      </c>
      <c r="AC22" s="180" t="s">
        <v>8</v>
      </c>
      <c r="AD22" s="181" t="s">
        <v>8</v>
      </c>
      <c r="AE22" s="182" t="s">
        <v>8</v>
      </c>
      <c r="AF22" s="180" t="s">
        <v>8</v>
      </c>
      <c r="AG22" s="181" t="s">
        <v>8</v>
      </c>
      <c r="AH22" s="182" t="s">
        <v>8</v>
      </c>
      <c r="AI22" s="180" t="s">
        <v>8</v>
      </c>
      <c r="AJ22" s="181" t="s">
        <v>8</v>
      </c>
      <c r="AK22" s="183" t="s">
        <v>8</v>
      </c>
    </row>
    <row r="23" spans="1:37" ht="15.75" customHeight="1">
      <c r="A23" s="179">
        <v>35551</v>
      </c>
      <c r="B23" s="180">
        <v>103.95016898823354</v>
      </c>
      <c r="C23" s="181">
        <v>-2.8907303912117932E-4</v>
      </c>
      <c r="D23" s="181">
        <v>3.5325815786847903E-2</v>
      </c>
      <c r="E23" s="180" t="s">
        <v>8</v>
      </c>
      <c r="F23" s="181" t="s">
        <v>8</v>
      </c>
      <c r="G23" s="182" t="s">
        <v>8</v>
      </c>
      <c r="H23" s="180" t="s">
        <v>8</v>
      </c>
      <c r="I23" s="181" t="s">
        <v>8</v>
      </c>
      <c r="J23" s="182" t="s">
        <v>8</v>
      </c>
      <c r="K23" s="180" t="s">
        <v>8</v>
      </c>
      <c r="L23" s="181" t="s">
        <v>8</v>
      </c>
      <c r="M23" s="182" t="s">
        <v>8</v>
      </c>
      <c r="N23" s="180" t="s">
        <v>8</v>
      </c>
      <c r="O23" s="181" t="s">
        <v>8</v>
      </c>
      <c r="P23" s="182" t="s">
        <v>8</v>
      </c>
      <c r="Q23" s="180" t="s">
        <v>8</v>
      </c>
      <c r="R23" s="181" t="s">
        <v>8</v>
      </c>
      <c r="S23" s="182" t="s">
        <v>8</v>
      </c>
      <c r="T23" s="180" t="s">
        <v>8</v>
      </c>
      <c r="U23" s="181" t="s">
        <v>8</v>
      </c>
      <c r="V23" s="182" t="s">
        <v>8</v>
      </c>
      <c r="W23" s="180" t="s">
        <v>8</v>
      </c>
      <c r="X23" s="181" t="s">
        <v>8</v>
      </c>
      <c r="Y23" s="182" t="s">
        <v>8</v>
      </c>
      <c r="Z23" s="180" t="s">
        <v>8</v>
      </c>
      <c r="AA23" s="181" t="s">
        <v>8</v>
      </c>
      <c r="AB23" s="182" t="s">
        <v>8</v>
      </c>
      <c r="AC23" s="180" t="s">
        <v>8</v>
      </c>
      <c r="AD23" s="181" t="s">
        <v>8</v>
      </c>
      <c r="AE23" s="182" t="s">
        <v>8</v>
      </c>
      <c r="AF23" s="180" t="s">
        <v>8</v>
      </c>
      <c r="AG23" s="181" t="s">
        <v>8</v>
      </c>
      <c r="AH23" s="182" t="s">
        <v>8</v>
      </c>
      <c r="AI23" s="180" t="s">
        <v>8</v>
      </c>
      <c r="AJ23" s="181" t="s">
        <v>8</v>
      </c>
      <c r="AK23" s="183" t="s">
        <v>8</v>
      </c>
    </row>
    <row r="24" spans="1:37" ht="15.75" customHeight="1">
      <c r="A24" s="179">
        <v>35582</v>
      </c>
      <c r="B24" s="180">
        <v>103.87001464106189</v>
      </c>
      <c r="C24" s="181">
        <v>-7.7108433734940363E-4</v>
      </c>
      <c r="D24" s="181">
        <v>3.3084205281515011E-2</v>
      </c>
      <c r="E24" s="180" t="s">
        <v>8</v>
      </c>
      <c r="F24" s="181" t="s">
        <v>8</v>
      </c>
      <c r="G24" s="182" t="s">
        <v>8</v>
      </c>
      <c r="H24" s="180" t="s">
        <v>8</v>
      </c>
      <c r="I24" s="181" t="s">
        <v>8</v>
      </c>
      <c r="J24" s="182" t="s">
        <v>8</v>
      </c>
      <c r="K24" s="180" t="s">
        <v>8</v>
      </c>
      <c r="L24" s="181" t="s">
        <v>8</v>
      </c>
      <c r="M24" s="182" t="s">
        <v>8</v>
      </c>
      <c r="N24" s="180" t="s">
        <v>8</v>
      </c>
      <c r="O24" s="181" t="s">
        <v>8</v>
      </c>
      <c r="P24" s="182" t="s">
        <v>8</v>
      </c>
      <c r="Q24" s="180" t="s">
        <v>8</v>
      </c>
      <c r="R24" s="181" t="s">
        <v>8</v>
      </c>
      <c r="S24" s="182" t="s">
        <v>8</v>
      </c>
      <c r="T24" s="180" t="s">
        <v>8</v>
      </c>
      <c r="U24" s="181" t="s">
        <v>8</v>
      </c>
      <c r="V24" s="182" t="s">
        <v>8</v>
      </c>
      <c r="W24" s="180" t="s">
        <v>8</v>
      </c>
      <c r="X24" s="181" t="s">
        <v>8</v>
      </c>
      <c r="Y24" s="182" t="s">
        <v>8</v>
      </c>
      <c r="Z24" s="180" t="s">
        <v>8</v>
      </c>
      <c r="AA24" s="181" t="s">
        <v>8</v>
      </c>
      <c r="AB24" s="182" t="s">
        <v>8</v>
      </c>
      <c r="AC24" s="180" t="s">
        <v>8</v>
      </c>
      <c r="AD24" s="181" t="s">
        <v>8</v>
      </c>
      <c r="AE24" s="182" t="s">
        <v>8</v>
      </c>
      <c r="AF24" s="180" t="s">
        <v>8</v>
      </c>
      <c r="AG24" s="181" t="s">
        <v>8</v>
      </c>
      <c r="AH24" s="182" t="s">
        <v>8</v>
      </c>
      <c r="AI24" s="180" t="s">
        <v>8</v>
      </c>
      <c r="AJ24" s="181" t="s">
        <v>8</v>
      </c>
      <c r="AK24" s="183" t="s">
        <v>8</v>
      </c>
    </row>
    <row r="25" spans="1:37" ht="15.75" customHeight="1">
      <c r="A25" s="179">
        <v>35612</v>
      </c>
      <c r="B25" s="180">
        <v>104.17059344295558</v>
      </c>
      <c r="C25" s="181">
        <v>2.89379762708597E-3</v>
      </c>
      <c r="D25" s="181">
        <v>3.7831902575364396E-2</v>
      </c>
      <c r="E25" s="180" t="s">
        <v>8</v>
      </c>
      <c r="F25" s="181" t="s">
        <v>8</v>
      </c>
      <c r="G25" s="182" t="s">
        <v>8</v>
      </c>
      <c r="H25" s="180" t="s">
        <v>8</v>
      </c>
      <c r="I25" s="181" t="s">
        <v>8</v>
      </c>
      <c r="J25" s="182" t="s">
        <v>8</v>
      </c>
      <c r="K25" s="180" t="s">
        <v>8</v>
      </c>
      <c r="L25" s="181" t="s">
        <v>8</v>
      </c>
      <c r="M25" s="182" t="s">
        <v>8</v>
      </c>
      <c r="N25" s="180" t="s">
        <v>8</v>
      </c>
      <c r="O25" s="181" t="s">
        <v>8</v>
      </c>
      <c r="P25" s="182" t="s">
        <v>8</v>
      </c>
      <c r="Q25" s="180" t="s">
        <v>8</v>
      </c>
      <c r="R25" s="181" t="s">
        <v>8</v>
      </c>
      <c r="S25" s="182" t="s">
        <v>8</v>
      </c>
      <c r="T25" s="180" t="s">
        <v>8</v>
      </c>
      <c r="U25" s="181" t="s">
        <v>8</v>
      </c>
      <c r="V25" s="182" t="s">
        <v>8</v>
      </c>
      <c r="W25" s="180" t="s">
        <v>8</v>
      </c>
      <c r="X25" s="181" t="s">
        <v>8</v>
      </c>
      <c r="Y25" s="182" t="s">
        <v>8</v>
      </c>
      <c r="Z25" s="180" t="s">
        <v>8</v>
      </c>
      <c r="AA25" s="181" t="s">
        <v>8</v>
      </c>
      <c r="AB25" s="182" t="s">
        <v>8</v>
      </c>
      <c r="AC25" s="180" t="s">
        <v>8</v>
      </c>
      <c r="AD25" s="181" t="s">
        <v>8</v>
      </c>
      <c r="AE25" s="182" t="s">
        <v>8</v>
      </c>
      <c r="AF25" s="180" t="s">
        <v>8</v>
      </c>
      <c r="AG25" s="181" t="s">
        <v>8</v>
      </c>
      <c r="AH25" s="182" t="s">
        <v>8</v>
      </c>
      <c r="AI25" s="180" t="s">
        <v>8</v>
      </c>
      <c r="AJ25" s="181" t="s">
        <v>8</v>
      </c>
      <c r="AK25" s="183" t="s">
        <v>8</v>
      </c>
    </row>
    <row r="26" spans="1:37" ht="15.75" customHeight="1">
      <c r="A26" s="179">
        <v>35643</v>
      </c>
      <c r="B26" s="180">
        <v>104.86192468731105</v>
      </c>
      <c r="C26" s="181">
        <v>6.6365297682022817E-3</v>
      </c>
      <c r="D26" s="181">
        <v>4.3365566743096551E-2</v>
      </c>
      <c r="E26" s="180" t="s">
        <v>8</v>
      </c>
      <c r="F26" s="181" t="s">
        <v>8</v>
      </c>
      <c r="G26" s="182" t="s">
        <v>8</v>
      </c>
      <c r="H26" s="180" t="s">
        <v>8</v>
      </c>
      <c r="I26" s="181" t="s">
        <v>8</v>
      </c>
      <c r="J26" s="182" t="s">
        <v>8</v>
      </c>
      <c r="K26" s="180" t="s">
        <v>8</v>
      </c>
      <c r="L26" s="181" t="s">
        <v>8</v>
      </c>
      <c r="M26" s="182" t="s">
        <v>8</v>
      </c>
      <c r="N26" s="180" t="s">
        <v>8</v>
      </c>
      <c r="O26" s="181" t="s">
        <v>8</v>
      </c>
      <c r="P26" s="182" t="s">
        <v>8</v>
      </c>
      <c r="Q26" s="180" t="s">
        <v>8</v>
      </c>
      <c r="R26" s="181" t="s">
        <v>8</v>
      </c>
      <c r="S26" s="182" t="s">
        <v>8</v>
      </c>
      <c r="T26" s="180" t="s">
        <v>8</v>
      </c>
      <c r="U26" s="181" t="s">
        <v>8</v>
      </c>
      <c r="V26" s="182" t="s">
        <v>8</v>
      </c>
      <c r="W26" s="180" t="s">
        <v>8</v>
      </c>
      <c r="X26" s="181" t="s">
        <v>8</v>
      </c>
      <c r="Y26" s="182" t="s">
        <v>8</v>
      </c>
      <c r="Z26" s="180" t="s">
        <v>8</v>
      </c>
      <c r="AA26" s="181" t="s">
        <v>8</v>
      </c>
      <c r="AB26" s="182" t="s">
        <v>8</v>
      </c>
      <c r="AC26" s="180" t="s">
        <v>8</v>
      </c>
      <c r="AD26" s="181" t="s">
        <v>8</v>
      </c>
      <c r="AE26" s="182" t="s">
        <v>8</v>
      </c>
      <c r="AF26" s="180" t="s">
        <v>8</v>
      </c>
      <c r="AG26" s="181" t="s">
        <v>8</v>
      </c>
      <c r="AH26" s="182" t="s">
        <v>8</v>
      </c>
      <c r="AI26" s="180" t="s">
        <v>8</v>
      </c>
      <c r="AJ26" s="181" t="s">
        <v>8</v>
      </c>
      <c r="AK26" s="183" t="s">
        <v>8</v>
      </c>
    </row>
    <row r="27" spans="1:37" ht="15.75" customHeight="1">
      <c r="A27" s="179">
        <v>35674</v>
      </c>
      <c r="B27" s="180">
        <v>105.51317875808071</v>
      </c>
      <c r="C27" s="181">
        <v>6.2105866615709271E-3</v>
      </c>
      <c r="D27" s="181">
        <v>5.1417731629393115E-2</v>
      </c>
      <c r="E27" s="180" t="s">
        <v>8</v>
      </c>
      <c r="F27" s="181" t="s">
        <v>8</v>
      </c>
      <c r="G27" s="182" t="s">
        <v>8</v>
      </c>
      <c r="H27" s="180" t="s">
        <v>8</v>
      </c>
      <c r="I27" s="181" t="s">
        <v>8</v>
      </c>
      <c r="J27" s="182" t="s">
        <v>8</v>
      </c>
      <c r="K27" s="180" t="s">
        <v>8</v>
      </c>
      <c r="L27" s="181" t="s">
        <v>8</v>
      </c>
      <c r="M27" s="182" t="s">
        <v>8</v>
      </c>
      <c r="N27" s="180" t="s">
        <v>8</v>
      </c>
      <c r="O27" s="181" t="s">
        <v>8</v>
      </c>
      <c r="P27" s="182" t="s">
        <v>8</v>
      </c>
      <c r="Q27" s="180" t="s">
        <v>8</v>
      </c>
      <c r="R27" s="181" t="s">
        <v>8</v>
      </c>
      <c r="S27" s="182" t="s">
        <v>8</v>
      </c>
      <c r="T27" s="180" t="s">
        <v>8</v>
      </c>
      <c r="U27" s="181" t="s">
        <v>8</v>
      </c>
      <c r="V27" s="182" t="s">
        <v>8</v>
      </c>
      <c r="W27" s="180" t="s">
        <v>8</v>
      </c>
      <c r="X27" s="181" t="s">
        <v>8</v>
      </c>
      <c r="Y27" s="182" t="s">
        <v>8</v>
      </c>
      <c r="Z27" s="180" t="s">
        <v>8</v>
      </c>
      <c r="AA27" s="181" t="s">
        <v>8</v>
      </c>
      <c r="AB27" s="182" t="s">
        <v>8</v>
      </c>
      <c r="AC27" s="180" t="s">
        <v>8</v>
      </c>
      <c r="AD27" s="181" t="s">
        <v>8</v>
      </c>
      <c r="AE27" s="182" t="s">
        <v>8</v>
      </c>
      <c r="AF27" s="180" t="s">
        <v>8</v>
      </c>
      <c r="AG27" s="181" t="s">
        <v>8</v>
      </c>
      <c r="AH27" s="182" t="s">
        <v>8</v>
      </c>
      <c r="AI27" s="180" t="s">
        <v>8</v>
      </c>
      <c r="AJ27" s="181" t="s">
        <v>8</v>
      </c>
      <c r="AK27" s="183" t="s">
        <v>8</v>
      </c>
    </row>
    <row r="28" spans="1:37" ht="15.75" customHeight="1">
      <c r="A28" s="179">
        <v>35704</v>
      </c>
      <c r="B28" s="180">
        <v>106.11433636186808</v>
      </c>
      <c r="C28" s="181">
        <v>5.6974646282403896E-3</v>
      </c>
      <c r="D28" s="181">
        <v>4.9029318541996991E-2</v>
      </c>
      <c r="E28" s="180" t="s">
        <v>8</v>
      </c>
      <c r="F28" s="181" t="s">
        <v>8</v>
      </c>
      <c r="G28" s="182" t="s">
        <v>8</v>
      </c>
      <c r="H28" s="180" t="s">
        <v>8</v>
      </c>
      <c r="I28" s="181" t="s">
        <v>8</v>
      </c>
      <c r="J28" s="182" t="s">
        <v>8</v>
      </c>
      <c r="K28" s="180" t="s">
        <v>8</v>
      </c>
      <c r="L28" s="181" t="s">
        <v>8</v>
      </c>
      <c r="M28" s="182" t="s">
        <v>8</v>
      </c>
      <c r="N28" s="180" t="s">
        <v>8</v>
      </c>
      <c r="O28" s="181" t="s">
        <v>8</v>
      </c>
      <c r="P28" s="182" t="s">
        <v>8</v>
      </c>
      <c r="Q28" s="180" t="s">
        <v>8</v>
      </c>
      <c r="R28" s="181" t="s">
        <v>8</v>
      </c>
      <c r="S28" s="182" t="s">
        <v>8</v>
      </c>
      <c r="T28" s="180" t="s">
        <v>8</v>
      </c>
      <c r="U28" s="181" t="s">
        <v>8</v>
      </c>
      <c r="V28" s="182" t="s">
        <v>8</v>
      </c>
      <c r="W28" s="180" t="s">
        <v>8</v>
      </c>
      <c r="X28" s="181" t="s">
        <v>8</v>
      </c>
      <c r="Y28" s="182" t="s">
        <v>8</v>
      </c>
      <c r="Z28" s="180" t="s">
        <v>8</v>
      </c>
      <c r="AA28" s="181" t="s">
        <v>8</v>
      </c>
      <c r="AB28" s="182" t="s">
        <v>8</v>
      </c>
      <c r="AC28" s="180" t="s">
        <v>8</v>
      </c>
      <c r="AD28" s="181" t="s">
        <v>8</v>
      </c>
      <c r="AE28" s="182" t="s">
        <v>8</v>
      </c>
      <c r="AF28" s="180" t="s">
        <v>8</v>
      </c>
      <c r="AG28" s="181" t="s">
        <v>8</v>
      </c>
      <c r="AH28" s="182" t="s">
        <v>8</v>
      </c>
      <c r="AI28" s="180" t="s">
        <v>8</v>
      </c>
      <c r="AJ28" s="181" t="s">
        <v>8</v>
      </c>
      <c r="AK28" s="183" t="s">
        <v>8</v>
      </c>
    </row>
    <row r="29" spans="1:37" ht="15.75" customHeight="1">
      <c r="A29" s="179">
        <v>35735</v>
      </c>
      <c r="B29" s="180">
        <v>106.76559043263774</v>
      </c>
      <c r="C29" s="181">
        <v>6.1372863752242601E-3</v>
      </c>
      <c r="D29" s="181">
        <v>5.2964426877470272E-2</v>
      </c>
      <c r="E29" s="180" t="s">
        <v>8</v>
      </c>
      <c r="F29" s="181" t="s">
        <v>8</v>
      </c>
      <c r="G29" s="182" t="s">
        <v>8</v>
      </c>
      <c r="H29" s="180" t="s">
        <v>8</v>
      </c>
      <c r="I29" s="181" t="s">
        <v>8</v>
      </c>
      <c r="J29" s="182" t="s">
        <v>8</v>
      </c>
      <c r="K29" s="180" t="s">
        <v>8</v>
      </c>
      <c r="L29" s="181" t="s">
        <v>8</v>
      </c>
      <c r="M29" s="182" t="s">
        <v>8</v>
      </c>
      <c r="N29" s="180" t="s">
        <v>8</v>
      </c>
      <c r="O29" s="181" t="s">
        <v>8</v>
      </c>
      <c r="P29" s="182" t="s">
        <v>8</v>
      </c>
      <c r="Q29" s="180" t="s">
        <v>8</v>
      </c>
      <c r="R29" s="181" t="s">
        <v>8</v>
      </c>
      <c r="S29" s="182" t="s">
        <v>8</v>
      </c>
      <c r="T29" s="180" t="s">
        <v>8</v>
      </c>
      <c r="U29" s="181" t="s">
        <v>8</v>
      </c>
      <c r="V29" s="182" t="s">
        <v>8</v>
      </c>
      <c r="W29" s="180" t="s">
        <v>8</v>
      </c>
      <c r="X29" s="181" t="s">
        <v>8</v>
      </c>
      <c r="Y29" s="182" t="s">
        <v>8</v>
      </c>
      <c r="Z29" s="180" t="s">
        <v>8</v>
      </c>
      <c r="AA29" s="181" t="s">
        <v>8</v>
      </c>
      <c r="AB29" s="182" t="s">
        <v>8</v>
      </c>
      <c r="AC29" s="180" t="s">
        <v>8</v>
      </c>
      <c r="AD29" s="181" t="s">
        <v>8</v>
      </c>
      <c r="AE29" s="182" t="s">
        <v>8</v>
      </c>
      <c r="AF29" s="180" t="s">
        <v>8</v>
      </c>
      <c r="AG29" s="181" t="s">
        <v>8</v>
      </c>
      <c r="AH29" s="182" t="s">
        <v>8</v>
      </c>
      <c r="AI29" s="180" t="s">
        <v>8</v>
      </c>
      <c r="AJ29" s="181" t="s">
        <v>8</v>
      </c>
      <c r="AK29" s="183" t="s">
        <v>8</v>
      </c>
    </row>
    <row r="30" spans="1:37" ht="15.75" customHeight="1">
      <c r="A30" s="179">
        <v>35765</v>
      </c>
      <c r="B30" s="180">
        <v>107.00605347415267</v>
      </c>
      <c r="C30" s="181">
        <v>2.2522522522521182E-3</v>
      </c>
      <c r="D30" s="181">
        <v>5.087080586440984E-2</v>
      </c>
      <c r="E30" s="180" t="s">
        <v>8</v>
      </c>
      <c r="F30" s="181" t="s">
        <v>8</v>
      </c>
      <c r="G30" s="182" t="s">
        <v>8</v>
      </c>
      <c r="H30" s="180" t="s">
        <v>8</v>
      </c>
      <c r="I30" s="181" t="s">
        <v>8</v>
      </c>
      <c r="J30" s="182" t="s">
        <v>8</v>
      </c>
      <c r="K30" s="180" t="s">
        <v>8</v>
      </c>
      <c r="L30" s="181" t="s">
        <v>8</v>
      </c>
      <c r="M30" s="182" t="s">
        <v>8</v>
      </c>
      <c r="N30" s="180" t="s">
        <v>8</v>
      </c>
      <c r="O30" s="181" t="s">
        <v>8</v>
      </c>
      <c r="P30" s="182" t="s">
        <v>8</v>
      </c>
      <c r="Q30" s="180" t="s">
        <v>8</v>
      </c>
      <c r="R30" s="181" t="s">
        <v>8</v>
      </c>
      <c r="S30" s="182" t="s">
        <v>8</v>
      </c>
      <c r="T30" s="180" t="s">
        <v>8</v>
      </c>
      <c r="U30" s="181" t="s">
        <v>8</v>
      </c>
      <c r="V30" s="182" t="s">
        <v>8</v>
      </c>
      <c r="W30" s="180" t="s">
        <v>8</v>
      </c>
      <c r="X30" s="181" t="s">
        <v>8</v>
      </c>
      <c r="Y30" s="182" t="s">
        <v>8</v>
      </c>
      <c r="Z30" s="180" t="s">
        <v>8</v>
      </c>
      <c r="AA30" s="181" t="s">
        <v>8</v>
      </c>
      <c r="AB30" s="182" t="s">
        <v>8</v>
      </c>
      <c r="AC30" s="180" t="s">
        <v>8</v>
      </c>
      <c r="AD30" s="181" t="s">
        <v>8</v>
      </c>
      <c r="AE30" s="182" t="s">
        <v>8</v>
      </c>
      <c r="AF30" s="180" t="s">
        <v>8</v>
      </c>
      <c r="AG30" s="181" t="s">
        <v>8</v>
      </c>
      <c r="AH30" s="182" t="s">
        <v>8</v>
      </c>
      <c r="AI30" s="180" t="s">
        <v>8</v>
      </c>
      <c r="AJ30" s="181" t="s">
        <v>8</v>
      </c>
      <c r="AK30" s="183" t="s">
        <v>8</v>
      </c>
    </row>
    <row r="31" spans="1:37" ht="15.75" customHeight="1">
      <c r="A31" s="179">
        <v>35796</v>
      </c>
      <c r="B31" s="180">
        <v>107.39680591661445</v>
      </c>
      <c r="C31" s="181">
        <v>3.6516853932584414E-3</v>
      </c>
      <c r="D31" s="181">
        <v>5.3878674663258019E-2</v>
      </c>
      <c r="E31" s="180" t="s">
        <v>8</v>
      </c>
      <c r="F31" s="181" t="s">
        <v>8</v>
      </c>
      <c r="G31" s="182" t="s">
        <v>8</v>
      </c>
      <c r="H31" s="180" t="s">
        <v>8</v>
      </c>
      <c r="I31" s="181" t="s">
        <v>8</v>
      </c>
      <c r="J31" s="182" t="s">
        <v>8</v>
      </c>
      <c r="K31" s="180" t="s">
        <v>8</v>
      </c>
      <c r="L31" s="181" t="s">
        <v>8</v>
      </c>
      <c r="M31" s="182" t="s">
        <v>8</v>
      </c>
      <c r="N31" s="180" t="s">
        <v>8</v>
      </c>
      <c r="O31" s="181" t="s">
        <v>8</v>
      </c>
      <c r="P31" s="182" t="s">
        <v>8</v>
      </c>
      <c r="Q31" s="180" t="s">
        <v>8</v>
      </c>
      <c r="R31" s="181" t="s">
        <v>8</v>
      </c>
      <c r="S31" s="182" t="s">
        <v>8</v>
      </c>
      <c r="T31" s="180" t="s">
        <v>8</v>
      </c>
      <c r="U31" s="181" t="s">
        <v>8</v>
      </c>
      <c r="V31" s="182" t="s">
        <v>8</v>
      </c>
      <c r="W31" s="180" t="s">
        <v>8</v>
      </c>
      <c r="X31" s="181" t="s">
        <v>8</v>
      </c>
      <c r="Y31" s="182" t="s">
        <v>8</v>
      </c>
      <c r="Z31" s="180" t="s">
        <v>8</v>
      </c>
      <c r="AA31" s="181" t="s">
        <v>8</v>
      </c>
      <c r="AB31" s="182" t="s">
        <v>8</v>
      </c>
      <c r="AC31" s="180" t="s">
        <v>8</v>
      </c>
      <c r="AD31" s="181" t="s">
        <v>8</v>
      </c>
      <c r="AE31" s="182" t="s">
        <v>8</v>
      </c>
      <c r="AF31" s="180" t="s">
        <v>8</v>
      </c>
      <c r="AG31" s="181" t="s">
        <v>8</v>
      </c>
      <c r="AH31" s="182" t="s">
        <v>8</v>
      </c>
      <c r="AI31" s="180" t="s">
        <v>8</v>
      </c>
      <c r="AJ31" s="181" t="s">
        <v>8</v>
      </c>
      <c r="AK31" s="183" t="s">
        <v>8</v>
      </c>
    </row>
    <row r="32" spans="1:37" ht="15.75" customHeight="1">
      <c r="A32" s="179">
        <v>35827</v>
      </c>
      <c r="B32" s="180">
        <v>107.4769602637861</v>
      </c>
      <c r="C32" s="181">
        <v>7.4633827782433215E-4</v>
      </c>
      <c r="D32" s="181">
        <v>4.4600253189209793E-2</v>
      </c>
      <c r="E32" s="180" t="s">
        <v>8</v>
      </c>
      <c r="F32" s="181" t="s">
        <v>8</v>
      </c>
      <c r="G32" s="182" t="s">
        <v>8</v>
      </c>
      <c r="H32" s="180" t="s">
        <v>8</v>
      </c>
      <c r="I32" s="181" t="s">
        <v>8</v>
      </c>
      <c r="J32" s="182" t="s">
        <v>8</v>
      </c>
      <c r="K32" s="180" t="s">
        <v>8</v>
      </c>
      <c r="L32" s="181" t="s">
        <v>8</v>
      </c>
      <c r="M32" s="182" t="s">
        <v>8</v>
      </c>
      <c r="N32" s="180" t="s">
        <v>8</v>
      </c>
      <c r="O32" s="181" t="s">
        <v>8</v>
      </c>
      <c r="P32" s="182" t="s">
        <v>8</v>
      </c>
      <c r="Q32" s="180" t="s">
        <v>8</v>
      </c>
      <c r="R32" s="181" t="s">
        <v>8</v>
      </c>
      <c r="S32" s="182" t="s">
        <v>8</v>
      </c>
      <c r="T32" s="180" t="s">
        <v>8</v>
      </c>
      <c r="U32" s="181" t="s">
        <v>8</v>
      </c>
      <c r="V32" s="182" t="s">
        <v>8</v>
      </c>
      <c r="W32" s="180" t="s">
        <v>8</v>
      </c>
      <c r="X32" s="181" t="s">
        <v>8</v>
      </c>
      <c r="Y32" s="182" t="s">
        <v>8</v>
      </c>
      <c r="Z32" s="180" t="s">
        <v>8</v>
      </c>
      <c r="AA32" s="181" t="s">
        <v>8</v>
      </c>
      <c r="AB32" s="182" t="s">
        <v>8</v>
      </c>
      <c r="AC32" s="180" t="s">
        <v>8</v>
      </c>
      <c r="AD32" s="181" t="s">
        <v>8</v>
      </c>
      <c r="AE32" s="182" t="s">
        <v>8</v>
      </c>
      <c r="AF32" s="180" t="s">
        <v>8</v>
      </c>
      <c r="AG32" s="181" t="s">
        <v>8</v>
      </c>
      <c r="AH32" s="182" t="s">
        <v>8</v>
      </c>
      <c r="AI32" s="180" t="s">
        <v>8</v>
      </c>
      <c r="AJ32" s="181" t="s">
        <v>8</v>
      </c>
      <c r="AK32" s="183" t="s">
        <v>8</v>
      </c>
    </row>
    <row r="33" spans="1:37" ht="15.75" customHeight="1">
      <c r="A33" s="179">
        <v>35855</v>
      </c>
      <c r="B33" s="180">
        <v>107.43688309020028</v>
      </c>
      <c r="C33" s="181">
        <v>-3.7289083620761776E-4</v>
      </c>
      <c r="D33" s="181">
        <v>3.5638400618118071E-2</v>
      </c>
      <c r="E33" s="180" t="s">
        <v>8</v>
      </c>
      <c r="F33" s="181" t="s">
        <v>8</v>
      </c>
      <c r="G33" s="182" t="s">
        <v>8</v>
      </c>
      <c r="H33" s="180" t="s">
        <v>8</v>
      </c>
      <c r="I33" s="181" t="s">
        <v>8</v>
      </c>
      <c r="J33" s="182" t="s">
        <v>8</v>
      </c>
      <c r="K33" s="180" t="s">
        <v>8</v>
      </c>
      <c r="L33" s="181" t="s">
        <v>8</v>
      </c>
      <c r="M33" s="182" t="s">
        <v>8</v>
      </c>
      <c r="N33" s="180" t="s">
        <v>8</v>
      </c>
      <c r="O33" s="181" t="s">
        <v>8</v>
      </c>
      <c r="P33" s="182" t="s">
        <v>8</v>
      </c>
      <c r="Q33" s="180" t="s">
        <v>8</v>
      </c>
      <c r="R33" s="181" t="s">
        <v>8</v>
      </c>
      <c r="S33" s="182" t="s">
        <v>8</v>
      </c>
      <c r="T33" s="180" t="s">
        <v>8</v>
      </c>
      <c r="U33" s="181" t="s">
        <v>8</v>
      </c>
      <c r="V33" s="182" t="s">
        <v>8</v>
      </c>
      <c r="W33" s="180" t="s">
        <v>8</v>
      </c>
      <c r="X33" s="181" t="s">
        <v>8</v>
      </c>
      <c r="Y33" s="182" t="s">
        <v>8</v>
      </c>
      <c r="Z33" s="180" t="s">
        <v>8</v>
      </c>
      <c r="AA33" s="181" t="s">
        <v>8</v>
      </c>
      <c r="AB33" s="182" t="s">
        <v>8</v>
      </c>
      <c r="AC33" s="180" t="s">
        <v>8</v>
      </c>
      <c r="AD33" s="181" t="s">
        <v>8</v>
      </c>
      <c r="AE33" s="182" t="s">
        <v>8</v>
      </c>
      <c r="AF33" s="180" t="s">
        <v>8</v>
      </c>
      <c r="AG33" s="181" t="s">
        <v>8</v>
      </c>
      <c r="AH33" s="182" t="s">
        <v>8</v>
      </c>
      <c r="AI33" s="180" t="s">
        <v>8</v>
      </c>
      <c r="AJ33" s="181" t="s">
        <v>8</v>
      </c>
      <c r="AK33" s="183" t="s">
        <v>8</v>
      </c>
    </row>
    <row r="34" spans="1:37" ht="15.75" customHeight="1">
      <c r="A34" s="179">
        <v>35886</v>
      </c>
      <c r="B34" s="180">
        <v>107.44690238359672</v>
      </c>
      <c r="C34" s="181">
        <v>9.32574839129785E-5</v>
      </c>
      <c r="D34" s="181">
        <v>3.3339757178646678E-2</v>
      </c>
      <c r="E34" s="180" t="s">
        <v>8</v>
      </c>
      <c r="F34" s="181" t="s">
        <v>8</v>
      </c>
      <c r="G34" s="182" t="s">
        <v>8</v>
      </c>
      <c r="H34" s="180" t="s">
        <v>8</v>
      </c>
      <c r="I34" s="181" t="s">
        <v>8</v>
      </c>
      <c r="J34" s="182" t="s">
        <v>8</v>
      </c>
      <c r="K34" s="180" t="s">
        <v>8</v>
      </c>
      <c r="L34" s="181" t="s">
        <v>8</v>
      </c>
      <c r="M34" s="182" t="s">
        <v>8</v>
      </c>
      <c r="N34" s="180" t="s">
        <v>8</v>
      </c>
      <c r="O34" s="181" t="s">
        <v>8</v>
      </c>
      <c r="P34" s="182" t="s">
        <v>8</v>
      </c>
      <c r="Q34" s="180" t="s">
        <v>8</v>
      </c>
      <c r="R34" s="181" t="s">
        <v>8</v>
      </c>
      <c r="S34" s="182" t="s">
        <v>8</v>
      </c>
      <c r="T34" s="180" t="s">
        <v>8</v>
      </c>
      <c r="U34" s="181" t="s">
        <v>8</v>
      </c>
      <c r="V34" s="182" t="s">
        <v>8</v>
      </c>
      <c r="W34" s="180" t="s">
        <v>8</v>
      </c>
      <c r="X34" s="181" t="s">
        <v>8</v>
      </c>
      <c r="Y34" s="182" t="s">
        <v>8</v>
      </c>
      <c r="Z34" s="180" t="s">
        <v>8</v>
      </c>
      <c r="AA34" s="181" t="s">
        <v>8</v>
      </c>
      <c r="AB34" s="182" t="s">
        <v>8</v>
      </c>
      <c r="AC34" s="180" t="s">
        <v>8</v>
      </c>
      <c r="AD34" s="181" t="s">
        <v>8</v>
      </c>
      <c r="AE34" s="182" t="s">
        <v>8</v>
      </c>
      <c r="AF34" s="180" t="s">
        <v>8</v>
      </c>
      <c r="AG34" s="181" t="s">
        <v>8</v>
      </c>
      <c r="AH34" s="182" t="s">
        <v>8</v>
      </c>
      <c r="AI34" s="180" t="s">
        <v>8</v>
      </c>
      <c r="AJ34" s="181" t="s">
        <v>8</v>
      </c>
      <c r="AK34" s="183" t="s">
        <v>8</v>
      </c>
    </row>
    <row r="35" spans="1:37" ht="15.75" customHeight="1">
      <c r="A35" s="179">
        <v>35916</v>
      </c>
      <c r="B35" s="180">
        <v>107.25653580906406</v>
      </c>
      <c r="C35" s="181">
        <v>-1.7717269675493474E-3</v>
      </c>
      <c r="D35" s="181">
        <v>3.1807228915662344E-2</v>
      </c>
      <c r="E35" s="180">
        <v>106.99063529131998</v>
      </c>
      <c r="F35" s="181" t="s">
        <v>8</v>
      </c>
      <c r="G35" s="182" t="s">
        <v>8</v>
      </c>
      <c r="H35" s="180" t="s">
        <v>8</v>
      </c>
      <c r="I35" s="181" t="s">
        <v>8</v>
      </c>
      <c r="J35" s="182" t="s">
        <v>8</v>
      </c>
      <c r="K35" s="180" t="s">
        <v>8</v>
      </c>
      <c r="L35" s="181" t="s">
        <v>8</v>
      </c>
      <c r="M35" s="182" t="s">
        <v>8</v>
      </c>
      <c r="N35" s="180" t="s">
        <v>8</v>
      </c>
      <c r="O35" s="181" t="s">
        <v>8</v>
      </c>
      <c r="P35" s="182" t="s">
        <v>8</v>
      </c>
      <c r="Q35" s="180" t="s">
        <v>8</v>
      </c>
      <c r="R35" s="181" t="s">
        <v>8</v>
      </c>
      <c r="S35" s="182" t="s">
        <v>8</v>
      </c>
      <c r="T35" s="180" t="s">
        <v>8</v>
      </c>
      <c r="U35" s="181" t="s">
        <v>8</v>
      </c>
      <c r="V35" s="182" t="s">
        <v>8</v>
      </c>
      <c r="W35" s="180" t="s">
        <v>8</v>
      </c>
      <c r="X35" s="181" t="s">
        <v>8</v>
      </c>
      <c r="Y35" s="182" t="s">
        <v>8</v>
      </c>
      <c r="Z35" s="180" t="s">
        <v>8</v>
      </c>
      <c r="AA35" s="181" t="s">
        <v>8</v>
      </c>
      <c r="AB35" s="182" t="s">
        <v>8</v>
      </c>
      <c r="AC35" s="180" t="s">
        <v>8</v>
      </c>
      <c r="AD35" s="181" t="s">
        <v>8</v>
      </c>
      <c r="AE35" s="182" t="s">
        <v>8</v>
      </c>
      <c r="AF35" s="180" t="s">
        <v>8</v>
      </c>
      <c r="AG35" s="181" t="s">
        <v>8</v>
      </c>
      <c r="AH35" s="182" t="s">
        <v>8</v>
      </c>
      <c r="AI35" s="180" t="s">
        <v>8</v>
      </c>
      <c r="AJ35" s="181" t="s">
        <v>8</v>
      </c>
      <c r="AK35" s="183" t="s">
        <v>8</v>
      </c>
    </row>
    <row r="36" spans="1:37" ht="15.75" customHeight="1">
      <c r="A36" s="179">
        <v>35947</v>
      </c>
      <c r="B36" s="180">
        <v>107.33669015623572</v>
      </c>
      <c r="C36" s="181">
        <v>7.4731433909391853E-4</v>
      </c>
      <c r="D36" s="181">
        <v>3.3375132632391002E-2</v>
      </c>
      <c r="E36" s="180">
        <v>107.21531562543173</v>
      </c>
      <c r="F36" s="181">
        <v>2.0999999999997687E-3</v>
      </c>
      <c r="G36" s="181" t="s">
        <v>8</v>
      </c>
      <c r="H36" s="180" t="s">
        <v>8</v>
      </c>
      <c r="I36" s="181" t="s">
        <v>8</v>
      </c>
      <c r="J36" s="182" t="s">
        <v>8</v>
      </c>
      <c r="K36" s="180" t="s">
        <v>8</v>
      </c>
      <c r="L36" s="181" t="s">
        <v>8</v>
      </c>
      <c r="M36" s="182" t="s">
        <v>8</v>
      </c>
      <c r="N36" s="180" t="s">
        <v>8</v>
      </c>
      <c r="O36" s="181" t="s">
        <v>8</v>
      </c>
      <c r="P36" s="182" t="s">
        <v>8</v>
      </c>
      <c r="Q36" s="180" t="s">
        <v>8</v>
      </c>
      <c r="R36" s="181" t="s">
        <v>8</v>
      </c>
      <c r="S36" s="182" t="s">
        <v>8</v>
      </c>
      <c r="T36" s="180" t="s">
        <v>8</v>
      </c>
      <c r="U36" s="181" t="s">
        <v>8</v>
      </c>
      <c r="V36" s="182" t="s">
        <v>8</v>
      </c>
      <c r="W36" s="180" t="s">
        <v>8</v>
      </c>
      <c r="X36" s="181" t="s">
        <v>8</v>
      </c>
      <c r="Y36" s="182" t="s">
        <v>8</v>
      </c>
      <c r="Z36" s="180" t="s">
        <v>8</v>
      </c>
      <c r="AA36" s="181" t="s">
        <v>8</v>
      </c>
      <c r="AB36" s="182" t="s">
        <v>8</v>
      </c>
      <c r="AC36" s="180" t="s">
        <v>8</v>
      </c>
      <c r="AD36" s="181" t="s">
        <v>8</v>
      </c>
      <c r="AE36" s="182" t="s">
        <v>8</v>
      </c>
      <c r="AF36" s="180" t="s">
        <v>8</v>
      </c>
      <c r="AG36" s="181" t="s">
        <v>8</v>
      </c>
      <c r="AH36" s="182" t="s">
        <v>8</v>
      </c>
      <c r="AI36" s="180" t="s">
        <v>8</v>
      </c>
      <c r="AJ36" s="181" t="s">
        <v>8</v>
      </c>
      <c r="AK36" s="183" t="s">
        <v>8</v>
      </c>
    </row>
    <row r="37" spans="1:37" ht="15.75" customHeight="1">
      <c r="A37" s="179">
        <v>35977</v>
      </c>
      <c r="B37" s="180">
        <v>107.50701814397547</v>
      </c>
      <c r="C37" s="181">
        <v>1.5868570895174461E-3</v>
      </c>
      <c r="D37" s="181">
        <v>3.2028469750889244E-2</v>
      </c>
      <c r="E37" s="180">
        <v>107.4083031935575</v>
      </c>
      <c r="F37" s="181">
        <v>1.8000000000000238E-3</v>
      </c>
      <c r="G37" s="181" t="s">
        <v>8</v>
      </c>
      <c r="H37" s="180" t="s">
        <v>8</v>
      </c>
      <c r="I37" s="181" t="s">
        <v>8</v>
      </c>
      <c r="J37" s="182" t="s">
        <v>8</v>
      </c>
      <c r="K37" s="180" t="s">
        <v>8</v>
      </c>
      <c r="L37" s="181" t="s">
        <v>8</v>
      </c>
      <c r="M37" s="182" t="s">
        <v>8</v>
      </c>
      <c r="N37" s="180" t="s">
        <v>8</v>
      </c>
      <c r="O37" s="181" t="s">
        <v>8</v>
      </c>
      <c r="P37" s="182" t="s">
        <v>8</v>
      </c>
      <c r="Q37" s="180" t="s">
        <v>8</v>
      </c>
      <c r="R37" s="181" t="s">
        <v>8</v>
      </c>
      <c r="S37" s="182" t="s">
        <v>8</v>
      </c>
      <c r="T37" s="180" t="s">
        <v>8</v>
      </c>
      <c r="U37" s="181" t="s">
        <v>8</v>
      </c>
      <c r="V37" s="182" t="s">
        <v>8</v>
      </c>
      <c r="W37" s="180" t="s">
        <v>8</v>
      </c>
      <c r="X37" s="181" t="s">
        <v>8</v>
      </c>
      <c r="Y37" s="182" t="s">
        <v>8</v>
      </c>
      <c r="Z37" s="180" t="s">
        <v>8</v>
      </c>
      <c r="AA37" s="181" t="s">
        <v>8</v>
      </c>
      <c r="AB37" s="182" t="s">
        <v>8</v>
      </c>
      <c r="AC37" s="180" t="s">
        <v>8</v>
      </c>
      <c r="AD37" s="181" t="s">
        <v>8</v>
      </c>
      <c r="AE37" s="182" t="s">
        <v>8</v>
      </c>
      <c r="AF37" s="180" t="s">
        <v>8</v>
      </c>
      <c r="AG37" s="181" t="s">
        <v>8</v>
      </c>
      <c r="AH37" s="182" t="s">
        <v>8</v>
      </c>
      <c r="AI37" s="180" t="s">
        <v>8</v>
      </c>
      <c r="AJ37" s="181" t="s">
        <v>8</v>
      </c>
      <c r="AK37" s="183" t="s">
        <v>8</v>
      </c>
    </row>
    <row r="38" spans="1:37" ht="15.75" customHeight="1">
      <c r="A38" s="179">
        <v>36008</v>
      </c>
      <c r="B38" s="180">
        <v>107.40682521001091</v>
      </c>
      <c r="C38" s="181">
        <v>-9.3196644920778837E-4</v>
      </c>
      <c r="D38" s="181">
        <v>2.4269061723676488E-2</v>
      </c>
      <c r="E38" s="180">
        <v>107.64997187574303</v>
      </c>
      <c r="F38" s="181">
        <v>2.2500000000003073E-3</v>
      </c>
      <c r="G38" s="181" t="s">
        <v>8</v>
      </c>
      <c r="H38" s="180" t="s">
        <v>8</v>
      </c>
      <c r="I38" s="181" t="s">
        <v>8</v>
      </c>
      <c r="J38" s="182" t="s">
        <v>8</v>
      </c>
      <c r="K38" s="180" t="s">
        <v>8</v>
      </c>
      <c r="L38" s="181" t="s">
        <v>8</v>
      </c>
      <c r="M38" s="182" t="s">
        <v>8</v>
      </c>
      <c r="N38" s="180" t="s">
        <v>8</v>
      </c>
      <c r="O38" s="181" t="s">
        <v>8</v>
      </c>
      <c r="P38" s="182" t="s">
        <v>8</v>
      </c>
      <c r="Q38" s="180" t="s">
        <v>8</v>
      </c>
      <c r="R38" s="181" t="s">
        <v>8</v>
      </c>
      <c r="S38" s="182" t="s">
        <v>8</v>
      </c>
      <c r="T38" s="180" t="s">
        <v>8</v>
      </c>
      <c r="U38" s="181" t="s">
        <v>8</v>
      </c>
      <c r="V38" s="182" t="s">
        <v>8</v>
      </c>
      <c r="W38" s="180" t="s">
        <v>8</v>
      </c>
      <c r="X38" s="181" t="s">
        <v>8</v>
      </c>
      <c r="Y38" s="182" t="s">
        <v>8</v>
      </c>
      <c r="Z38" s="180" t="s">
        <v>8</v>
      </c>
      <c r="AA38" s="181" t="s">
        <v>8</v>
      </c>
      <c r="AB38" s="182" t="s">
        <v>8</v>
      </c>
      <c r="AC38" s="180" t="s">
        <v>8</v>
      </c>
      <c r="AD38" s="181" t="s">
        <v>8</v>
      </c>
      <c r="AE38" s="182" t="s">
        <v>8</v>
      </c>
      <c r="AF38" s="180" t="s">
        <v>8</v>
      </c>
      <c r="AG38" s="181" t="s">
        <v>8</v>
      </c>
      <c r="AH38" s="182" t="s">
        <v>8</v>
      </c>
      <c r="AI38" s="180" t="s">
        <v>8</v>
      </c>
      <c r="AJ38" s="181" t="s">
        <v>8</v>
      </c>
      <c r="AK38" s="183" t="s">
        <v>8</v>
      </c>
    </row>
    <row r="39" spans="1:37" ht="15.75" customHeight="1">
      <c r="A39" s="179">
        <v>36039</v>
      </c>
      <c r="B39" s="180">
        <v>107.20643934208178</v>
      </c>
      <c r="C39" s="181">
        <v>-1.8656716417910779E-3</v>
      </c>
      <c r="D39" s="181">
        <v>1.6047858702876949E-2</v>
      </c>
      <c r="E39" s="180">
        <v>107.61111023589589</v>
      </c>
      <c r="F39" s="181">
        <v>-3.6099999999999999E-4</v>
      </c>
      <c r="G39" s="181" t="s">
        <v>8</v>
      </c>
      <c r="H39" s="180" t="s">
        <v>8</v>
      </c>
      <c r="I39" s="181" t="s">
        <v>8</v>
      </c>
      <c r="J39" s="182" t="s">
        <v>8</v>
      </c>
      <c r="K39" s="180" t="s">
        <v>8</v>
      </c>
      <c r="L39" s="181" t="s">
        <v>8</v>
      </c>
      <c r="M39" s="182" t="s">
        <v>8</v>
      </c>
      <c r="N39" s="180" t="s">
        <v>8</v>
      </c>
      <c r="O39" s="181" t="s">
        <v>8</v>
      </c>
      <c r="P39" s="182" t="s">
        <v>8</v>
      </c>
      <c r="Q39" s="180" t="s">
        <v>8</v>
      </c>
      <c r="R39" s="181" t="s">
        <v>8</v>
      </c>
      <c r="S39" s="182" t="s">
        <v>8</v>
      </c>
      <c r="T39" s="180" t="s">
        <v>8</v>
      </c>
      <c r="U39" s="181" t="s">
        <v>8</v>
      </c>
      <c r="V39" s="182" t="s">
        <v>8</v>
      </c>
      <c r="W39" s="180" t="s">
        <v>8</v>
      </c>
      <c r="X39" s="181" t="s">
        <v>8</v>
      </c>
      <c r="Y39" s="182" t="s">
        <v>8</v>
      </c>
      <c r="Z39" s="180" t="s">
        <v>8</v>
      </c>
      <c r="AA39" s="181" t="s">
        <v>8</v>
      </c>
      <c r="AB39" s="182" t="s">
        <v>8</v>
      </c>
      <c r="AC39" s="180" t="s">
        <v>8</v>
      </c>
      <c r="AD39" s="181" t="s">
        <v>8</v>
      </c>
      <c r="AE39" s="182" t="s">
        <v>8</v>
      </c>
      <c r="AF39" s="180" t="s">
        <v>8</v>
      </c>
      <c r="AG39" s="181" t="s">
        <v>8</v>
      </c>
      <c r="AH39" s="182" t="s">
        <v>8</v>
      </c>
      <c r="AI39" s="180" t="s">
        <v>8</v>
      </c>
      <c r="AJ39" s="181" t="s">
        <v>8</v>
      </c>
      <c r="AK39" s="183" t="s">
        <v>8</v>
      </c>
    </row>
    <row r="40" spans="1:37" ht="15.75" customHeight="1">
      <c r="A40" s="179">
        <v>36069</v>
      </c>
      <c r="B40" s="180">
        <v>107.10624640811723</v>
      </c>
      <c r="C40" s="181">
        <v>-9.3457943925223663E-4</v>
      </c>
      <c r="D40" s="181">
        <v>9.3475592484182357E-3</v>
      </c>
      <c r="E40" s="180">
        <v>106.94338329688216</v>
      </c>
      <c r="F40" s="181">
        <v>-6.2050000000000004E-3</v>
      </c>
      <c r="G40" s="181" t="s">
        <v>8</v>
      </c>
      <c r="H40" s="180" t="s">
        <v>8</v>
      </c>
      <c r="I40" s="181" t="s">
        <v>8</v>
      </c>
      <c r="J40" s="182" t="s">
        <v>8</v>
      </c>
      <c r="K40" s="180" t="s">
        <v>8</v>
      </c>
      <c r="L40" s="181" t="s">
        <v>8</v>
      </c>
      <c r="M40" s="182" t="s">
        <v>8</v>
      </c>
      <c r="N40" s="180" t="s">
        <v>8</v>
      </c>
      <c r="O40" s="181" t="s">
        <v>8</v>
      </c>
      <c r="P40" s="182" t="s">
        <v>8</v>
      </c>
      <c r="Q40" s="180" t="s">
        <v>8</v>
      </c>
      <c r="R40" s="181" t="s">
        <v>8</v>
      </c>
      <c r="S40" s="182" t="s">
        <v>8</v>
      </c>
      <c r="T40" s="180" t="s">
        <v>8</v>
      </c>
      <c r="U40" s="181" t="s">
        <v>8</v>
      </c>
      <c r="V40" s="182" t="s">
        <v>8</v>
      </c>
      <c r="W40" s="180" t="s">
        <v>8</v>
      </c>
      <c r="X40" s="181" t="s">
        <v>8</v>
      </c>
      <c r="Y40" s="182" t="s">
        <v>8</v>
      </c>
      <c r="Z40" s="180" t="s">
        <v>8</v>
      </c>
      <c r="AA40" s="181" t="s">
        <v>8</v>
      </c>
      <c r="AB40" s="182" t="s">
        <v>8</v>
      </c>
      <c r="AC40" s="180" t="s">
        <v>8</v>
      </c>
      <c r="AD40" s="181" t="s">
        <v>8</v>
      </c>
      <c r="AE40" s="182" t="s">
        <v>8</v>
      </c>
      <c r="AF40" s="180" t="s">
        <v>8</v>
      </c>
      <c r="AG40" s="181" t="s">
        <v>8</v>
      </c>
      <c r="AH40" s="182" t="s">
        <v>8</v>
      </c>
      <c r="AI40" s="180" t="s">
        <v>8</v>
      </c>
      <c r="AJ40" s="181" t="s">
        <v>8</v>
      </c>
      <c r="AK40" s="183" t="s">
        <v>8</v>
      </c>
    </row>
    <row r="41" spans="1:37" ht="15.75" customHeight="1">
      <c r="A41" s="179">
        <v>36100</v>
      </c>
      <c r="B41" s="180">
        <v>107.40682521001092</v>
      </c>
      <c r="C41" s="181">
        <v>2.8063610851263299E-3</v>
      </c>
      <c r="D41" s="181">
        <v>6.0060060060058706E-3</v>
      </c>
      <c r="E41" s="180">
        <v>106.37572781834231</v>
      </c>
      <c r="F41" s="181">
        <v>-5.3080000000000002E-3</v>
      </c>
      <c r="G41" s="181" t="s">
        <v>8</v>
      </c>
      <c r="H41" s="180" t="s">
        <v>8</v>
      </c>
      <c r="I41" s="181" t="s">
        <v>8</v>
      </c>
      <c r="J41" s="182" t="s">
        <v>8</v>
      </c>
      <c r="K41" s="180" t="s">
        <v>8</v>
      </c>
      <c r="L41" s="181" t="s">
        <v>8</v>
      </c>
      <c r="M41" s="182" t="s">
        <v>8</v>
      </c>
      <c r="N41" s="180" t="s">
        <v>8</v>
      </c>
      <c r="O41" s="181" t="s">
        <v>8</v>
      </c>
      <c r="P41" s="182" t="s">
        <v>8</v>
      </c>
      <c r="Q41" s="180" t="s">
        <v>8</v>
      </c>
      <c r="R41" s="181" t="s">
        <v>8</v>
      </c>
      <c r="S41" s="182" t="s">
        <v>8</v>
      </c>
      <c r="T41" s="180" t="s">
        <v>8</v>
      </c>
      <c r="U41" s="181" t="s">
        <v>8</v>
      </c>
      <c r="V41" s="182" t="s">
        <v>8</v>
      </c>
      <c r="W41" s="180" t="s">
        <v>8</v>
      </c>
      <c r="X41" s="181" t="s">
        <v>8</v>
      </c>
      <c r="Y41" s="182" t="s">
        <v>8</v>
      </c>
      <c r="Z41" s="180" t="s">
        <v>8</v>
      </c>
      <c r="AA41" s="181" t="s">
        <v>8</v>
      </c>
      <c r="AB41" s="182" t="s">
        <v>8</v>
      </c>
      <c r="AC41" s="180" t="s">
        <v>8</v>
      </c>
      <c r="AD41" s="181" t="s">
        <v>8</v>
      </c>
      <c r="AE41" s="182" t="s">
        <v>8</v>
      </c>
      <c r="AF41" s="180" t="s">
        <v>8</v>
      </c>
      <c r="AG41" s="181" t="s">
        <v>8</v>
      </c>
      <c r="AH41" s="182" t="s">
        <v>8</v>
      </c>
      <c r="AI41" s="180" t="s">
        <v>8</v>
      </c>
      <c r="AJ41" s="181" t="s">
        <v>8</v>
      </c>
      <c r="AK41" s="183" t="s">
        <v>8</v>
      </c>
    </row>
    <row r="42" spans="1:37" ht="15.75" customHeight="1">
      <c r="A42" s="179">
        <v>36130</v>
      </c>
      <c r="B42" s="180">
        <v>107.23192368143958</v>
      </c>
      <c r="C42" s="181">
        <v>-1.6284023685585458E-3</v>
      </c>
      <c r="D42" s="181">
        <v>2.1108170982258034E-3</v>
      </c>
      <c r="E42" s="180">
        <v>105.91405715961071</v>
      </c>
      <c r="F42" s="181">
        <v>-4.3400000000000001E-3</v>
      </c>
      <c r="G42" s="181" t="s">
        <v>8</v>
      </c>
      <c r="H42" s="180" t="s">
        <v>8</v>
      </c>
      <c r="I42" s="181" t="s">
        <v>8</v>
      </c>
      <c r="J42" s="182" t="s">
        <v>8</v>
      </c>
      <c r="K42" s="180" t="s">
        <v>8</v>
      </c>
      <c r="L42" s="181" t="s">
        <v>8</v>
      </c>
      <c r="M42" s="182" t="s">
        <v>8</v>
      </c>
      <c r="N42" s="180" t="s">
        <v>8</v>
      </c>
      <c r="O42" s="181" t="s">
        <v>8</v>
      </c>
      <c r="P42" s="182" t="s">
        <v>8</v>
      </c>
      <c r="Q42" s="180" t="s">
        <v>8</v>
      </c>
      <c r="R42" s="181" t="s">
        <v>8</v>
      </c>
      <c r="S42" s="182" t="s">
        <v>8</v>
      </c>
      <c r="T42" s="180" t="s">
        <v>8</v>
      </c>
      <c r="U42" s="181" t="s">
        <v>8</v>
      </c>
      <c r="V42" s="182" t="s">
        <v>8</v>
      </c>
      <c r="W42" s="180" t="s">
        <v>8</v>
      </c>
      <c r="X42" s="181" t="s">
        <v>8</v>
      </c>
      <c r="Y42" s="182" t="s">
        <v>8</v>
      </c>
      <c r="Z42" s="180" t="s">
        <v>8</v>
      </c>
      <c r="AA42" s="181" t="s">
        <v>8</v>
      </c>
      <c r="AB42" s="182" t="s">
        <v>8</v>
      </c>
      <c r="AC42" s="180" t="s">
        <v>8</v>
      </c>
      <c r="AD42" s="181" t="s">
        <v>8</v>
      </c>
      <c r="AE42" s="182" t="s">
        <v>8</v>
      </c>
      <c r="AF42" s="180" t="s">
        <v>8</v>
      </c>
      <c r="AG42" s="181" t="s">
        <v>8</v>
      </c>
      <c r="AH42" s="182" t="s">
        <v>8</v>
      </c>
      <c r="AI42" s="180" t="s">
        <v>8</v>
      </c>
      <c r="AJ42" s="181" t="s">
        <v>8</v>
      </c>
      <c r="AK42" s="183" t="s">
        <v>8</v>
      </c>
    </row>
    <row r="43" spans="1:37" ht="15.75" customHeight="1">
      <c r="A43" s="179">
        <v>36161</v>
      </c>
      <c r="B43" s="180">
        <v>106.78959199625363</v>
      </c>
      <c r="C43" s="181">
        <v>-4.1250000000000002E-3</v>
      </c>
      <c r="D43" s="181">
        <v>-5.6539290454529212E-3</v>
      </c>
      <c r="E43" s="180">
        <v>105.2857749725399</v>
      </c>
      <c r="F43" s="181">
        <v>-5.9319999999999998E-3</v>
      </c>
      <c r="G43" s="181" t="s">
        <v>8</v>
      </c>
      <c r="H43" s="180" t="s">
        <v>8</v>
      </c>
      <c r="I43" s="181" t="s">
        <v>8</v>
      </c>
      <c r="J43" s="182" t="s">
        <v>8</v>
      </c>
      <c r="K43" s="180" t="s">
        <v>8</v>
      </c>
      <c r="L43" s="181" t="s">
        <v>8</v>
      </c>
      <c r="M43" s="182" t="s">
        <v>8</v>
      </c>
      <c r="N43" s="180" t="s">
        <v>8</v>
      </c>
      <c r="O43" s="181" t="s">
        <v>8</v>
      </c>
      <c r="P43" s="182" t="s">
        <v>8</v>
      </c>
      <c r="Q43" s="180" t="s">
        <v>8</v>
      </c>
      <c r="R43" s="181" t="s">
        <v>8</v>
      </c>
      <c r="S43" s="182" t="s">
        <v>8</v>
      </c>
      <c r="T43" s="180" t="s">
        <v>8</v>
      </c>
      <c r="U43" s="181" t="s">
        <v>8</v>
      </c>
      <c r="V43" s="182" t="s">
        <v>8</v>
      </c>
      <c r="W43" s="180" t="s">
        <v>8</v>
      </c>
      <c r="X43" s="181" t="s">
        <v>8</v>
      </c>
      <c r="Y43" s="182" t="s">
        <v>8</v>
      </c>
      <c r="Z43" s="180" t="s">
        <v>8</v>
      </c>
      <c r="AA43" s="181" t="s">
        <v>8</v>
      </c>
      <c r="AB43" s="182" t="s">
        <v>8</v>
      </c>
      <c r="AC43" s="180" t="s">
        <v>8</v>
      </c>
      <c r="AD43" s="181" t="s">
        <v>8</v>
      </c>
      <c r="AE43" s="182" t="s">
        <v>8</v>
      </c>
      <c r="AF43" s="180" t="s">
        <v>8</v>
      </c>
      <c r="AG43" s="181" t="s">
        <v>8</v>
      </c>
      <c r="AH43" s="182" t="s">
        <v>8</v>
      </c>
      <c r="AI43" s="180" t="s">
        <v>8</v>
      </c>
      <c r="AJ43" s="181" t="s">
        <v>8</v>
      </c>
      <c r="AK43" s="183" t="s">
        <v>8</v>
      </c>
    </row>
    <row r="44" spans="1:37" ht="15.75" customHeight="1">
      <c r="A44" s="179">
        <v>36192</v>
      </c>
      <c r="B44" s="180">
        <v>106.20451000243617</v>
      </c>
      <c r="C44" s="181">
        <v>-5.4788297518544304E-3</v>
      </c>
      <c r="D44" s="181">
        <v>-1.1839284049594334E-2</v>
      </c>
      <c r="E44" s="180">
        <v>104.25355323470912</v>
      </c>
      <c r="F44" s="181">
        <v>-9.8040000000000002E-3</v>
      </c>
      <c r="G44" s="181" t="s">
        <v>8</v>
      </c>
      <c r="H44" s="180" t="s">
        <v>8</v>
      </c>
      <c r="I44" s="181" t="s">
        <v>8</v>
      </c>
      <c r="J44" s="182" t="s">
        <v>8</v>
      </c>
      <c r="K44" s="180" t="s">
        <v>8</v>
      </c>
      <c r="L44" s="181" t="s">
        <v>8</v>
      </c>
      <c r="M44" s="182" t="s">
        <v>8</v>
      </c>
      <c r="N44" s="180" t="s">
        <v>8</v>
      </c>
      <c r="O44" s="181" t="s">
        <v>8</v>
      </c>
      <c r="P44" s="182" t="s">
        <v>8</v>
      </c>
      <c r="Q44" s="180" t="s">
        <v>8</v>
      </c>
      <c r="R44" s="181" t="s">
        <v>8</v>
      </c>
      <c r="S44" s="182" t="s">
        <v>8</v>
      </c>
      <c r="T44" s="180" t="s">
        <v>8</v>
      </c>
      <c r="U44" s="181" t="s">
        <v>8</v>
      </c>
      <c r="V44" s="182" t="s">
        <v>8</v>
      </c>
      <c r="W44" s="180" t="s">
        <v>8</v>
      </c>
      <c r="X44" s="181" t="s">
        <v>8</v>
      </c>
      <c r="Y44" s="182" t="s">
        <v>8</v>
      </c>
      <c r="Z44" s="180" t="s">
        <v>8</v>
      </c>
      <c r="AA44" s="181" t="s">
        <v>8</v>
      </c>
      <c r="AB44" s="182" t="s">
        <v>8</v>
      </c>
      <c r="AC44" s="180" t="s">
        <v>8</v>
      </c>
      <c r="AD44" s="181" t="s">
        <v>8</v>
      </c>
      <c r="AE44" s="182" t="s">
        <v>8</v>
      </c>
      <c r="AF44" s="180" t="s">
        <v>8</v>
      </c>
      <c r="AG44" s="181" t="s">
        <v>8</v>
      </c>
      <c r="AH44" s="182" t="s">
        <v>8</v>
      </c>
      <c r="AI44" s="180" t="s">
        <v>8</v>
      </c>
      <c r="AJ44" s="181" t="s">
        <v>8</v>
      </c>
      <c r="AK44" s="183" t="s">
        <v>8</v>
      </c>
    </row>
    <row r="45" spans="1:37" ht="15.75" customHeight="1">
      <c r="A45" s="179">
        <v>36220</v>
      </c>
      <c r="B45" s="180">
        <v>106.41243513372206</v>
      </c>
      <c r="C45" s="181">
        <v>1.957780618554894E-3</v>
      </c>
      <c r="D45" s="181">
        <v>-9.5353469591828999E-3</v>
      </c>
      <c r="E45" s="180">
        <v>104.81579264730389</v>
      </c>
      <c r="F45" s="181">
        <v>5.3930000000000002E-3</v>
      </c>
      <c r="G45" s="181" t="s">
        <v>8</v>
      </c>
      <c r="H45" s="180" t="s">
        <v>8</v>
      </c>
      <c r="I45" s="181" t="s">
        <v>8</v>
      </c>
      <c r="J45" s="182" t="s">
        <v>8</v>
      </c>
      <c r="K45" s="180" t="s">
        <v>8</v>
      </c>
      <c r="L45" s="181" t="s">
        <v>8</v>
      </c>
      <c r="M45" s="182" t="s">
        <v>8</v>
      </c>
      <c r="N45" s="180" t="s">
        <v>8</v>
      </c>
      <c r="O45" s="181" t="s">
        <v>8</v>
      </c>
      <c r="P45" s="182" t="s">
        <v>8</v>
      </c>
      <c r="Q45" s="180" t="s">
        <v>8</v>
      </c>
      <c r="R45" s="181" t="s">
        <v>8</v>
      </c>
      <c r="S45" s="182" t="s">
        <v>8</v>
      </c>
      <c r="T45" s="180" t="s">
        <v>8</v>
      </c>
      <c r="U45" s="181" t="s">
        <v>8</v>
      </c>
      <c r="V45" s="182" t="s">
        <v>8</v>
      </c>
      <c r="W45" s="180" t="s">
        <v>8</v>
      </c>
      <c r="X45" s="181" t="s">
        <v>8</v>
      </c>
      <c r="Y45" s="182" t="s">
        <v>8</v>
      </c>
      <c r="Z45" s="180" t="s">
        <v>8</v>
      </c>
      <c r="AA45" s="181" t="s">
        <v>8</v>
      </c>
      <c r="AB45" s="182" t="s">
        <v>8</v>
      </c>
      <c r="AC45" s="180" t="s">
        <v>8</v>
      </c>
      <c r="AD45" s="181" t="s">
        <v>8</v>
      </c>
      <c r="AE45" s="182" t="s">
        <v>8</v>
      </c>
      <c r="AF45" s="180" t="s">
        <v>8</v>
      </c>
      <c r="AG45" s="181" t="s">
        <v>8</v>
      </c>
      <c r="AH45" s="182" t="s">
        <v>8</v>
      </c>
      <c r="AI45" s="180" t="s">
        <v>8</v>
      </c>
      <c r="AJ45" s="181" t="s">
        <v>8</v>
      </c>
      <c r="AK45" s="183" t="s">
        <v>8</v>
      </c>
    </row>
    <row r="46" spans="1:37" ht="15.75" customHeight="1">
      <c r="A46" s="179">
        <v>36251</v>
      </c>
      <c r="B46" s="180">
        <v>105.73692899549319</v>
      </c>
      <c r="C46" s="181">
        <v>-6.3480000000000003E-3</v>
      </c>
      <c r="D46" s="181">
        <v>-1.591458990598682E-2</v>
      </c>
      <c r="E46" s="180">
        <v>104.62052082560197</v>
      </c>
      <c r="F46" s="181">
        <v>-1.8629999999999999E-3</v>
      </c>
      <c r="G46" s="181" t="s">
        <v>8</v>
      </c>
      <c r="H46" s="180" t="s">
        <v>8</v>
      </c>
      <c r="I46" s="181" t="s">
        <v>8</v>
      </c>
      <c r="J46" s="182" t="s">
        <v>8</v>
      </c>
      <c r="K46" s="180" t="s">
        <v>8</v>
      </c>
      <c r="L46" s="181" t="s">
        <v>8</v>
      </c>
      <c r="M46" s="182" t="s">
        <v>8</v>
      </c>
      <c r="N46" s="180" t="s">
        <v>8</v>
      </c>
      <c r="O46" s="181" t="s">
        <v>8</v>
      </c>
      <c r="P46" s="182" t="s">
        <v>8</v>
      </c>
      <c r="Q46" s="180" t="s">
        <v>8</v>
      </c>
      <c r="R46" s="181" t="s">
        <v>8</v>
      </c>
      <c r="S46" s="182" t="s">
        <v>8</v>
      </c>
      <c r="T46" s="180" t="s">
        <v>8</v>
      </c>
      <c r="U46" s="181" t="s">
        <v>8</v>
      </c>
      <c r="V46" s="182" t="s">
        <v>8</v>
      </c>
      <c r="W46" s="180" t="s">
        <v>8</v>
      </c>
      <c r="X46" s="181" t="s">
        <v>8</v>
      </c>
      <c r="Y46" s="182" t="s">
        <v>8</v>
      </c>
      <c r="Z46" s="180" t="s">
        <v>8</v>
      </c>
      <c r="AA46" s="181" t="s">
        <v>8</v>
      </c>
      <c r="AB46" s="182" t="s">
        <v>8</v>
      </c>
      <c r="AC46" s="180" t="s">
        <v>8</v>
      </c>
      <c r="AD46" s="181" t="s">
        <v>8</v>
      </c>
      <c r="AE46" s="182" t="s">
        <v>8</v>
      </c>
      <c r="AF46" s="180" t="s">
        <v>8</v>
      </c>
      <c r="AG46" s="181" t="s">
        <v>8</v>
      </c>
      <c r="AH46" s="182" t="s">
        <v>8</v>
      </c>
      <c r="AI46" s="180" t="s">
        <v>8</v>
      </c>
      <c r="AJ46" s="181" t="s">
        <v>8</v>
      </c>
      <c r="AK46" s="183" t="s">
        <v>8</v>
      </c>
    </row>
    <row r="47" spans="1:37" ht="15.75" customHeight="1">
      <c r="A47" s="179">
        <v>36281</v>
      </c>
      <c r="B47" s="180">
        <v>105.01770640446584</v>
      </c>
      <c r="C47" s="181">
        <v>-6.8019999999999999E-3</v>
      </c>
      <c r="D47" s="181">
        <v>-2.0873594207664325E-2</v>
      </c>
      <c r="E47" s="180">
        <v>104.06069641866418</v>
      </c>
      <c r="F47" s="181">
        <v>-5.3509999999999999E-3</v>
      </c>
      <c r="G47" s="181">
        <v>-3.4267791706999673E-2</v>
      </c>
      <c r="H47" s="180" t="s">
        <v>8</v>
      </c>
      <c r="I47" s="181" t="s">
        <v>8</v>
      </c>
      <c r="J47" s="182" t="s">
        <v>8</v>
      </c>
      <c r="K47" s="180" t="s">
        <v>8</v>
      </c>
      <c r="L47" s="181" t="s">
        <v>8</v>
      </c>
      <c r="M47" s="182" t="s">
        <v>8</v>
      </c>
      <c r="N47" s="180" t="s">
        <v>8</v>
      </c>
      <c r="O47" s="181" t="s">
        <v>8</v>
      </c>
      <c r="P47" s="182" t="s">
        <v>8</v>
      </c>
      <c r="Q47" s="180" t="s">
        <v>8</v>
      </c>
      <c r="R47" s="181" t="s">
        <v>8</v>
      </c>
      <c r="S47" s="182" t="s">
        <v>8</v>
      </c>
      <c r="T47" s="180" t="s">
        <v>8</v>
      </c>
      <c r="U47" s="181" t="s">
        <v>8</v>
      </c>
      <c r="V47" s="182" t="s">
        <v>8</v>
      </c>
      <c r="W47" s="180" t="s">
        <v>8</v>
      </c>
      <c r="X47" s="181" t="s">
        <v>8</v>
      </c>
      <c r="Y47" s="182" t="s">
        <v>8</v>
      </c>
      <c r="Z47" s="180" t="s">
        <v>8</v>
      </c>
      <c r="AA47" s="181" t="s">
        <v>8</v>
      </c>
      <c r="AB47" s="182" t="s">
        <v>8</v>
      </c>
      <c r="AC47" s="180" t="s">
        <v>8</v>
      </c>
      <c r="AD47" s="181" t="s">
        <v>8</v>
      </c>
      <c r="AE47" s="182" t="s">
        <v>8</v>
      </c>
      <c r="AF47" s="180" t="s">
        <v>8</v>
      </c>
      <c r="AG47" s="181" t="s">
        <v>8</v>
      </c>
      <c r="AH47" s="182" t="s">
        <v>8</v>
      </c>
      <c r="AI47" s="180" t="s">
        <v>8</v>
      </c>
      <c r="AJ47" s="181" t="s">
        <v>8</v>
      </c>
      <c r="AK47" s="183" t="s">
        <v>8</v>
      </c>
    </row>
    <row r="48" spans="1:37" ht="15.75" customHeight="1">
      <c r="A48" s="179">
        <v>36312</v>
      </c>
      <c r="B48" s="180">
        <v>104.61548858893674</v>
      </c>
      <c r="C48" s="181">
        <v>-3.8300000000000001E-3</v>
      </c>
      <c r="D48" s="181">
        <v>-2.5352016755296636E-2</v>
      </c>
      <c r="E48" s="180">
        <v>104.47652296155317</v>
      </c>
      <c r="F48" s="181">
        <v>3.9960000000000004E-3</v>
      </c>
      <c r="G48" s="181">
        <v>-3.2440600541523423E-2</v>
      </c>
      <c r="H48" s="180">
        <v>101.41207189589491</v>
      </c>
      <c r="I48" s="181" t="s">
        <v>8</v>
      </c>
      <c r="J48" s="181" t="s">
        <v>8</v>
      </c>
      <c r="K48" s="180" t="s">
        <v>8</v>
      </c>
      <c r="L48" s="181" t="s">
        <v>8</v>
      </c>
      <c r="M48" s="182" t="s">
        <v>8</v>
      </c>
      <c r="N48" s="180" t="s">
        <v>8</v>
      </c>
      <c r="O48" s="181" t="s">
        <v>8</v>
      </c>
      <c r="P48" s="182" t="s">
        <v>8</v>
      </c>
      <c r="Q48" s="180" t="s">
        <v>8</v>
      </c>
      <c r="R48" s="181" t="s">
        <v>8</v>
      </c>
      <c r="S48" s="182" t="s">
        <v>8</v>
      </c>
      <c r="T48" s="180" t="s">
        <v>8</v>
      </c>
      <c r="U48" s="181" t="s">
        <v>8</v>
      </c>
      <c r="V48" s="182" t="s">
        <v>8</v>
      </c>
      <c r="W48" s="180" t="s">
        <v>8</v>
      </c>
      <c r="X48" s="181" t="s">
        <v>8</v>
      </c>
      <c r="Y48" s="182" t="s">
        <v>8</v>
      </c>
      <c r="Z48" s="180" t="s">
        <v>8</v>
      </c>
      <c r="AA48" s="181" t="s">
        <v>8</v>
      </c>
      <c r="AB48" s="182" t="s">
        <v>8</v>
      </c>
      <c r="AC48" s="180" t="s">
        <v>8</v>
      </c>
      <c r="AD48" s="181" t="s">
        <v>8</v>
      </c>
      <c r="AE48" s="182" t="s">
        <v>8</v>
      </c>
      <c r="AF48" s="180" t="s">
        <v>8</v>
      </c>
      <c r="AG48" s="181" t="s">
        <v>8</v>
      </c>
      <c r="AH48" s="182" t="s">
        <v>8</v>
      </c>
      <c r="AI48" s="180" t="s">
        <v>8</v>
      </c>
      <c r="AJ48" s="181" t="s">
        <v>8</v>
      </c>
      <c r="AK48" s="183" t="s">
        <v>8</v>
      </c>
    </row>
    <row r="49" spans="1:37" ht="15.75" customHeight="1">
      <c r="A49" s="179">
        <v>36342</v>
      </c>
      <c r="B49" s="180">
        <v>104.51505771989137</v>
      </c>
      <c r="C49" s="181">
        <v>-9.6000000000000002E-4</v>
      </c>
      <c r="D49" s="181">
        <v>-2.7830373083896798E-2</v>
      </c>
      <c r="E49" s="180">
        <v>104.80666877411169</v>
      </c>
      <c r="F49" s="181">
        <v>3.16E-3</v>
      </c>
      <c r="G49" s="181">
        <v>-3.1127084087876344E-2</v>
      </c>
      <c r="H49" s="180">
        <v>101.42353146001915</v>
      </c>
      <c r="I49" s="181">
        <v>1.1300000000002974E-4</v>
      </c>
      <c r="J49" s="181" t="s">
        <v>8</v>
      </c>
      <c r="K49" s="180" t="s">
        <v>8</v>
      </c>
      <c r="L49" s="181" t="s">
        <v>8</v>
      </c>
      <c r="M49" s="182" t="s">
        <v>8</v>
      </c>
      <c r="N49" s="180" t="s">
        <v>8</v>
      </c>
      <c r="O49" s="181" t="s">
        <v>8</v>
      </c>
      <c r="P49" s="182" t="s">
        <v>8</v>
      </c>
      <c r="Q49" s="180" t="s">
        <v>8</v>
      </c>
      <c r="R49" s="181" t="s">
        <v>8</v>
      </c>
      <c r="S49" s="182" t="s">
        <v>8</v>
      </c>
      <c r="T49" s="180" t="s">
        <v>8</v>
      </c>
      <c r="U49" s="181" t="s">
        <v>8</v>
      </c>
      <c r="V49" s="182" t="s">
        <v>8</v>
      </c>
      <c r="W49" s="180" t="s">
        <v>8</v>
      </c>
      <c r="X49" s="181" t="s">
        <v>8</v>
      </c>
      <c r="Y49" s="182" t="s">
        <v>8</v>
      </c>
      <c r="Z49" s="180" t="s">
        <v>8</v>
      </c>
      <c r="AA49" s="181" t="s">
        <v>8</v>
      </c>
      <c r="AB49" s="182" t="s">
        <v>8</v>
      </c>
      <c r="AC49" s="180" t="s">
        <v>8</v>
      </c>
      <c r="AD49" s="181" t="s">
        <v>8</v>
      </c>
      <c r="AE49" s="182" t="s">
        <v>8</v>
      </c>
      <c r="AF49" s="180" t="s">
        <v>8</v>
      </c>
      <c r="AG49" s="181" t="s">
        <v>8</v>
      </c>
      <c r="AH49" s="182" t="s">
        <v>8</v>
      </c>
      <c r="AI49" s="180" t="s">
        <v>8</v>
      </c>
      <c r="AJ49" s="181" t="s">
        <v>8</v>
      </c>
      <c r="AK49" s="183" t="s">
        <v>8</v>
      </c>
    </row>
    <row r="50" spans="1:37" ht="15.75" customHeight="1">
      <c r="A50" s="179">
        <v>36373</v>
      </c>
      <c r="B50" s="180">
        <v>103.99248243129192</v>
      </c>
      <c r="C50" s="181">
        <v>-5.0000000000000001E-3</v>
      </c>
      <c r="D50" s="181">
        <v>-3.1788880939763176E-2</v>
      </c>
      <c r="E50" s="180">
        <v>104.48323539427477</v>
      </c>
      <c r="F50" s="181">
        <v>-3.0859999999999998E-3</v>
      </c>
      <c r="G50" s="181">
        <v>-3.6285383792847625E-2</v>
      </c>
      <c r="H50" s="180">
        <v>100.60321793757052</v>
      </c>
      <c r="I50" s="181">
        <v>-8.0879999999998731E-3</v>
      </c>
      <c r="J50" s="181" t="s">
        <v>8</v>
      </c>
      <c r="K50" s="180" t="s">
        <v>8</v>
      </c>
      <c r="L50" s="181" t="s">
        <v>8</v>
      </c>
      <c r="M50" s="182" t="s">
        <v>8</v>
      </c>
      <c r="N50" s="180" t="s">
        <v>8</v>
      </c>
      <c r="O50" s="181" t="s">
        <v>8</v>
      </c>
      <c r="P50" s="182" t="s">
        <v>8</v>
      </c>
      <c r="Q50" s="180" t="s">
        <v>8</v>
      </c>
      <c r="R50" s="181" t="s">
        <v>8</v>
      </c>
      <c r="S50" s="182" t="s">
        <v>8</v>
      </c>
      <c r="T50" s="180" t="s">
        <v>8</v>
      </c>
      <c r="U50" s="181" t="s">
        <v>8</v>
      </c>
      <c r="V50" s="182" t="s">
        <v>8</v>
      </c>
      <c r="W50" s="180" t="s">
        <v>8</v>
      </c>
      <c r="X50" s="181" t="s">
        <v>8</v>
      </c>
      <c r="Y50" s="182" t="s">
        <v>8</v>
      </c>
      <c r="Z50" s="180" t="s">
        <v>8</v>
      </c>
      <c r="AA50" s="181" t="s">
        <v>8</v>
      </c>
      <c r="AB50" s="182" t="s">
        <v>8</v>
      </c>
      <c r="AC50" s="180" t="s">
        <v>8</v>
      </c>
      <c r="AD50" s="181" t="s">
        <v>8</v>
      </c>
      <c r="AE50" s="182" t="s">
        <v>8</v>
      </c>
      <c r="AF50" s="180" t="s">
        <v>8</v>
      </c>
      <c r="AG50" s="181" t="s">
        <v>8</v>
      </c>
      <c r="AH50" s="182" t="s">
        <v>8</v>
      </c>
      <c r="AI50" s="180" t="s">
        <v>8</v>
      </c>
      <c r="AJ50" s="181" t="s">
        <v>8</v>
      </c>
      <c r="AK50" s="183" t="s">
        <v>8</v>
      </c>
    </row>
    <row r="51" spans="1:37" ht="15.75" customHeight="1">
      <c r="A51" s="179">
        <v>36404</v>
      </c>
      <c r="B51" s="180">
        <v>104.00444156677153</v>
      </c>
      <c r="C51" s="181">
        <v>1.15E-4</v>
      </c>
      <c r="D51" s="181">
        <v>-2.9867588131465617E-2</v>
      </c>
      <c r="E51" s="180">
        <v>104.15066525601479</v>
      </c>
      <c r="F51" s="181">
        <v>-3.1830000000000001E-3</v>
      </c>
      <c r="G51" s="181">
        <v>-3.9003504282183021E-2</v>
      </c>
      <c r="H51" s="180">
        <v>100.02253616363487</v>
      </c>
      <c r="I51" s="181">
        <v>-5.7719999999999994E-3</v>
      </c>
      <c r="J51" s="181" t="s">
        <v>8</v>
      </c>
      <c r="K51" s="180" t="s">
        <v>8</v>
      </c>
      <c r="L51" s="181" t="s">
        <v>8</v>
      </c>
      <c r="M51" s="182" t="s">
        <v>8</v>
      </c>
      <c r="N51" s="180" t="s">
        <v>8</v>
      </c>
      <c r="O51" s="181" t="s">
        <v>8</v>
      </c>
      <c r="P51" s="182" t="s">
        <v>8</v>
      </c>
      <c r="Q51" s="180" t="s">
        <v>8</v>
      </c>
      <c r="R51" s="181" t="s">
        <v>8</v>
      </c>
      <c r="S51" s="182" t="s">
        <v>8</v>
      </c>
      <c r="T51" s="180" t="s">
        <v>8</v>
      </c>
      <c r="U51" s="181" t="s">
        <v>8</v>
      </c>
      <c r="V51" s="182" t="s">
        <v>8</v>
      </c>
      <c r="W51" s="180" t="s">
        <v>8</v>
      </c>
      <c r="X51" s="181" t="s">
        <v>8</v>
      </c>
      <c r="Y51" s="182" t="s">
        <v>8</v>
      </c>
      <c r="Z51" s="180" t="s">
        <v>8</v>
      </c>
      <c r="AA51" s="181" t="s">
        <v>8</v>
      </c>
      <c r="AB51" s="182" t="s">
        <v>8</v>
      </c>
      <c r="AC51" s="180" t="s">
        <v>8</v>
      </c>
      <c r="AD51" s="181" t="s">
        <v>8</v>
      </c>
      <c r="AE51" s="182" t="s">
        <v>8</v>
      </c>
      <c r="AF51" s="180" t="s">
        <v>8</v>
      </c>
      <c r="AG51" s="181" t="s">
        <v>8</v>
      </c>
      <c r="AH51" s="182" t="s">
        <v>8</v>
      </c>
      <c r="AI51" s="180" t="s">
        <v>8</v>
      </c>
      <c r="AJ51" s="181" t="s">
        <v>8</v>
      </c>
      <c r="AK51" s="183" t="s">
        <v>8</v>
      </c>
    </row>
    <row r="52" spans="1:37" ht="15.75" customHeight="1">
      <c r="A52" s="179">
        <v>36434</v>
      </c>
      <c r="B52" s="180">
        <v>103.76772745776556</v>
      </c>
      <c r="C52" s="181">
        <v>-2.2759999999999998E-3</v>
      </c>
      <c r="D52" s="181">
        <v>-3.1170161053264756E-2</v>
      </c>
      <c r="E52" s="180">
        <v>104.72286901093135</v>
      </c>
      <c r="F52" s="181">
        <v>5.4939999999999998E-3</v>
      </c>
      <c r="G52" s="181">
        <v>-2.7695501644907639E-2</v>
      </c>
      <c r="H52" s="180">
        <v>100.19567517373412</v>
      </c>
      <c r="I52" s="181">
        <v>1.730999999999927E-3</v>
      </c>
      <c r="J52" s="181" t="s">
        <v>8</v>
      </c>
      <c r="K52" s="180" t="s">
        <v>8</v>
      </c>
      <c r="L52" s="181" t="s">
        <v>8</v>
      </c>
      <c r="M52" s="182" t="s">
        <v>8</v>
      </c>
      <c r="N52" s="180" t="s">
        <v>8</v>
      </c>
      <c r="O52" s="181" t="s">
        <v>8</v>
      </c>
      <c r="P52" s="182" t="s">
        <v>8</v>
      </c>
      <c r="Q52" s="180" t="s">
        <v>8</v>
      </c>
      <c r="R52" s="181" t="s">
        <v>8</v>
      </c>
      <c r="S52" s="182" t="s">
        <v>8</v>
      </c>
      <c r="T52" s="180" t="s">
        <v>8</v>
      </c>
      <c r="U52" s="181" t="s">
        <v>8</v>
      </c>
      <c r="V52" s="182" t="s">
        <v>8</v>
      </c>
      <c r="W52" s="180" t="s">
        <v>8</v>
      </c>
      <c r="X52" s="181" t="s">
        <v>8</v>
      </c>
      <c r="Y52" s="182" t="s">
        <v>8</v>
      </c>
      <c r="Z52" s="180" t="s">
        <v>8</v>
      </c>
      <c r="AA52" s="181" t="s">
        <v>8</v>
      </c>
      <c r="AB52" s="182" t="s">
        <v>8</v>
      </c>
      <c r="AC52" s="180" t="s">
        <v>8</v>
      </c>
      <c r="AD52" s="181" t="s">
        <v>8</v>
      </c>
      <c r="AE52" s="182" t="s">
        <v>8</v>
      </c>
      <c r="AF52" s="180" t="s">
        <v>8</v>
      </c>
      <c r="AG52" s="181" t="s">
        <v>8</v>
      </c>
      <c r="AH52" s="182" t="s">
        <v>8</v>
      </c>
      <c r="AI52" s="180" t="s">
        <v>8</v>
      </c>
      <c r="AJ52" s="181" t="s">
        <v>8</v>
      </c>
      <c r="AK52" s="183" t="s">
        <v>8</v>
      </c>
    </row>
    <row r="53" spans="1:37" ht="15.75" customHeight="1">
      <c r="A53" s="179">
        <v>36465</v>
      </c>
      <c r="B53" s="180">
        <v>104.39396569297318</v>
      </c>
      <c r="C53" s="181">
        <v>6.0350000000000004E-3</v>
      </c>
      <c r="D53" s="181">
        <v>-2.8050913069506911E-2</v>
      </c>
      <c r="E53" s="180">
        <v>104.55217073444352</v>
      </c>
      <c r="F53" s="181">
        <v>-1.6300000000000002E-3</v>
      </c>
      <c r="G53" s="181">
        <v>-2.4098320056727518E-2</v>
      </c>
      <c r="H53" s="180">
        <v>101.09212587951352</v>
      </c>
      <c r="I53" s="181">
        <v>8.9470000000000383E-3</v>
      </c>
      <c r="J53" s="181" t="s">
        <v>8</v>
      </c>
      <c r="K53" s="180" t="s">
        <v>8</v>
      </c>
      <c r="L53" s="181" t="s">
        <v>8</v>
      </c>
      <c r="M53" s="182" t="s">
        <v>8</v>
      </c>
      <c r="N53" s="180" t="s">
        <v>8</v>
      </c>
      <c r="O53" s="181" t="s">
        <v>8</v>
      </c>
      <c r="P53" s="182" t="s">
        <v>8</v>
      </c>
      <c r="Q53" s="180" t="s">
        <v>8</v>
      </c>
      <c r="R53" s="181" t="s">
        <v>8</v>
      </c>
      <c r="S53" s="182" t="s">
        <v>8</v>
      </c>
      <c r="T53" s="180" t="s">
        <v>8</v>
      </c>
      <c r="U53" s="181" t="s">
        <v>8</v>
      </c>
      <c r="V53" s="182" t="s">
        <v>8</v>
      </c>
      <c r="W53" s="180" t="s">
        <v>8</v>
      </c>
      <c r="X53" s="181" t="s">
        <v>8</v>
      </c>
      <c r="Y53" s="182" t="s">
        <v>8</v>
      </c>
      <c r="Z53" s="180" t="s">
        <v>8</v>
      </c>
      <c r="AA53" s="181" t="s">
        <v>8</v>
      </c>
      <c r="AB53" s="182" t="s">
        <v>8</v>
      </c>
      <c r="AC53" s="180" t="s">
        <v>8</v>
      </c>
      <c r="AD53" s="181" t="s">
        <v>8</v>
      </c>
      <c r="AE53" s="182" t="s">
        <v>8</v>
      </c>
      <c r="AF53" s="180" t="s">
        <v>8</v>
      </c>
      <c r="AG53" s="181" t="s">
        <v>8</v>
      </c>
      <c r="AH53" s="182" t="s">
        <v>8</v>
      </c>
      <c r="AI53" s="180" t="s">
        <v>8</v>
      </c>
      <c r="AJ53" s="181" t="s">
        <v>8</v>
      </c>
      <c r="AK53" s="183" t="s">
        <v>8</v>
      </c>
    </row>
    <row r="54" spans="1:37" ht="15.75" customHeight="1">
      <c r="A54" s="179">
        <v>36495</v>
      </c>
      <c r="B54" s="180">
        <v>104.32088991698809</v>
      </c>
      <c r="C54" s="181">
        <v>-7.000000000000001E-4</v>
      </c>
      <c r="D54" s="181">
        <v>-2.7147081433505527E-2</v>
      </c>
      <c r="E54" s="180">
        <v>104.40046553470785</v>
      </c>
      <c r="F54" s="181">
        <v>-1.451E-3</v>
      </c>
      <c r="G54" s="181">
        <v>-2.1266650658182007E-2</v>
      </c>
      <c r="H54" s="180">
        <v>101.29309702576199</v>
      </c>
      <c r="I54" s="181">
        <v>1.9880000000001008E-3</v>
      </c>
      <c r="J54" s="181" t="s">
        <v>8</v>
      </c>
      <c r="K54" s="180" t="s">
        <v>8</v>
      </c>
      <c r="L54" s="181" t="s">
        <v>8</v>
      </c>
      <c r="M54" s="182" t="s">
        <v>8</v>
      </c>
      <c r="N54" s="180" t="s">
        <v>8</v>
      </c>
      <c r="O54" s="181" t="s">
        <v>8</v>
      </c>
      <c r="P54" s="182" t="s">
        <v>8</v>
      </c>
      <c r="Q54" s="180" t="s">
        <v>8</v>
      </c>
      <c r="R54" s="181" t="s">
        <v>8</v>
      </c>
      <c r="S54" s="182" t="s">
        <v>8</v>
      </c>
      <c r="T54" s="180" t="s">
        <v>8</v>
      </c>
      <c r="U54" s="181" t="s">
        <v>8</v>
      </c>
      <c r="V54" s="182" t="s">
        <v>8</v>
      </c>
      <c r="W54" s="180" t="s">
        <v>8</v>
      </c>
      <c r="X54" s="181" t="s">
        <v>8</v>
      </c>
      <c r="Y54" s="182" t="s">
        <v>8</v>
      </c>
      <c r="Z54" s="180" t="s">
        <v>8</v>
      </c>
      <c r="AA54" s="181" t="s">
        <v>8</v>
      </c>
      <c r="AB54" s="182" t="s">
        <v>8</v>
      </c>
      <c r="AC54" s="180" t="s">
        <v>8</v>
      </c>
      <c r="AD54" s="181" t="s">
        <v>8</v>
      </c>
      <c r="AE54" s="182" t="s">
        <v>8</v>
      </c>
      <c r="AF54" s="180" t="s">
        <v>8</v>
      </c>
      <c r="AG54" s="181" t="s">
        <v>8</v>
      </c>
      <c r="AH54" s="182" t="s">
        <v>8</v>
      </c>
      <c r="AI54" s="180" t="s">
        <v>8</v>
      </c>
      <c r="AJ54" s="181" t="s">
        <v>8</v>
      </c>
      <c r="AK54" s="183" t="s">
        <v>8</v>
      </c>
    </row>
    <row r="55" spans="1:37" s="184" customFormat="1" ht="15.75" customHeight="1">
      <c r="A55" s="179">
        <v>36526</v>
      </c>
      <c r="B55" s="180">
        <v>103.90318907376047</v>
      </c>
      <c r="C55" s="181">
        <v>-4.0039999999999997E-3</v>
      </c>
      <c r="D55" s="181">
        <v>-2.7028878643851506E-2</v>
      </c>
      <c r="E55" s="180">
        <v>104.38083824718733</v>
      </c>
      <c r="F55" s="181">
        <v>-1.8800000000000002E-4</v>
      </c>
      <c r="G55" s="181">
        <v>-1.5611258513359316E-2</v>
      </c>
      <c r="H55" s="180">
        <v>101.7244030328977</v>
      </c>
      <c r="I55" s="181">
        <v>4.2580000000000005E-3</v>
      </c>
      <c r="J55" s="181" t="s">
        <v>8</v>
      </c>
      <c r="K55" s="180" t="s">
        <v>8</v>
      </c>
      <c r="L55" s="181" t="s">
        <v>8</v>
      </c>
      <c r="M55" s="182" t="s">
        <v>8</v>
      </c>
      <c r="N55" s="180" t="s">
        <v>8</v>
      </c>
      <c r="O55" s="181" t="s">
        <v>8</v>
      </c>
      <c r="P55" s="182" t="s">
        <v>8</v>
      </c>
      <c r="Q55" s="180" t="s">
        <v>8</v>
      </c>
      <c r="R55" s="181" t="s">
        <v>8</v>
      </c>
      <c r="S55" s="182" t="s">
        <v>8</v>
      </c>
      <c r="T55" s="180" t="s">
        <v>8</v>
      </c>
      <c r="U55" s="181" t="s">
        <v>8</v>
      </c>
      <c r="V55" s="182" t="s">
        <v>8</v>
      </c>
      <c r="W55" s="180" t="s">
        <v>8</v>
      </c>
      <c r="X55" s="181" t="s">
        <v>8</v>
      </c>
      <c r="Y55" s="182" t="s">
        <v>8</v>
      </c>
      <c r="Z55" s="180" t="s">
        <v>8</v>
      </c>
      <c r="AA55" s="181" t="s">
        <v>8</v>
      </c>
      <c r="AB55" s="182" t="s">
        <v>8</v>
      </c>
      <c r="AC55" s="180" t="s">
        <v>8</v>
      </c>
      <c r="AD55" s="181" t="s">
        <v>8</v>
      </c>
      <c r="AE55" s="182" t="s">
        <v>8</v>
      </c>
      <c r="AF55" s="180" t="s">
        <v>8</v>
      </c>
      <c r="AG55" s="181" t="s">
        <v>8</v>
      </c>
      <c r="AH55" s="182" t="s">
        <v>8</v>
      </c>
      <c r="AI55" s="180" t="s">
        <v>8</v>
      </c>
      <c r="AJ55" s="181" t="s">
        <v>8</v>
      </c>
      <c r="AK55" s="183" t="s">
        <v>8</v>
      </c>
    </row>
    <row r="56" spans="1:37" s="184" customFormat="1" ht="15.75" customHeight="1">
      <c r="A56" s="179">
        <v>36557</v>
      </c>
      <c r="B56" s="180">
        <v>103.73694397124245</v>
      </c>
      <c r="C56" s="181">
        <v>-1.6000000000000001E-3</v>
      </c>
      <c r="D56" s="181">
        <v>-2.3234098355494615E-2</v>
      </c>
      <c r="E56" s="180">
        <v>104.75817497745091</v>
      </c>
      <c r="F56" s="181">
        <v>3.6149999999999997E-3</v>
      </c>
      <c r="G56" s="181">
        <v>-2.2709576819991417E-3</v>
      </c>
      <c r="H56" s="180">
        <v>102.45600493951031</v>
      </c>
      <c r="I56" s="181">
        <v>7.1919999999999996E-3</v>
      </c>
      <c r="J56" s="181" t="s">
        <v>8</v>
      </c>
      <c r="K56" s="180" t="s">
        <v>8</v>
      </c>
      <c r="L56" s="181" t="s">
        <v>8</v>
      </c>
      <c r="M56" s="182" t="s">
        <v>8</v>
      </c>
      <c r="N56" s="180" t="s">
        <v>8</v>
      </c>
      <c r="O56" s="181" t="s">
        <v>8</v>
      </c>
      <c r="P56" s="182" t="s">
        <v>8</v>
      </c>
      <c r="Q56" s="180" t="s">
        <v>8</v>
      </c>
      <c r="R56" s="181" t="s">
        <v>8</v>
      </c>
      <c r="S56" s="182" t="s">
        <v>8</v>
      </c>
      <c r="T56" s="180" t="s">
        <v>8</v>
      </c>
      <c r="U56" s="181" t="s">
        <v>8</v>
      </c>
      <c r="V56" s="182" t="s">
        <v>8</v>
      </c>
      <c r="W56" s="180" t="s">
        <v>8</v>
      </c>
      <c r="X56" s="181" t="s">
        <v>8</v>
      </c>
      <c r="Y56" s="182" t="s">
        <v>8</v>
      </c>
      <c r="Z56" s="180" t="s">
        <v>8</v>
      </c>
      <c r="AA56" s="181" t="s">
        <v>8</v>
      </c>
      <c r="AB56" s="182" t="s">
        <v>8</v>
      </c>
      <c r="AC56" s="180" t="s">
        <v>8</v>
      </c>
      <c r="AD56" s="181" t="s">
        <v>8</v>
      </c>
      <c r="AE56" s="182" t="s">
        <v>8</v>
      </c>
      <c r="AF56" s="180" t="s">
        <v>8</v>
      </c>
      <c r="AG56" s="181" t="s">
        <v>8</v>
      </c>
      <c r="AH56" s="182" t="s">
        <v>8</v>
      </c>
      <c r="AI56" s="180" t="s">
        <v>8</v>
      </c>
      <c r="AJ56" s="181" t="s">
        <v>8</v>
      </c>
      <c r="AK56" s="183" t="s">
        <v>8</v>
      </c>
    </row>
    <row r="57" spans="1:37" s="184" customFormat="1" ht="15.75" customHeight="1">
      <c r="A57" s="179">
        <v>36586</v>
      </c>
      <c r="B57" s="180">
        <v>103.67283453986822</v>
      </c>
      <c r="C57" s="181">
        <v>-6.1800000000000006E-4</v>
      </c>
      <c r="D57" s="181">
        <v>-2.5745117010160912E-2</v>
      </c>
      <c r="E57" s="180">
        <v>104.73816616603021</v>
      </c>
      <c r="F57" s="181">
        <v>-1.9099999999999998E-4</v>
      </c>
      <c r="G57" s="181">
        <v>-7.4079958596917628E-4</v>
      </c>
      <c r="H57" s="180">
        <v>102.25990414605609</v>
      </c>
      <c r="I57" s="181">
        <v>-1.9139999999999999E-3</v>
      </c>
      <c r="J57" s="181" t="s">
        <v>8</v>
      </c>
      <c r="K57" s="180" t="s">
        <v>8</v>
      </c>
      <c r="L57" s="181" t="s">
        <v>8</v>
      </c>
      <c r="M57" s="182" t="s">
        <v>8</v>
      </c>
      <c r="N57" s="180" t="s">
        <v>8</v>
      </c>
      <c r="O57" s="181" t="s">
        <v>8</v>
      </c>
      <c r="P57" s="182" t="s">
        <v>8</v>
      </c>
      <c r="Q57" s="180" t="s">
        <v>8</v>
      </c>
      <c r="R57" s="181" t="s">
        <v>8</v>
      </c>
      <c r="S57" s="182" t="s">
        <v>8</v>
      </c>
      <c r="T57" s="180" t="s">
        <v>8</v>
      </c>
      <c r="U57" s="181" t="s">
        <v>8</v>
      </c>
      <c r="V57" s="182" t="s">
        <v>8</v>
      </c>
      <c r="W57" s="180" t="s">
        <v>8</v>
      </c>
      <c r="X57" s="181" t="s">
        <v>8</v>
      </c>
      <c r="Y57" s="182" t="s">
        <v>8</v>
      </c>
      <c r="Z57" s="180" t="s">
        <v>8</v>
      </c>
      <c r="AA57" s="181" t="s">
        <v>8</v>
      </c>
      <c r="AB57" s="182" t="s">
        <v>8</v>
      </c>
      <c r="AC57" s="180" t="s">
        <v>8</v>
      </c>
      <c r="AD57" s="181" t="s">
        <v>8</v>
      </c>
      <c r="AE57" s="182" t="s">
        <v>8</v>
      </c>
      <c r="AF57" s="180" t="s">
        <v>8</v>
      </c>
      <c r="AG57" s="181" t="s">
        <v>8</v>
      </c>
      <c r="AH57" s="182" t="s">
        <v>8</v>
      </c>
      <c r="AI57" s="180" t="s">
        <v>8</v>
      </c>
      <c r="AJ57" s="181" t="s">
        <v>8</v>
      </c>
      <c r="AK57" s="183" t="s">
        <v>8</v>
      </c>
    </row>
    <row r="58" spans="1:37" s="184" customFormat="1" ht="15.75" customHeight="1">
      <c r="A58" s="179">
        <v>36617</v>
      </c>
      <c r="B58" s="180">
        <v>103.39084442991977</v>
      </c>
      <c r="C58" s="181">
        <v>-2.7200000000000002E-3</v>
      </c>
      <c r="D58" s="181">
        <v>-2.2187939330765127E-2</v>
      </c>
      <c r="E58" s="180">
        <v>104.63510381052284</v>
      </c>
      <c r="F58" s="181">
        <v>-9.8400000000000007E-4</v>
      </c>
      <c r="G58" s="181">
        <v>1.3918866931450502E-4</v>
      </c>
      <c r="H58" s="180">
        <v>101.92796849719799</v>
      </c>
      <c r="I58" s="181">
        <v>-3.2460000000000002E-3</v>
      </c>
      <c r="J58" s="181" t="s">
        <v>8</v>
      </c>
      <c r="K58" s="180" t="s">
        <v>8</v>
      </c>
      <c r="L58" s="181" t="s">
        <v>8</v>
      </c>
      <c r="M58" s="182" t="s">
        <v>8</v>
      </c>
      <c r="N58" s="180" t="s">
        <v>8</v>
      </c>
      <c r="O58" s="181" t="s">
        <v>8</v>
      </c>
      <c r="P58" s="182" t="s">
        <v>8</v>
      </c>
      <c r="Q58" s="180" t="s">
        <v>8</v>
      </c>
      <c r="R58" s="181" t="s">
        <v>8</v>
      </c>
      <c r="S58" s="182" t="s">
        <v>8</v>
      </c>
      <c r="T58" s="180" t="s">
        <v>8</v>
      </c>
      <c r="U58" s="181" t="s">
        <v>8</v>
      </c>
      <c r="V58" s="182" t="s">
        <v>8</v>
      </c>
      <c r="W58" s="180" t="s">
        <v>8</v>
      </c>
      <c r="X58" s="181" t="s">
        <v>8</v>
      </c>
      <c r="Y58" s="182" t="s">
        <v>8</v>
      </c>
      <c r="Z58" s="180" t="s">
        <v>8</v>
      </c>
      <c r="AA58" s="181" t="s">
        <v>8</v>
      </c>
      <c r="AB58" s="182" t="s">
        <v>8</v>
      </c>
      <c r="AC58" s="180" t="s">
        <v>8</v>
      </c>
      <c r="AD58" s="181" t="s">
        <v>8</v>
      </c>
      <c r="AE58" s="182" t="s">
        <v>8</v>
      </c>
      <c r="AF58" s="180" t="s">
        <v>8</v>
      </c>
      <c r="AG58" s="181" t="s">
        <v>8</v>
      </c>
      <c r="AH58" s="182" t="s">
        <v>8</v>
      </c>
      <c r="AI58" s="180" t="s">
        <v>8</v>
      </c>
      <c r="AJ58" s="181" t="s">
        <v>8</v>
      </c>
      <c r="AK58" s="183" t="s">
        <v>8</v>
      </c>
    </row>
    <row r="59" spans="1:37" s="184" customFormat="1" ht="15.75" customHeight="1">
      <c r="A59" s="179">
        <v>36647</v>
      </c>
      <c r="B59" s="180">
        <v>103.26450081802641</v>
      </c>
      <c r="C59" s="181">
        <v>-1.222E-3</v>
      </c>
      <c r="D59" s="181">
        <v>-1.6694380847427137E-2</v>
      </c>
      <c r="E59" s="180">
        <v>104.03177780195135</v>
      </c>
      <c r="F59" s="181">
        <v>-5.7660000000000003E-3</v>
      </c>
      <c r="G59" s="181">
        <v>-2.7810201644284938E-4</v>
      </c>
      <c r="H59" s="180">
        <v>101.82665209651178</v>
      </c>
      <c r="I59" s="181">
        <v>-9.9400000000000009E-4</v>
      </c>
      <c r="J59" s="181" t="s">
        <v>8</v>
      </c>
      <c r="K59" s="180" t="s">
        <v>8</v>
      </c>
      <c r="L59" s="181" t="s">
        <v>8</v>
      </c>
      <c r="M59" s="182" t="s">
        <v>8</v>
      </c>
      <c r="N59" s="180" t="s">
        <v>8</v>
      </c>
      <c r="O59" s="181" t="s">
        <v>8</v>
      </c>
      <c r="P59" s="182" t="s">
        <v>8</v>
      </c>
      <c r="Q59" s="180" t="s">
        <v>8</v>
      </c>
      <c r="R59" s="181" t="s">
        <v>8</v>
      </c>
      <c r="S59" s="182" t="s">
        <v>8</v>
      </c>
      <c r="T59" s="180" t="s">
        <v>8</v>
      </c>
      <c r="U59" s="181" t="s">
        <v>8</v>
      </c>
      <c r="V59" s="182" t="s">
        <v>8</v>
      </c>
      <c r="W59" s="180" t="s">
        <v>8</v>
      </c>
      <c r="X59" s="181" t="s">
        <v>8</v>
      </c>
      <c r="Y59" s="182" t="s">
        <v>8</v>
      </c>
      <c r="Z59" s="180" t="s">
        <v>8</v>
      </c>
      <c r="AA59" s="181" t="s">
        <v>8</v>
      </c>
      <c r="AB59" s="182" t="s">
        <v>8</v>
      </c>
      <c r="AC59" s="180" t="s">
        <v>8</v>
      </c>
      <c r="AD59" s="181" t="s">
        <v>8</v>
      </c>
      <c r="AE59" s="182" t="s">
        <v>8</v>
      </c>
      <c r="AF59" s="180" t="s">
        <v>8</v>
      </c>
      <c r="AG59" s="181" t="s">
        <v>8</v>
      </c>
      <c r="AH59" s="182" t="s">
        <v>8</v>
      </c>
      <c r="AI59" s="180" t="s">
        <v>8</v>
      </c>
      <c r="AJ59" s="181" t="s">
        <v>8</v>
      </c>
      <c r="AK59" s="183" t="s">
        <v>8</v>
      </c>
    </row>
    <row r="60" spans="1:37" s="184" customFormat="1" ht="15.75" customHeight="1">
      <c r="A60" s="179">
        <v>36678</v>
      </c>
      <c r="B60" s="180">
        <v>103.1104301828059</v>
      </c>
      <c r="C60" s="181">
        <v>-1.4920000000000001E-3</v>
      </c>
      <c r="D60" s="181">
        <v>-1.4386573407353054E-2</v>
      </c>
      <c r="E60" s="180">
        <v>103.7570298767764</v>
      </c>
      <c r="F60" s="181">
        <v>-2.6410000000000001E-3</v>
      </c>
      <c r="G60" s="181">
        <v>-6.8868477055858968E-3</v>
      </c>
      <c r="H60" s="180">
        <v>101.80190822005233</v>
      </c>
      <c r="I60" s="181">
        <v>-2.43E-4</v>
      </c>
      <c r="J60" s="181">
        <v>3.8440820394400887E-3</v>
      </c>
      <c r="K60" s="180" t="s">
        <v>8</v>
      </c>
      <c r="L60" s="181" t="s">
        <v>8</v>
      </c>
      <c r="M60" s="182" t="s">
        <v>8</v>
      </c>
      <c r="N60" s="180" t="s">
        <v>8</v>
      </c>
      <c r="O60" s="181" t="s">
        <v>8</v>
      </c>
      <c r="P60" s="182" t="s">
        <v>8</v>
      </c>
      <c r="Q60" s="180" t="s">
        <v>8</v>
      </c>
      <c r="R60" s="181" t="s">
        <v>8</v>
      </c>
      <c r="S60" s="182" t="s">
        <v>8</v>
      </c>
      <c r="T60" s="180" t="s">
        <v>8</v>
      </c>
      <c r="U60" s="181" t="s">
        <v>8</v>
      </c>
      <c r="V60" s="182" t="s">
        <v>8</v>
      </c>
      <c r="W60" s="180" t="s">
        <v>8</v>
      </c>
      <c r="X60" s="181" t="s">
        <v>8</v>
      </c>
      <c r="Y60" s="182" t="s">
        <v>8</v>
      </c>
      <c r="Z60" s="180" t="s">
        <v>8</v>
      </c>
      <c r="AA60" s="181" t="s">
        <v>8</v>
      </c>
      <c r="AB60" s="182" t="s">
        <v>8</v>
      </c>
      <c r="AC60" s="180" t="s">
        <v>8</v>
      </c>
      <c r="AD60" s="181" t="s">
        <v>8</v>
      </c>
      <c r="AE60" s="182" t="s">
        <v>8</v>
      </c>
      <c r="AF60" s="180" t="s">
        <v>8</v>
      </c>
      <c r="AG60" s="181" t="s">
        <v>8</v>
      </c>
      <c r="AH60" s="182" t="s">
        <v>8</v>
      </c>
      <c r="AI60" s="180" t="s">
        <v>8</v>
      </c>
      <c r="AJ60" s="181" t="s">
        <v>8</v>
      </c>
      <c r="AK60" s="183" t="s">
        <v>8</v>
      </c>
    </row>
    <row r="61" spans="1:37" s="184" customFormat="1" ht="15.75" customHeight="1">
      <c r="A61" s="179">
        <v>36708</v>
      </c>
      <c r="B61" s="180">
        <v>103.09898492505562</v>
      </c>
      <c r="C61" s="181">
        <v>-1.11E-4</v>
      </c>
      <c r="D61" s="181">
        <v>-1.3548983521885827E-2</v>
      </c>
      <c r="E61" s="180">
        <v>103.71801723354272</v>
      </c>
      <c r="F61" s="181">
        <v>-3.7600000000000003E-4</v>
      </c>
      <c r="G61" s="181">
        <v>-1.0387433959536674E-2</v>
      </c>
      <c r="H61" s="180">
        <v>101.50342502515113</v>
      </c>
      <c r="I61" s="181">
        <v>-2.9320000000000001E-3</v>
      </c>
      <c r="J61" s="181">
        <v>7.8772217829414792E-4</v>
      </c>
      <c r="K61" s="180" t="s">
        <v>8</v>
      </c>
      <c r="L61" s="181" t="s">
        <v>8</v>
      </c>
      <c r="M61" s="182" t="s">
        <v>8</v>
      </c>
      <c r="N61" s="180" t="s">
        <v>8</v>
      </c>
      <c r="O61" s="181" t="s">
        <v>8</v>
      </c>
      <c r="P61" s="182" t="s">
        <v>8</v>
      </c>
      <c r="Q61" s="180" t="s">
        <v>8</v>
      </c>
      <c r="R61" s="181" t="s">
        <v>8</v>
      </c>
      <c r="S61" s="182" t="s">
        <v>8</v>
      </c>
      <c r="T61" s="180" t="s">
        <v>8</v>
      </c>
      <c r="U61" s="181" t="s">
        <v>8</v>
      </c>
      <c r="V61" s="182" t="s">
        <v>8</v>
      </c>
      <c r="W61" s="180" t="s">
        <v>8</v>
      </c>
      <c r="X61" s="181" t="s">
        <v>8</v>
      </c>
      <c r="Y61" s="182" t="s">
        <v>8</v>
      </c>
      <c r="Z61" s="180" t="s">
        <v>8</v>
      </c>
      <c r="AA61" s="181" t="s">
        <v>8</v>
      </c>
      <c r="AB61" s="182" t="s">
        <v>8</v>
      </c>
      <c r="AC61" s="180" t="s">
        <v>8</v>
      </c>
      <c r="AD61" s="181" t="s">
        <v>8</v>
      </c>
      <c r="AE61" s="182" t="s">
        <v>8</v>
      </c>
      <c r="AF61" s="180" t="s">
        <v>8</v>
      </c>
      <c r="AG61" s="181" t="s">
        <v>8</v>
      </c>
      <c r="AH61" s="182" t="s">
        <v>8</v>
      </c>
      <c r="AI61" s="180" t="s">
        <v>8</v>
      </c>
      <c r="AJ61" s="181" t="s">
        <v>8</v>
      </c>
      <c r="AK61" s="183" t="s">
        <v>8</v>
      </c>
    </row>
    <row r="62" spans="1:37" ht="15.75" customHeight="1">
      <c r="A62" s="179">
        <v>36739</v>
      </c>
      <c r="B62" s="180">
        <v>103.11444977279439</v>
      </c>
      <c r="C62" s="181">
        <v>1.4999999999999999E-4</v>
      </c>
      <c r="D62" s="181">
        <v>-8.4432320295618757E-3</v>
      </c>
      <c r="E62" s="180">
        <v>103.53443634303935</v>
      </c>
      <c r="F62" s="181">
        <v>-1.7699999999999999E-3</v>
      </c>
      <c r="G62" s="181">
        <v>-9.0810723908262281E-3</v>
      </c>
      <c r="H62" s="180">
        <v>101.13415556490963</v>
      </c>
      <c r="I62" s="181">
        <v>-3.6380000000000002E-3</v>
      </c>
      <c r="J62" s="181">
        <v>5.2775411982208809E-3</v>
      </c>
      <c r="K62" s="180" t="s">
        <v>8</v>
      </c>
      <c r="L62" s="181" t="s">
        <v>8</v>
      </c>
      <c r="M62" s="182" t="s">
        <v>8</v>
      </c>
      <c r="N62" s="180" t="s">
        <v>8</v>
      </c>
      <c r="O62" s="181" t="s">
        <v>8</v>
      </c>
      <c r="P62" s="182" t="s">
        <v>8</v>
      </c>
      <c r="Q62" s="180" t="s">
        <v>8</v>
      </c>
      <c r="R62" s="181" t="s">
        <v>8</v>
      </c>
      <c r="S62" s="182" t="s">
        <v>8</v>
      </c>
      <c r="T62" s="180" t="s">
        <v>8</v>
      </c>
      <c r="U62" s="181" t="s">
        <v>8</v>
      </c>
      <c r="V62" s="182" t="s">
        <v>8</v>
      </c>
      <c r="W62" s="180" t="s">
        <v>8</v>
      </c>
      <c r="X62" s="181" t="s">
        <v>8</v>
      </c>
      <c r="Y62" s="182" t="s">
        <v>8</v>
      </c>
      <c r="Z62" s="180" t="s">
        <v>8</v>
      </c>
      <c r="AA62" s="181" t="s">
        <v>8</v>
      </c>
      <c r="AB62" s="182" t="s">
        <v>8</v>
      </c>
      <c r="AC62" s="180" t="s">
        <v>8</v>
      </c>
      <c r="AD62" s="181" t="s">
        <v>8</v>
      </c>
      <c r="AE62" s="182" t="s">
        <v>8</v>
      </c>
      <c r="AF62" s="180" t="s">
        <v>8</v>
      </c>
      <c r="AG62" s="181" t="s">
        <v>8</v>
      </c>
      <c r="AH62" s="182" t="s">
        <v>8</v>
      </c>
      <c r="AI62" s="180" t="s">
        <v>8</v>
      </c>
      <c r="AJ62" s="181" t="s">
        <v>8</v>
      </c>
      <c r="AK62" s="183" t="s">
        <v>8</v>
      </c>
    </row>
    <row r="63" spans="1:37" ht="15.75" customHeight="1">
      <c r="A63" s="179">
        <v>36770</v>
      </c>
      <c r="B63" s="180">
        <v>103.25777885797856</v>
      </c>
      <c r="C63" s="181">
        <v>1.3900000000000002E-3</v>
      </c>
      <c r="D63" s="181">
        <v>-7.1791425206932935E-3</v>
      </c>
      <c r="E63" s="180">
        <v>103.63237991981985</v>
      </c>
      <c r="F63" s="181">
        <v>9.4600000000000001E-4</v>
      </c>
      <c r="G63" s="181">
        <v>-4.9763036551030426E-3</v>
      </c>
      <c r="H63" s="180">
        <v>101.74561266945507</v>
      </c>
      <c r="I63" s="181">
        <v>6.0460000000000002E-3</v>
      </c>
      <c r="J63" s="181">
        <v>1.7226882779709518E-2</v>
      </c>
      <c r="K63" s="180" t="s">
        <v>8</v>
      </c>
      <c r="L63" s="181" t="s">
        <v>8</v>
      </c>
      <c r="M63" s="182" t="s">
        <v>8</v>
      </c>
      <c r="N63" s="180" t="s">
        <v>8</v>
      </c>
      <c r="O63" s="181" t="s">
        <v>8</v>
      </c>
      <c r="P63" s="182" t="s">
        <v>8</v>
      </c>
      <c r="Q63" s="180" t="s">
        <v>8</v>
      </c>
      <c r="R63" s="181" t="s">
        <v>8</v>
      </c>
      <c r="S63" s="182" t="s">
        <v>8</v>
      </c>
      <c r="T63" s="180" t="s">
        <v>8</v>
      </c>
      <c r="U63" s="181" t="s">
        <v>8</v>
      </c>
      <c r="V63" s="182" t="s">
        <v>8</v>
      </c>
      <c r="W63" s="180" t="s">
        <v>8</v>
      </c>
      <c r="X63" s="181" t="s">
        <v>8</v>
      </c>
      <c r="Y63" s="182" t="s">
        <v>8</v>
      </c>
      <c r="Z63" s="180" t="s">
        <v>8</v>
      </c>
      <c r="AA63" s="181" t="s">
        <v>8</v>
      </c>
      <c r="AB63" s="182" t="s">
        <v>8</v>
      </c>
      <c r="AC63" s="180" t="s">
        <v>8</v>
      </c>
      <c r="AD63" s="181" t="s">
        <v>8</v>
      </c>
      <c r="AE63" s="182" t="s">
        <v>8</v>
      </c>
      <c r="AF63" s="180" t="s">
        <v>8</v>
      </c>
      <c r="AG63" s="181" t="s">
        <v>8</v>
      </c>
      <c r="AH63" s="182" t="s">
        <v>8</v>
      </c>
      <c r="AI63" s="180" t="s">
        <v>8</v>
      </c>
      <c r="AJ63" s="181" t="s">
        <v>8</v>
      </c>
      <c r="AK63" s="183" t="s">
        <v>8</v>
      </c>
    </row>
    <row r="64" spans="1:37" ht="15.75" customHeight="1">
      <c r="A64" s="179">
        <v>36800</v>
      </c>
      <c r="B64" s="180">
        <v>103.30971752074412</v>
      </c>
      <c r="C64" s="181">
        <v>5.0299999999999997E-4</v>
      </c>
      <c r="D64" s="181">
        <v>-4.4137994368996791E-3</v>
      </c>
      <c r="E64" s="180">
        <v>103.40449231637618</v>
      </c>
      <c r="F64" s="181">
        <v>-2.199E-3</v>
      </c>
      <c r="G64" s="181">
        <v>-1.2589195722068403E-2</v>
      </c>
      <c r="H64" s="180">
        <v>102.47502696668239</v>
      </c>
      <c r="I64" s="181">
        <v>7.169E-3</v>
      </c>
      <c r="J64" s="181">
        <v>2.2749003776819654E-2</v>
      </c>
      <c r="K64" s="180" t="s">
        <v>8</v>
      </c>
      <c r="L64" s="181" t="s">
        <v>8</v>
      </c>
      <c r="M64" s="182" t="s">
        <v>8</v>
      </c>
      <c r="N64" s="180" t="s">
        <v>8</v>
      </c>
      <c r="O64" s="181" t="s">
        <v>8</v>
      </c>
      <c r="P64" s="182" t="s">
        <v>8</v>
      </c>
      <c r="Q64" s="180" t="s">
        <v>8</v>
      </c>
      <c r="R64" s="181" t="s">
        <v>8</v>
      </c>
      <c r="S64" s="182" t="s">
        <v>8</v>
      </c>
      <c r="T64" s="180" t="s">
        <v>8</v>
      </c>
      <c r="U64" s="181" t="s">
        <v>8</v>
      </c>
      <c r="V64" s="182" t="s">
        <v>8</v>
      </c>
      <c r="W64" s="180" t="s">
        <v>8</v>
      </c>
      <c r="X64" s="181" t="s">
        <v>8</v>
      </c>
      <c r="Y64" s="182" t="s">
        <v>8</v>
      </c>
      <c r="Z64" s="180" t="s">
        <v>8</v>
      </c>
      <c r="AA64" s="181" t="s">
        <v>8</v>
      </c>
      <c r="AB64" s="182" t="s">
        <v>8</v>
      </c>
      <c r="AC64" s="180" t="s">
        <v>8</v>
      </c>
      <c r="AD64" s="181" t="s">
        <v>8</v>
      </c>
      <c r="AE64" s="182" t="s">
        <v>8</v>
      </c>
      <c r="AF64" s="180" t="s">
        <v>8</v>
      </c>
      <c r="AG64" s="181" t="s">
        <v>8</v>
      </c>
      <c r="AH64" s="182" t="s">
        <v>8</v>
      </c>
      <c r="AI64" s="180" t="s">
        <v>8</v>
      </c>
      <c r="AJ64" s="181" t="s">
        <v>8</v>
      </c>
      <c r="AK64" s="183" t="s">
        <v>8</v>
      </c>
    </row>
    <row r="65" spans="1:37" s="184" customFormat="1" ht="15.75" customHeight="1">
      <c r="A65" s="179">
        <v>36831</v>
      </c>
      <c r="B65" s="180">
        <v>103.34226008176316</v>
      </c>
      <c r="C65" s="181">
        <v>3.1500000000000001E-4</v>
      </c>
      <c r="D65" s="181">
        <v>-1.007439083503292E-2</v>
      </c>
      <c r="E65" s="180">
        <v>103.59165444746883</v>
      </c>
      <c r="F65" s="181">
        <v>1.81E-3</v>
      </c>
      <c r="G65" s="181">
        <v>-9.1869569060822887E-3</v>
      </c>
      <c r="H65" s="180">
        <v>102.99426792832257</v>
      </c>
      <c r="I65" s="181">
        <v>5.0670000000000003E-3</v>
      </c>
      <c r="J65" s="181">
        <v>1.881592688115119E-2</v>
      </c>
      <c r="K65" s="180" t="s">
        <v>8</v>
      </c>
      <c r="L65" s="181" t="s">
        <v>8</v>
      </c>
      <c r="M65" s="182" t="s">
        <v>8</v>
      </c>
      <c r="N65" s="180" t="s">
        <v>8</v>
      </c>
      <c r="O65" s="181" t="s">
        <v>8</v>
      </c>
      <c r="P65" s="182" t="s">
        <v>8</v>
      </c>
      <c r="Q65" s="180" t="s">
        <v>8</v>
      </c>
      <c r="R65" s="181" t="s">
        <v>8</v>
      </c>
      <c r="S65" s="182" t="s">
        <v>8</v>
      </c>
      <c r="T65" s="180" t="s">
        <v>8</v>
      </c>
      <c r="U65" s="181" t="s">
        <v>8</v>
      </c>
      <c r="V65" s="182" t="s">
        <v>8</v>
      </c>
      <c r="W65" s="180" t="s">
        <v>8</v>
      </c>
      <c r="X65" s="181" t="s">
        <v>8</v>
      </c>
      <c r="Y65" s="182" t="s">
        <v>8</v>
      </c>
      <c r="Z65" s="180" t="s">
        <v>8</v>
      </c>
      <c r="AA65" s="181" t="s">
        <v>8</v>
      </c>
      <c r="AB65" s="182" t="s">
        <v>8</v>
      </c>
      <c r="AC65" s="180" t="s">
        <v>8</v>
      </c>
      <c r="AD65" s="181" t="s">
        <v>8</v>
      </c>
      <c r="AE65" s="182" t="s">
        <v>8</v>
      </c>
      <c r="AF65" s="180" t="s">
        <v>8</v>
      </c>
      <c r="AG65" s="181" t="s">
        <v>8</v>
      </c>
      <c r="AH65" s="182" t="s">
        <v>8</v>
      </c>
      <c r="AI65" s="180" t="s">
        <v>8</v>
      </c>
      <c r="AJ65" s="181" t="s">
        <v>8</v>
      </c>
      <c r="AK65" s="183" t="s">
        <v>8</v>
      </c>
    </row>
    <row r="66" spans="1:37" s="184" customFormat="1" ht="15.75" customHeight="1">
      <c r="A66" s="179">
        <v>36861</v>
      </c>
      <c r="B66" s="180">
        <v>103.13619561516012</v>
      </c>
      <c r="C66" s="181">
        <v>-1.9940000000000001E-3</v>
      </c>
      <c r="D66" s="181">
        <v>-1.1356251876020962E-2</v>
      </c>
      <c r="E66" s="180">
        <v>103.47884313577553</v>
      </c>
      <c r="F66" s="181">
        <v>-1.0889999999999999E-3</v>
      </c>
      <c r="G66" s="181">
        <v>-8.8277613917909781E-3</v>
      </c>
      <c r="H66" s="180">
        <v>103.66012587047918</v>
      </c>
      <c r="I66" s="181">
        <v>6.4649999999999994E-3</v>
      </c>
      <c r="J66" s="181">
        <v>2.3368116033762654E-2</v>
      </c>
      <c r="K66" s="180" t="s">
        <v>8</v>
      </c>
      <c r="L66" s="181" t="s">
        <v>8</v>
      </c>
      <c r="M66" s="182" t="s">
        <v>8</v>
      </c>
      <c r="N66" s="180" t="s">
        <v>8</v>
      </c>
      <c r="O66" s="181" t="s">
        <v>8</v>
      </c>
      <c r="P66" s="182" t="s">
        <v>8</v>
      </c>
      <c r="Q66" s="180" t="s">
        <v>8</v>
      </c>
      <c r="R66" s="181" t="s">
        <v>8</v>
      </c>
      <c r="S66" s="182" t="s">
        <v>8</v>
      </c>
      <c r="T66" s="180" t="s">
        <v>8</v>
      </c>
      <c r="U66" s="181" t="s">
        <v>8</v>
      </c>
      <c r="V66" s="182" t="s">
        <v>8</v>
      </c>
      <c r="W66" s="180" t="s">
        <v>8</v>
      </c>
      <c r="X66" s="181" t="s">
        <v>8</v>
      </c>
      <c r="Y66" s="182" t="s">
        <v>8</v>
      </c>
      <c r="Z66" s="180" t="s">
        <v>8</v>
      </c>
      <c r="AA66" s="181" t="s">
        <v>8</v>
      </c>
      <c r="AB66" s="182" t="s">
        <v>8</v>
      </c>
      <c r="AC66" s="180" t="s">
        <v>8</v>
      </c>
      <c r="AD66" s="181" t="s">
        <v>8</v>
      </c>
      <c r="AE66" s="182" t="s">
        <v>8</v>
      </c>
      <c r="AF66" s="180" t="s">
        <v>8</v>
      </c>
      <c r="AG66" s="181" t="s">
        <v>8</v>
      </c>
      <c r="AH66" s="182" t="s">
        <v>8</v>
      </c>
      <c r="AI66" s="180" t="s">
        <v>8</v>
      </c>
      <c r="AJ66" s="181" t="s">
        <v>8</v>
      </c>
      <c r="AK66" s="183" t="s">
        <v>8</v>
      </c>
    </row>
    <row r="67" spans="1:37" s="184" customFormat="1" ht="15.75" customHeight="1">
      <c r="A67" s="179">
        <v>36892</v>
      </c>
      <c r="B67" s="180">
        <v>103.18755744057648</v>
      </c>
      <c r="C67" s="181">
        <v>4.9799999999999996E-4</v>
      </c>
      <c r="D67" s="181">
        <v>-6.8874847785082016E-3</v>
      </c>
      <c r="E67" s="180">
        <v>103.46559784385416</v>
      </c>
      <c r="F67" s="181">
        <v>-1.2799999999999999E-4</v>
      </c>
      <c r="G67" s="181">
        <v>-8.7682798749494362E-3</v>
      </c>
      <c r="H67" s="180">
        <v>103.4588179060387</v>
      </c>
      <c r="I67" s="181">
        <v>-1.9420000000000001E-3</v>
      </c>
      <c r="J67" s="181">
        <v>1.7050135674721911E-2</v>
      </c>
      <c r="K67" s="180" t="s">
        <v>8</v>
      </c>
      <c r="L67" s="181" t="s">
        <v>8</v>
      </c>
      <c r="M67" s="182" t="s">
        <v>8</v>
      </c>
      <c r="N67" s="180" t="s">
        <v>8</v>
      </c>
      <c r="O67" s="181" t="s">
        <v>8</v>
      </c>
      <c r="P67" s="182" t="s">
        <v>8</v>
      </c>
      <c r="Q67" s="180" t="s">
        <v>8</v>
      </c>
      <c r="R67" s="181" t="s">
        <v>8</v>
      </c>
      <c r="S67" s="182" t="s">
        <v>8</v>
      </c>
      <c r="T67" s="180" t="s">
        <v>8</v>
      </c>
      <c r="U67" s="181" t="s">
        <v>8</v>
      </c>
      <c r="V67" s="182" t="s">
        <v>8</v>
      </c>
      <c r="W67" s="180" t="s">
        <v>8</v>
      </c>
      <c r="X67" s="181" t="s">
        <v>8</v>
      </c>
      <c r="Y67" s="182" t="s">
        <v>8</v>
      </c>
      <c r="Z67" s="180" t="s">
        <v>8</v>
      </c>
      <c r="AA67" s="181" t="s">
        <v>8</v>
      </c>
      <c r="AB67" s="182" t="s">
        <v>8</v>
      </c>
      <c r="AC67" s="180" t="s">
        <v>8</v>
      </c>
      <c r="AD67" s="181" t="s">
        <v>8</v>
      </c>
      <c r="AE67" s="182" t="s">
        <v>8</v>
      </c>
      <c r="AF67" s="180" t="s">
        <v>8</v>
      </c>
      <c r="AG67" s="181" t="s">
        <v>8</v>
      </c>
      <c r="AH67" s="182" t="s">
        <v>8</v>
      </c>
      <c r="AI67" s="180" t="s">
        <v>8</v>
      </c>
      <c r="AJ67" s="181" t="s">
        <v>8</v>
      </c>
      <c r="AK67" s="183" t="s">
        <v>8</v>
      </c>
    </row>
    <row r="68" spans="1:37" s="184" customFormat="1" ht="15.75" customHeight="1">
      <c r="A68" s="179">
        <v>36923</v>
      </c>
      <c r="B68" s="180">
        <v>103.28445055701319</v>
      </c>
      <c r="C68" s="181">
        <v>9.3899999999999995E-4</v>
      </c>
      <c r="D68" s="181">
        <v>-4.3619312166618407E-3</v>
      </c>
      <c r="E68" s="180">
        <v>103.48608403222723</v>
      </c>
      <c r="F68" s="181">
        <v>1.9800000000000002E-4</v>
      </c>
      <c r="G68" s="181">
        <v>-1.2143118620551618E-2</v>
      </c>
      <c r="H68" s="180">
        <v>103.22117300130853</v>
      </c>
      <c r="I68" s="181">
        <v>-2.297E-3</v>
      </c>
      <c r="J68" s="181">
        <v>7.4682597886768232E-3</v>
      </c>
      <c r="K68" s="180" t="s">
        <v>8</v>
      </c>
      <c r="L68" s="181" t="s">
        <v>8</v>
      </c>
      <c r="M68" s="182" t="s">
        <v>8</v>
      </c>
      <c r="N68" s="180" t="s">
        <v>8</v>
      </c>
      <c r="O68" s="181" t="s">
        <v>8</v>
      </c>
      <c r="P68" s="182" t="s">
        <v>8</v>
      </c>
      <c r="Q68" s="180" t="s">
        <v>8</v>
      </c>
      <c r="R68" s="181" t="s">
        <v>8</v>
      </c>
      <c r="S68" s="182" t="s">
        <v>8</v>
      </c>
      <c r="T68" s="180" t="s">
        <v>8</v>
      </c>
      <c r="U68" s="181" t="s">
        <v>8</v>
      </c>
      <c r="V68" s="182" t="s">
        <v>8</v>
      </c>
      <c r="W68" s="180" t="s">
        <v>8</v>
      </c>
      <c r="X68" s="181" t="s">
        <v>8</v>
      </c>
      <c r="Y68" s="182" t="s">
        <v>8</v>
      </c>
      <c r="Z68" s="180" t="s">
        <v>8</v>
      </c>
      <c r="AA68" s="181" t="s">
        <v>8</v>
      </c>
      <c r="AB68" s="182" t="s">
        <v>8</v>
      </c>
      <c r="AC68" s="180" t="s">
        <v>8</v>
      </c>
      <c r="AD68" s="181" t="s">
        <v>8</v>
      </c>
      <c r="AE68" s="182" t="s">
        <v>8</v>
      </c>
      <c r="AF68" s="180" t="s">
        <v>8</v>
      </c>
      <c r="AG68" s="181" t="s">
        <v>8</v>
      </c>
      <c r="AH68" s="182" t="s">
        <v>8</v>
      </c>
      <c r="AI68" s="180" t="s">
        <v>8</v>
      </c>
      <c r="AJ68" s="181" t="s">
        <v>8</v>
      </c>
      <c r="AK68" s="183" t="s">
        <v>8</v>
      </c>
    </row>
    <row r="69" spans="1:37" s="184" customFormat="1" ht="15.75" customHeight="1">
      <c r="A69" s="179">
        <v>36951</v>
      </c>
      <c r="B69" s="180">
        <v>103.28620639267265</v>
      </c>
      <c r="C69" s="181">
        <v>1.7E-5</v>
      </c>
      <c r="D69" s="181">
        <v>-3.7293100831239379E-3</v>
      </c>
      <c r="E69" s="180">
        <v>103.15027168954265</v>
      </c>
      <c r="F69" s="181">
        <v>-3.2450000000000001E-3</v>
      </c>
      <c r="G69" s="181">
        <v>-1.5160609877114317E-2</v>
      </c>
      <c r="H69" s="180">
        <v>103.45631083340551</v>
      </c>
      <c r="I69" s="181">
        <v>2.2780000000000001E-3</v>
      </c>
      <c r="J69" s="181">
        <v>1.1699665644518964E-2</v>
      </c>
      <c r="K69" s="180" t="s">
        <v>8</v>
      </c>
      <c r="L69" s="181" t="s">
        <v>8</v>
      </c>
      <c r="M69" s="182" t="s">
        <v>8</v>
      </c>
      <c r="N69" s="180" t="s">
        <v>8</v>
      </c>
      <c r="O69" s="181" t="s">
        <v>8</v>
      </c>
      <c r="P69" s="182" t="s">
        <v>8</v>
      </c>
      <c r="Q69" s="180" t="s">
        <v>8</v>
      </c>
      <c r="R69" s="181" t="s">
        <v>8</v>
      </c>
      <c r="S69" s="182" t="s">
        <v>8</v>
      </c>
      <c r="T69" s="180" t="s">
        <v>8</v>
      </c>
      <c r="U69" s="181" t="s">
        <v>8</v>
      </c>
      <c r="V69" s="182" t="s">
        <v>8</v>
      </c>
      <c r="W69" s="180" t="s">
        <v>8</v>
      </c>
      <c r="X69" s="181" t="s">
        <v>8</v>
      </c>
      <c r="Y69" s="182" t="s">
        <v>8</v>
      </c>
      <c r="Z69" s="180" t="s">
        <v>8</v>
      </c>
      <c r="AA69" s="181" t="s">
        <v>8</v>
      </c>
      <c r="AB69" s="182" t="s">
        <v>8</v>
      </c>
      <c r="AC69" s="180" t="s">
        <v>8</v>
      </c>
      <c r="AD69" s="181" t="s">
        <v>8</v>
      </c>
      <c r="AE69" s="182" t="s">
        <v>8</v>
      </c>
      <c r="AF69" s="180" t="s">
        <v>8</v>
      </c>
      <c r="AG69" s="181" t="s">
        <v>8</v>
      </c>
      <c r="AH69" s="182" t="s">
        <v>8</v>
      </c>
      <c r="AI69" s="180" t="s">
        <v>8</v>
      </c>
      <c r="AJ69" s="181" t="s">
        <v>8</v>
      </c>
      <c r="AK69" s="183" t="s">
        <v>8</v>
      </c>
    </row>
    <row r="70" spans="1:37" s="184" customFormat="1" ht="15.75" customHeight="1">
      <c r="A70" s="179">
        <v>36982</v>
      </c>
      <c r="B70" s="180">
        <v>102.70429190585634</v>
      </c>
      <c r="C70" s="181">
        <v>-5.6340000000000001E-3</v>
      </c>
      <c r="D70" s="181">
        <v>-6.6403609318500534E-3</v>
      </c>
      <c r="E70" s="180">
        <v>102.29298978153086</v>
      </c>
      <c r="F70" s="181">
        <v>-8.3109999999999989E-3</v>
      </c>
      <c r="G70" s="181">
        <v>-2.2383635545802805E-2</v>
      </c>
      <c r="H70" s="180">
        <v>102.61510757001909</v>
      </c>
      <c r="I70" s="181">
        <v>-8.1310000000000011E-3</v>
      </c>
      <c r="J70" s="181">
        <v>6.7414183069878231E-3</v>
      </c>
      <c r="K70" s="180" t="s">
        <v>8</v>
      </c>
      <c r="L70" s="181" t="s">
        <v>8</v>
      </c>
      <c r="M70" s="182" t="s">
        <v>8</v>
      </c>
      <c r="N70" s="180" t="s">
        <v>8</v>
      </c>
      <c r="O70" s="181" t="s">
        <v>8</v>
      </c>
      <c r="P70" s="182" t="s">
        <v>8</v>
      </c>
      <c r="Q70" s="180" t="s">
        <v>8</v>
      </c>
      <c r="R70" s="181" t="s">
        <v>8</v>
      </c>
      <c r="S70" s="182" t="s">
        <v>8</v>
      </c>
      <c r="T70" s="180" t="s">
        <v>8</v>
      </c>
      <c r="U70" s="181" t="s">
        <v>8</v>
      </c>
      <c r="V70" s="182" t="s">
        <v>8</v>
      </c>
      <c r="W70" s="180" t="s">
        <v>8</v>
      </c>
      <c r="X70" s="181" t="s">
        <v>8</v>
      </c>
      <c r="Y70" s="182" t="s">
        <v>8</v>
      </c>
      <c r="Z70" s="180" t="s">
        <v>8</v>
      </c>
      <c r="AA70" s="181" t="s">
        <v>8</v>
      </c>
      <c r="AB70" s="182" t="s">
        <v>8</v>
      </c>
      <c r="AC70" s="180" t="s">
        <v>8</v>
      </c>
      <c r="AD70" s="181" t="s">
        <v>8</v>
      </c>
      <c r="AE70" s="182" t="s">
        <v>8</v>
      </c>
      <c r="AF70" s="180" t="s">
        <v>8</v>
      </c>
      <c r="AG70" s="181" t="s">
        <v>8</v>
      </c>
      <c r="AH70" s="182" t="s">
        <v>8</v>
      </c>
      <c r="AI70" s="180" t="s">
        <v>8</v>
      </c>
      <c r="AJ70" s="181" t="s">
        <v>8</v>
      </c>
      <c r="AK70" s="183" t="s">
        <v>8</v>
      </c>
    </row>
    <row r="71" spans="1:37" s="184" customFormat="1" ht="15.75" customHeight="1">
      <c r="A71" s="179">
        <v>37012</v>
      </c>
      <c r="B71" s="180">
        <v>102.3037451674235</v>
      </c>
      <c r="C71" s="181">
        <v>-3.9000000000000003E-3</v>
      </c>
      <c r="D71" s="181">
        <v>-9.303832807907142E-3</v>
      </c>
      <c r="E71" s="180">
        <v>101.87440686734485</v>
      </c>
      <c r="F71" s="181">
        <v>-4.0920000000000002E-3</v>
      </c>
      <c r="G71" s="181">
        <v>-2.0737614796063397E-2</v>
      </c>
      <c r="H71" s="180">
        <v>101.63544113804812</v>
      </c>
      <c r="I71" s="181">
        <v>-9.5469999999999999E-3</v>
      </c>
      <c r="J71" s="181">
        <v>-1.8778085552928481E-3</v>
      </c>
      <c r="K71" s="180" t="s">
        <v>8</v>
      </c>
      <c r="L71" s="181" t="s">
        <v>8</v>
      </c>
      <c r="M71" s="182" t="s">
        <v>8</v>
      </c>
      <c r="N71" s="180" t="s">
        <v>8</v>
      </c>
      <c r="O71" s="181" t="s">
        <v>8</v>
      </c>
      <c r="P71" s="182" t="s">
        <v>8</v>
      </c>
      <c r="Q71" s="180" t="s">
        <v>8</v>
      </c>
      <c r="R71" s="181" t="s">
        <v>8</v>
      </c>
      <c r="S71" s="182" t="s">
        <v>8</v>
      </c>
      <c r="T71" s="180" t="s">
        <v>8</v>
      </c>
      <c r="U71" s="181" t="s">
        <v>8</v>
      </c>
      <c r="V71" s="182" t="s">
        <v>8</v>
      </c>
      <c r="W71" s="180" t="s">
        <v>8</v>
      </c>
      <c r="X71" s="181" t="s">
        <v>8</v>
      </c>
      <c r="Y71" s="182" t="s">
        <v>8</v>
      </c>
      <c r="Z71" s="180" t="s">
        <v>8</v>
      </c>
      <c r="AA71" s="181" t="s">
        <v>8</v>
      </c>
      <c r="AB71" s="182" t="s">
        <v>8</v>
      </c>
      <c r="AC71" s="180" t="s">
        <v>8</v>
      </c>
      <c r="AD71" s="181" t="s">
        <v>8</v>
      </c>
      <c r="AE71" s="182" t="s">
        <v>8</v>
      </c>
      <c r="AF71" s="180" t="s">
        <v>8</v>
      </c>
      <c r="AG71" s="181" t="s">
        <v>8</v>
      </c>
      <c r="AH71" s="182" t="s">
        <v>8</v>
      </c>
      <c r="AI71" s="180" t="s">
        <v>8</v>
      </c>
      <c r="AJ71" s="181" t="s">
        <v>8</v>
      </c>
      <c r="AK71" s="183" t="s">
        <v>8</v>
      </c>
    </row>
    <row r="72" spans="1:37" s="184" customFormat="1" ht="15.75" customHeight="1">
      <c r="A72" s="179">
        <v>37043</v>
      </c>
      <c r="B72" s="180">
        <v>101.77647166483059</v>
      </c>
      <c r="C72" s="181">
        <v>-5.1539999999999997E-3</v>
      </c>
      <c r="D72" s="181">
        <v>-1.2937183130846353E-2</v>
      </c>
      <c r="E72" s="180">
        <v>101.78384051963977</v>
      </c>
      <c r="F72" s="181">
        <v>-8.8900000000000003E-4</v>
      </c>
      <c r="G72" s="181">
        <v>-1.9017404020527984E-2</v>
      </c>
      <c r="H72" s="180">
        <v>101.57842365556968</v>
      </c>
      <c r="I72" s="181">
        <v>-5.6099999999999998E-4</v>
      </c>
      <c r="J72" s="181">
        <v>-2.1952885598133243E-3</v>
      </c>
      <c r="K72" s="180" t="s">
        <v>8</v>
      </c>
      <c r="L72" s="181" t="s">
        <v>8</v>
      </c>
      <c r="M72" s="182" t="s">
        <v>8</v>
      </c>
      <c r="N72" s="180" t="s">
        <v>8</v>
      </c>
      <c r="O72" s="181" t="s">
        <v>8</v>
      </c>
      <c r="P72" s="182" t="s">
        <v>8</v>
      </c>
      <c r="Q72" s="180" t="s">
        <v>8</v>
      </c>
      <c r="R72" s="181" t="s">
        <v>8</v>
      </c>
      <c r="S72" s="182" t="s">
        <v>8</v>
      </c>
      <c r="T72" s="180" t="s">
        <v>8</v>
      </c>
      <c r="U72" s="181" t="s">
        <v>8</v>
      </c>
      <c r="V72" s="182" t="s">
        <v>8</v>
      </c>
      <c r="W72" s="180" t="s">
        <v>8</v>
      </c>
      <c r="X72" s="181" t="s">
        <v>8</v>
      </c>
      <c r="Y72" s="182" t="s">
        <v>8</v>
      </c>
      <c r="Z72" s="180" t="s">
        <v>8</v>
      </c>
      <c r="AA72" s="181" t="s">
        <v>8</v>
      </c>
      <c r="AB72" s="182" t="s">
        <v>8</v>
      </c>
      <c r="AC72" s="180" t="s">
        <v>8</v>
      </c>
      <c r="AD72" s="181" t="s">
        <v>8</v>
      </c>
      <c r="AE72" s="182" t="s">
        <v>8</v>
      </c>
      <c r="AF72" s="180" t="s">
        <v>8</v>
      </c>
      <c r="AG72" s="181" t="s">
        <v>8</v>
      </c>
      <c r="AH72" s="182" t="s">
        <v>8</v>
      </c>
      <c r="AI72" s="180" t="s">
        <v>8</v>
      </c>
      <c r="AJ72" s="181" t="s">
        <v>8</v>
      </c>
      <c r="AK72" s="183" t="s">
        <v>8</v>
      </c>
    </row>
    <row r="73" spans="1:37" s="184" customFormat="1" ht="15.75" customHeight="1">
      <c r="A73" s="179">
        <v>37073</v>
      </c>
      <c r="B73" s="180">
        <v>101.29649382445925</v>
      </c>
      <c r="C73" s="181">
        <v>-4.7160000000000006E-3</v>
      </c>
      <c r="D73" s="181">
        <v>-1.7483112000633461E-2</v>
      </c>
      <c r="E73" s="180">
        <v>100.67948585000167</v>
      </c>
      <c r="F73" s="181">
        <v>-1.085E-2</v>
      </c>
      <c r="G73" s="181">
        <v>-2.9296080513178099E-2</v>
      </c>
      <c r="H73" s="180">
        <v>100.65030159862874</v>
      </c>
      <c r="I73" s="181">
        <v>-9.1369999999999993E-3</v>
      </c>
      <c r="J73" s="181">
        <v>-8.4048732967483275E-3</v>
      </c>
      <c r="K73" s="180" t="s">
        <v>8</v>
      </c>
      <c r="L73" s="181" t="s">
        <v>8</v>
      </c>
      <c r="M73" s="182" t="s">
        <v>8</v>
      </c>
      <c r="N73" s="180" t="s">
        <v>8</v>
      </c>
      <c r="O73" s="181" t="s">
        <v>8</v>
      </c>
      <c r="P73" s="182" t="s">
        <v>8</v>
      </c>
      <c r="Q73" s="180" t="s">
        <v>8</v>
      </c>
      <c r="R73" s="181" t="s">
        <v>8</v>
      </c>
      <c r="S73" s="182" t="s">
        <v>8</v>
      </c>
      <c r="T73" s="180" t="s">
        <v>8</v>
      </c>
      <c r="U73" s="181" t="s">
        <v>8</v>
      </c>
      <c r="V73" s="182" t="s">
        <v>8</v>
      </c>
      <c r="W73" s="180" t="s">
        <v>8</v>
      </c>
      <c r="X73" s="181" t="s">
        <v>8</v>
      </c>
      <c r="Y73" s="182" t="s">
        <v>8</v>
      </c>
      <c r="Z73" s="180" t="s">
        <v>8</v>
      </c>
      <c r="AA73" s="181" t="s">
        <v>8</v>
      </c>
      <c r="AB73" s="182" t="s">
        <v>8</v>
      </c>
      <c r="AC73" s="180" t="s">
        <v>8</v>
      </c>
      <c r="AD73" s="181" t="s">
        <v>8</v>
      </c>
      <c r="AE73" s="182" t="s">
        <v>8</v>
      </c>
      <c r="AF73" s="180" t="s">
        <v>8</v>
      </c>
      <c r="AG73" s="181" t="s">
        <v>8</v>
      </c>
      <c r="AH73" s="182" t="s">
        <v>8</v>
      </c>
      <c r="AI73" s="180" t="s">
        <v>8</v>
      </c>
      <c r="AJ73" s="181" t="s">
        <v>8</v>
      </c>
      <c r="AK73" s="183" t="s">
        <v>8</v>
      </c>
    </row>
    <row r="74" spans="1:37" s="184" customFormat="1" ht="15.75" customHeight="1">
      <c r="A74" s="179">
        <v>37104</v>
      </c>
      <c r="B74" s="180">
        <v>100</v>
      </c>
      <c r="C74" s="181">
        <v>-1.2799E-2</v>
      </c>
      <c r="D74" s="181">
        <v>-3.0203815077875729E-2</v>
      </c>
      <c r="E74" s="180">
        <v>100</v>
      </c>
      <c r="F74" s="181">
        <v>-6.7490000000000007E-3</v>
      </c>
      <c r="G74" s="181">
        <v>-3.4137785145502142E-2</v>
      </c>
      <c r="H74" s="180">
        <v>100</v>
      </c>
      <c r="I74" s="181">
        <v>-6.4609999999999997E-3</v>
      </c>
      <c r="J74" s="181">
        <v>-1.1214367278537418E-2</v>
      </c>
      <c r="K74" s="180">
        <v>100</v>
      </c>
      <c r="L74" s="181" t="s">
        <v>8</v>
      </c>
      <c r="M74" s="181" t="s">
        <v>8</v>
      </c>
      <c r="N74" s="180" t="s">
        <v>8</v>
      </c>
      <c r="O74" s="181" t="s">
        <v>8</v>
      </c>
      <c r="P74" s="182" t="s">
        <v>8</v>
      </c>
      <c r="Q74" s="180" t="s">
        <v>8</v>
      </c>
      <c r="R74" s="181" t="s">
        <v>8</v>
      </c>
      <c r="S74" s="182" t="s">
        <v>8</v>
      </c>
      <c r="T74" s="180" t="s">
        <v>8</v>
      </c>
      <c r="U74" s="181" t="s">
        <v>8</v>
      </c>
      <c r="V74" s="182" t="s">
        <v>8</v>
      </c>
      <c r="W74" s="180" t="s">
        <v>8</v>
      </c>
      <c r="X74" s="181" t="s">
        <v>8</v>
      </c>
      <c r="Y74" s="182" t="s">
        <v>8</v>
      </c>
      <c r="Z74" s="180" t="s">
        <v>8</v>
      </c>
      <c r="AA74" s="181" t="s">
        <v>8</v>
      </c>
      <c r="AB74" s="182" t="s">
        <v>8</v>
      </c>
      <c r="AC74" s="180" t="s">
        <v>8</v>
      </c>
      <c r="AD74" s="181" t="s">
        <v>8</v>
      </c>
      <c r="AE74" s="182" t="s">
        <v>8</v>
      </c>
      <c r="AF74" s="180" t="s">
        <v>8</v>
      </c>
      <c r="AG74" s="181" t="s">
        <v>8</v>
      </c>
      <c r="AH74" s="182" t="s">
        <v>8</v>
      </c>
      <c r="AI74" s="180" t="s">
        <v>8</v>
      </c>
      <c r="AJ74" s="181" t="s">
        <v>8</v>
      </c>
      <c r="AK74" s="183" t="s">
        <v>8</v>
      </c>
    </row>
    <row r="75" spans="1:37" s="184" customFormat="1" ht="15.75" customHeight="1">
      <c r="A75" s="179">
        <v>37135</v>
      </c>
      <c r="B75" s="180">
        <v>99.112499999999997</v>
      </c>
      <c r="C75" s="181">
        <v>-8.8749999999999992E-3</v>
      </c>
      <c r="D75" s="181">
        <v>-4.0144954731982097E-2</v>
      </c>
      <c r="E75" s="180">
        <v>98.676500000000004</v>
      </c>
      <c r="F75" s="181">
        <v>-1.3235E-2</v>
      </c>
      <c r="G75" s="181">
        <v>-4.7821732200439726E-2</v>
      </c>
      <c r="H75" s="180">
        <v>99.264899999999997</v>
      </c>
      <c r="I75" s="181">
        <v>-7.3509999999999999E-3</v>
      </c>
      <c r="J75" s="181">
        <v>-2.4381519795986351E-2</v>
      </c>
      <c r="K75" s="180">
        <v>99.225099999999998</v>
      </c>
      <c r="L75" s="181">
        <v>-7.7490000000000007E-3</v>
      </c>
      <c r="M75" s="181" t="s">
        <v>8</v>
      </c>
      <c r="N75" s="180" t="s">
        <v>8</v>
      </c>
      <c r="O75" s="181" t="s">
        <v>8</v>
      </c>
      <c r="P75" s="182" t="s">
        <v>8</v>
      </c>
      <c r="Q75" s="180" t="s">
        <v>8</v>
      </c>
      <c r="R75" s="181" t="s">
        <v>8</v>
      </c>
      <c r="S75" s="182" t="s">
        <v>8</v>
      </c>
      <c r="T75" s="180" t="s">
        <v>8</v>
      </c>
      <c r="U75" s="181" t="s">
        <v>8</v>
      </c>
      <c r="V75" s="182" t="s">
        <v>8</v>
      </c>
      <c r="W75" s="180" t="s">
        <v>8</v>
      </c>
      <c r="X75" s="181" t="s">
        <v>8</v>
      </c>
      <c r="Y75" s="182" t="s">
        <v>8</v>
      </c>
      <c r="Z75" s="180" t="s">
        <v>8</v>
      </c>
      <c r="AA75" s="181" t="s">
        <v>8</v>
      </c>
      <c r="AB75" s="182" t="s">
        <v>8</v>
      </c>
      <c r="AC75" s="180" t="s">
        <v>8</v>
      </c>
      <c r="AD75" s="181" t="s">
        <v>8</v>
      </c>
      <c r="AE75" s="182" t="s">
        <v>8</v>
      </c>
      <c r="AF75" s="180" t="s">
        <v>8</v>
      </c>
      <c r="AG75" s="181" t="s">
        <v>8</v>
      </c>
      <c r="AH75" s="182" t="s">
        <v>8</v>
      </c>
      <c r="AI75" s="180" t="s">
        <v>8</v>
      </c>
      <c r="AJ75" s="181" t="s">
        <v>8</v>
      </c>
      <c r="AK75" s="183" t="s">
        <v>8</v>
      </c>
    </row>
    <row r="76" spans="1:37" s="184" customFormat="1" ht="15.75" customHeight="1">
      <c r="A76" s="179">
        <v>37165</v>
      </c>
      <c r="B76" s="180">
        <v>98.409098587499997</v>
      </c>
      <c r="C76" s="181">
        <v>-7.097E-3</v>
      </c>
      <c r="D76" s="181">
        <v>-4.7436185586898882E-2</v>
      </c>
      <c r="E76" s="180">
        <v>98.427539190499999</v>
      </c>
      <c r="F76" s="181">
        <v>-2.5230000000000001E-3</v>
      </c>
      <c r="G76" s="181">
        <v>-4.8130917858468902E-2</v>
      </c>
      <c r="H76" s="180">
        <v>98.95866778349999</v>
      </c>
      <c r="I76" s="181">
        <v>-3.0850000000000001E-3</v>
      </c>
      <c r="J76" s="181">
        <v>-3.4314303565157078E-2</v>
      </c>
      <c r="K76" s="180">
        <v>97.651489139100008</v>
      </c>
      <c r="L76" s="181">
        <v>-1.5859000000000002E-2</v>
      </c>
      <c r="M76" s="181" t="s">
        <v>8</v>
      </c>
      <c r="N76" s="180" t="s">
        <v>8</v>
      </c>
      <c r="O76" s="181" t="s">
        <v>8</v>
      </c>
      <c r="P76" s="182" t="s">
        <v>8</v>
      </c>
      <c r="Q76" s="180" t="s">
        <v>8</v>
      </c>
      <c r="R76" s="181" t="s">
        <v>8</v>
      </c>
      <c r="S76" s="182" t="s">
        <v>8</v>
      </c>
      <c r="T76" s="180" t="s">
        <v>8</v>
      </c>
      <c r="U76" s="181" t="s">
        <v>8</v>
      </c>
      <c r="V76" s="182" t="s">
        <v>8</v>
      </c>
      <c r="W76" s="180" t="s">
        <v>8</v>
      </c>
      <c r="X76" s="181" t="s">
        <v>8</v>
      </c>
      <c r="Y76" s="182" t="s">
        <v>8</v>
      </c>
      <c r="Z76" s="180" t="s">
        <v>8</v>
      </c>
      <c r="AA76" s="181" t="s">
        <v>8</v>
      </c>
      <c r="AB76" s="182" t="s">
        <v>8</v>
      </c>
      <c r="AC76" s="180" t="s">
        <v>8</v>
      </c>
      <c r="AD76" s="181" t="s">
        <v>8</v>
      </c>
      <c r="AE76" s="182" t="s">
        <v>8</v>
      </c>
      <c r="AF76" s="180" t="s">
        <v>8</v>
      </c>
      <c r="AG76" s="181" t="s">
        <v>8</v>
      </c>
      <c r="AH76" s="182" t="s">
        <v>8</v>
      </c>
      <c r="AI76" s="180" t="s">
        <v>8</v>
      </c>
      <c r="AJ76" s="181" t="s">
        <v>8</v>
      </c>
      <c r="AK76" s="183" t="s">
        <v>8</v>
      </c>
    </row>
    <row r="77" spans="1:37" s="184" customFormat="1" ht="15.75" customHeight="1">
      <c r="A77" s="179">
        <v>37196</v>
      </c>
      <c r="B77" s="180">
        <v>98.023925375628522</v>
      </c>
      <c r="C77" s="181">
        <v>-3.9139999999999999E-3</v>
      </c>
      <c r="D77" s="181">
        <v>-5.1463309414046421E-2</v>
      </c>
      <c r="E77" s="180">
        <v>96.555545822635878</v>
      </c>
      <c r="F77" s="181">
        <v>-1.9018999999999998E-2</v>
      </c>
      <c r="G77" s="181">
        <v>-6.7921577875763584E-2</v>
      </c>
      <c r="H77" s="180">
        <v>98.740266003701805</v>
      </c>
      <c r="I77" s="181">
        <v>-2.2070000000000002E-3</v>
      </c>
      <c r="J77" s="181">
        <v>-4.1303288136202654E-2</v>
      </c>
      <c r="K77" s="180">
        <v>97.17866062868849</v>
      </c>
      <c r="L77" s="181">
        <v>-4.8419999999999999E-3</v>
      </c>
      <c r="M77" s="181" t="s">
        <v>8</v>
      </c>
      <c r="N77" s="180" t="s">
        <v>8</v>
      </c>
      <c r="O77" s="181" t="s">
        <v>8</v>
      </c>
      <c r="P77" s="182" t="s">
        <v>8</v>
      </c>
      <c r="Q77" s="180" t="s">
        <v>8</v>
      </c>
      <c r="R77" s="181" t="s">
        <v>8</v>
      </c>
      <c r="S77" s="182" t="s">
        <v>8</v>
      </c>
      <c r="T77" s="180" t="s">
        <v>8</v>
      </c>
      <c r="U77" s="181" t="s">
        <v>8</v>
      </c>
      <c r="V77" s="182" t="s">
        <v>8</v>
      </c>
      <c r="W77" s="180" t="s">
        <v>8</v>
      </c>
      <c r="X77" s="181" t="s">
        <v>8</v>
      </c>
      <c r="Y77" s="182" t="s">
        <v>8</v>
      </c>
      <c r="Z77" s="180" t="s">
        <v>8</v>
      </c>
      <c r="AA77" s="181" t="s">
        <v>8</v>
      </c>
      <c r="AB77" s="182" t="s">
        <v>8</v>
      </c>
      <c r="AC77" s="180" t="s">
        <v>8</v>
      </c>
      <c r="AD77" s="181" t="s">
        <v>8</v>
      </c>
      <c r="AE77" s="182" t="s">
        <v>8</v>
      </c>
      <c r="AF77" s="180" t="s">
        <v>8</v>
      </c>
      <c r="AG77" s="181" t="s">
        <v>8</v>
      </c>
      <c r="AH77" s="182" t="s">
        <v>8</v>
      </c>
      <c r="AI77" s="180" t="s">
        <v>8</v>
      </c>
      <c r="AJ77" s="181" t="s">
        <v>8</v>
      </c>
      <c r="AK77" s="183" t="s">
        <v>8</v>
      </c>
    </row>
    <row r="78" spans="1:37" s="184" customFormat="1" ht="15.75" customHeight="1">
      <c r="A78" s="179">
        <v>37226</v>
      </c>
      <c r="B78" s="180">
        <v>96.778139308029665</v>
      </c>
      <c r="C78" s="181">
        <v>-1.2709E-2</v>
      </c>
      <c r="D78" s="181">
        <v>-6.1647186704993029E-2</v>
      </c>
      <c r="E78" s="180">
        <v>95.320214169381074</v>
      </c>
      <c r="F78" s="181">
        <v>-1.2794000000000002E-2</v>
      </c>
      <c r="G78" s="181">
        <v>-7.8843449725171877E-2</v>
      </c>
      <c r="H78" s="180">
        <v>98.417089113071697</v>
      </c>
      <c r="I78" s="181">
        <v>-3.2729999999999999E-3</v>
      </c>
      <c r="J78" s="181">
        <v>-5.05791085374383E-2</v>
      </c>
      <c r="K78" s="180">
        <v>95.897845881602379</v>
      </c>
      <c r="L78" s="181">
        <v>-1.3180000000000001E-2</v>
      </c>
      <c r="M78" s="181" t="s">
        <v>8</v>
      </c>
      <c r="N78" s="180" t="s">
        <v>8</v>
      </c>
      <c r="O78" s="181" t="s">
        <v>8</v>
      </c>
      <c r="P78" s="182" t="s">
        <v>8</v>
      </c>
      <c r="Q78" s="180" t="s">
        <v>8</v>
      </c>
      <c r="R78" s="181" t="s">
        <v>8</v>
      </c>
      <c r="S78" s="182" t="s">
        <v>8</v>
      </c>
      <c r="T78" s="180" t="s">
        <v>8</v>
      </c>
      <c r="U78" s="181" t="s">
        <v>8</v>
      </c>
      <c r="V78" s="182" t="s">
        <v>8</v>
      </c>
      <c r="W78" s="180" t="s">
        <v>8</v>
      </c>
      <c r="X78" s="181" t="s">
        <v>8</v>
      </c>
      <c r="Y78" s="182" t="s">
        <v>8</v>
      </c>
      <c r="Z78" s="180" t="s">
        <v>8</v>
      </c>
      <c r="AA78" s="181" t="s">
        <v>8</v>
      </c>
      <c r="AB78" s="182" t="s">
        <v>8</v>
      </c>
      <c r="AC78" s="180" t="s">
        <v>8</v>
      </c>
      <c r="AD78" s="181" t="s">
        <v>8</v>
      </c>
      <c r="AE78" s="182" t="s">
        <v>8</v>
      </c>
      <c r="AF78" s="180" t="s">
        <v>8</v>
      </c>
      <c r="AG78" s="181" t="s">
        <v>8</v>
      </c>
      <c r="AH78" s="182" t="s">
        <v>8</v>
      </c>
      <c r="AI78" s="180" t="s">
        <v>8</v>
      </c>
      <c r="AJ78" s="181" t="s">
        <v>8</v>
      </c>
      <c r="AK78" s="183" t="s">
        <v>8</v>
      </c>
    </row>
    <row r="79" spans="1:37" s="184" customFormat="1" ht="15.75" customHeight="1">
      <c r="A79" s="179">
        <v>37257</v>
      </c>
      <c r="B79" s="180">
        <v>95.326854330966455</v>
      </c>
      <c r="C79" s="181">
        <v>-1.4996000000000001E-2</v>
      </c>
      <c r="D79" s="181">
        <v>-7.6178788456513713E-2</v>
      </c>
      <c r="E79" s="180">
        <v>92.1618741930928</v>
      </c>
      <c r="F79" s="181">
        <v>-3.3134000000000004E-2</v>
      </c>
      <c r="G79" s="181">
        <v>-0.10925103499445732</v>
      </c>
      <c r="H79" s="180">
        <v>96.172687395848101</v>
      </c>
      <c r="I79" s="181">
        <v>-2.2804999999999999E-2</v>
      </c>
      <c r="J79" s="181">
        <v>-7.0425418129248962E-2</v>
      </c>
      <c r="K79" s="180">
        <v>93.63734185848125</v>
      </c>
      <c r="L79" s="181">
        <v>-2.3572000000000003E-2</v>
      </c>
      <c r="M79" s="181" t="s">
        <v>8</v>
      </c>
      <c r="N79" s="180" t="s">
        <v>8</v>
      </c>
      <c r="O79" s="181" t="s">
        <v>8</v>
      </c>
      <c r="P79" s="182" t="s">
        <v>8</v>
      </c>
      <c r="Q79" s="180" t="s">
        <v>8</v>
      </c>
      <c r="R79" s="181" t="s">
        <v>8</v>
      </c>
      <c r="S79" s="182" t="s">
        <v>8</v>
      </c>
      <c r="T79" s="180" t="s">
        <v>8</v>
      </c>
      <c r="U79" s="181" t="s">
        <v>8</v>
      </c>
      <c r="V79" s="182" t="s">
        <v>8</v>
      </c>
      <c r="W79" s="180" t="s">
        <v>8</v>
      </c>
      <c r="X79" s="181" t="s">
        <v>8</v>
      </c>
      <c r="Y79" s="182" t="s">
        <v>8</v>
      </c>
      <c r="Z79" s="180" t="s">
        <v>8</v>
      </c>
      <c r="AA79" s="181" t="s">
        <v>8</v>
      </c>
      <c r="AB79" s="182" t="s">
        <v>8</v>
      </c>
      <c r="AC79" s="180" t="s">
        <v>8</v>
      </c>
      <c r="AD79" s="181" t="s">
        <v>8</v>
      </c>
      <c r="AE79" s="182" t="s">
        <v>8</v>
      </c>
      <c r="AF79" s="180" t="s">
        <v>8</v>
      </c>
      <c r="AG79" s="181" t="s">
        <v>8</v>
      </c>
      <c r="AH79" s="182" t="s">
        <v>8</v>
      </c>
      <c r="AI79" s="180" t="s">
        <v>8</v>
      </c>
      <c r="AJ79" s="181" t="s">
        <v>8</v>
      </c>
      <c r="AK79" s="183" t="s">
        <v>8</v>
      </c>
    </row>
    <row r="80" spans="1:37" s="184" customFormat="1" ht="15.75" customHeight="1">
      <c r="A80" s="179">
        <v>37288</v>
      </c>
      <c r="B80" s="180">
        <v>94.264341212593507</v>
      </c>
      <c r="C80" s="181">
        <v>-1.1146E-2</v>
      </c>
      <c r="D80" s="181">
        <v>-8.7332694280447987E-2</v>
      </c>
      <c r="E80" s="180">
        <v>89.889715346736295</v>
      </c>
      <c r="F80" s="181">
        <v>-2.4653999999999999E-2</v>
      </c>
      <c r="G80" s="181">
        <v>-0.13138354603558877</v>
      </c>
      <c r="H80" s="180">
        <v>95.020442428158447</v>
      </c>
      <c r="I80" s="181">
        <v>-1.1980999999999999E-2</v>
      </c>
      <c r="J80" s="181">
        <v>-7.9448143580446606E-2</v>
      </c>
      <c r="K80" s="180">
        <v>92.137552553933958</v>
      </c>
      <c r="L80" s="181">
        <v>-1.6017E-2</v>
      </c>
      <c r="M80" s="181" t="s">
        <v>8</v>
      </c>
      <c r="N80" s="180" t="s">
        <v>8</v>
      </c>
      <c r="O80" s="181" t="s">
        <v>8</v>
      </c>
      <c r="P80" s="182" t="s">
        <v>8</v>
      </c>
      <c r="Q80" s="180" t="s">
        <v>8</v>
      </c>
      <c r="R80" s="181" t="s">
        <v>8</v>
      </c>
      <c r="S80" s="182" t="s">
        <v>8</v>
      </c>
      <c r="T80" s="180" t="s">
        <v>8</v>
      </c>
      <c r="U80" s="181" t="s">
        <v>8</v>
      </c>
      <c r="V80" s="182" t="s">
        <v>8</v>
      </c>
      <c r="W80" s="180" t="s">
        <v>8</v>
      </c>
      <c r="X80" s="181" t="s">
        <v>8</v>
      </c>
      <c r="Y80" s="182" t="s">
        <v>8</v>
      </c>
      <c r="Z80" s="180" t="s">
        <v>8</v>
      </c>
      <c r="AA80" s="181" t="s">
        <v>8</v>
      </c>
      <c r="AB80" s="182" t="s">
        <v>8</v>
      </c>
      <c r="AC80" s="180" t="s">
        <v>8</v>
      </c>
      <c r="AD80" s="181" t="s">
        <v>8</v>
      </c>
      <c r="AE80" s="182" t="s">
        <v>8</v>
      </c>
      <c r="AF80" s="180" t="s">
        <v>8</v>
      </c>
      <c r="AG80" s="181" t="s">
        <v>8</v>
      </c>
      <c r="AH80" s="182" t="s">
        <v>8</v>
      </c>
      <c r="AI80" s="180" t="s">
        <v>8</v>
      </c>
      <c r="AJ80" s="181" t="s">
        <v>8</v>
      </c>
      <c r="AK80" s="183" t="s">
        <v>8</v>
      </c>
    </row>
    <row r="81" spans="1:37" s="184" customFormat="1" ht="15.75" customHeight="1">
      <c r="A81" s="179">
        <v>37316</v>
      </c>
      <c r="B81" s="180">
        <v>93.320095306666957</v>
      </c>
      <c r="C81" s="181">
        <v>-1.0017E-2</v>
      </c>
      <c r="D81" s="181">
        <v>-9.6490242347720856E-2</v>
      </c>
      <c r="E81" s="180">
        <v>88.634585251349819</v>
      </c>
      <c r="F81" s="181">
        <v>-1.3963000000000001E-2</v>
      </c>
      <c r="G81" s="181">
        <v>-0.14072368594317941</v>
      </c>
      <c r="H81" s="180">
        <v>93.456215904906102</v>
      </c>
      <c r="I81" s="181">
        <v>-1.6462000000000001E-2</v>
      </c>
      <c r="J81" s="181">
        <v>-9.6660076586361554E-2</v>
      </c>
      <c r="K81" s="180">
        <v>93.969707786468931</v>
      </c>
      <c r="L81" s="181">
        <v>1.9885E-2</v>
      </c>
      <c r="M81" s="181" t="s">
        <v>8</v>
      </c>
      <c r="N81" s="180" t="s">
        <v>8</v>
      </c>
      <c r="O81" s="181" t="s">
        <v>8</v>
      </c>
      <c r="P81" s="182" t="s">
        <v>8</v>
      </c>
      <c r="Q81" s="180" t="s">
        <v>8</v>
      </c>
      <c r="R81" s="181" t="s">
        <v>8</v>
      </c>
      <c r="S81" s="182" t="s">
        <v>8</v>
      </c>
      <c r="T81" s="180" t="s">
        <v>8</v>
      </c>
      <c r="U81" s="181" t="s">
        <v>8</v>
      </c>
      <c r="V81" s="182" t="s">
        <v>8</v>
      </c>
      <c r="W81" s="180" t="s">
        <v>8</v>
      </c>
      <c r="X81" s="181" t="s">
        <v>8</v>
      </c>
      <c r="Y81" s="182" t="s">
        <v>8</v>
      </c>
      <c r="Z81" s="180" t="s">
        <v>8</v>
      </c>
      <c r="AA81" s="181" t="s">
        <v>8</v>
      </c>
      <c r="AB81" s="182" t="s">
        <v>8</v>
      </c>
      <c r="AC81" s="180" t="s">
        <v>8</v>
      </c>
      <c r="AD81" s="181" t="s">
        <v>8</v>
      </c>
      <c r="AE81" s="182" t="s">
        <v>8</v>
      </c>
      <c r="AF81" s="180" t="s">
        <v>8</v>
      </c>
      <c r="AG81" s="181" t="s">
        <v>8</v>
      </c>
      <c r="AH81" s="182" t="s">
        <v>8</v>
      </c>
      <c r="AI81" s="180" t="s">
        <v>8</v>
      </c>
      <c r="AJ81" s="181" t="s">
        <v>8</v>
      </c>
      <c r="AK81" s="183" t="s">
        <v>8</v>
      </c>
    </row>
    <row r="82" spans="1:37" s="184" customFormat="1" ht="15.75" customHeight="1">
      <c r="A82" s="179">
        <v>37347</v>
      </c>
      <c r="B82" s="180">
        <v>92.529487459228875</v>
      </c>
      <c r="C82" s="181">
        <v>-8.4720000000000004E-3</v>
      </c>
      <c r="D82" s="181">
        <v>-9.9068931373911595E-2</v>
      </c>
      <c r="E82" s="180">
        <v>87.995884430028582</v>
      </c>
      <c r="F82" s="181">
        <v>-7.2060000000000006E-3</v>
      </c>
      <c r="G82" s="181">
        <v>-0.13976622818471618</v>
      </c>
      <c r="H82" s="180">
        <v>92.819498705945975</v>
      </c>
      <c r="I82" s="181">
        <v>-6.8130000000000005E-3</v>
      </c>
      <c r="J82" s="181">
        <v>-9.5459714422548525E-2</v>
      </c>
      <c r="K82" s="180">
        <v>92.555557653990363</v>
      </c>
      <c r="L82" s="181">
        <v>-1.5049E-2</v>
      </c>
      <c r="M82" s="181" t="s">
        <v>8</v>
      </c>
      <c r="N82" s="180" t="s">
        <v>8</v>
      </c>
      <c r="O82" s="181" t="s">
        <v>8</v>
      </c>
      <c r="P82" s="182" t="s">
        <v>8</v>
      </c>
      <c r="Q82" s="180" t="s">
        <v>8</v>
      </c>
      <c r="R82" s="181" t="s">
        <v>8</v>
      </c>
      <c r="S82" s="182" t="s">
        <v>8</v>
      </c>
      <c r="T82" s="180" t="s">
        <v>8</v>
      </c>
      <c r="U82" s="181" t="s">
        <v>8</v>
      </c>
      <c r="V82" s="182" t="s">
        <v>8</v>
      </c>
      <c r="W82" s="180" t="s">
        <v>8</v>
      </c>
      <c r="X82" s="181" t="s">
        <v>8</v>
      </c>
      <c r="Y82" s="182" t="s">
        <v>8</v>
      </c>
      <c r="Z82" s="180" t="s">
        <v>8</v>
      </c>
      <c r="AA82" s="181" t="s">
        <v>8</v>
      </c>
      <c r="AB82" s="182" t="s">
        <v>8</v>
      </c>
      <c r="AC82" s="180" t="s">
        <v>8</v>
      </c>
      <c r="AD82" s="181" t="s">
        <v>8</v>
      </c>
      <c r="AE82" s="182" t="s">
        <v>8</v>
      </c>
      <c r="AF82" s="180" t="s">
        <v>8</v>
      </c>
      <c r="AG82" s="181" t="s">
        <v>8</v>
      </c>
      <c r="AH82" s="182" t="s">
        <v>8</v>
      </c>
      <c r="AI82" s="180" t="s">
        <v>8</v>
      </c>
      <c r="AJ82" s="181" t="s">
        <v>8</v>
      </c>
      <c r="AK82" s="183" t="s">
        <v>8</v>
      </c>
    </row>
    <row r="83" spans="1:37" s="184" customFormat="1" ht="15.75" customHeight="1">
      <c r="A83" s="179">
        <v>37377</v>
      </c>
      <c r="B83" s="180">
        <v>91.672016698944205</v>
      </c>
      <c r="C83" s="181">
        <v>-9.2669999999999992E-3</v>
      </c>
      <c r="D83" s="181">
        <v>-0.10392315991052059</v>
      </c>
      <c r="E83" s="180">
        <v>87.903752739030338</v>
      </c>
      <c r="F83" s="181">
        <v>-1.047E-3</v>
      </c>
      <c r="G83" s="181">
        <v>-0.13713605367544679</v>
      </c>
      <c r="H83" s="180">
        <v>92.319572885915747</v>
      </c>
      <c r="I83" s="181">
        <v>-5.3859999999999993E-3</v>
      </c>
      <c r="J83" s="181">
        <v>-9.1659643012509173E-2</v>
      </c>
      <c r="K83" s="180">
        <v>92.003926530372581</v>
      </c>
      <c r="L83" s="181">
        <v>-5.96E-3</v>
      </c>
      <c r="M83" s="181" t="s">
        <v>8</v>
      </c>
      <c r="N83" s="180" t="s">
        <v>8</v>
      </c>
      <c r="O83" s="181" t="s">
        <v>8</v>
      </c>
      <c r="P83" s="182" t="s">
        <v>8</v>
      </c>
      <c r="Q83" s="180" t="s">
        <v>8</v>
      </c>
      <c r="R83" s="181" t="s">
        <v>8</v>
      </c>
      <c r="S83" s="182" t="s">
        <v>8</v>
      </c>
      <c r="T83" s="180" t="s">
        <v>8</v>
      </c>
      <c r="U83" s="181" t="s">
        <v>8</v>
      </c>
      <c r="V83" s="182" t="s">
        <v>8</v>
      </c>
      <c r="W83" s="180" t="s">
        <v>8</v>
      </c>
      <c r="X83" s="181" t="s">
        <v>8</v>
      </c>
      <c r="Y83" s="182" t="s">
        <v>8</v>
      </c>
      <c r="Z83" s="180" t="s">
        <v>8</v>
      </c>
      <c r="AA83" s="181" t="s">
        <v>8</v>
      </c>
      <c r="AB83" s="182" t="s">
        <v>8</v>
      </c>
      <c r="AC83" s="180" t="s">
        <v>8</v>
      </c>
      <c r="AD83" s="181" t="s">
        <v>8</v>
      </c>
      <c r="AE83" s="182" t="s">
        <v>8</v>
      </c>
      <c r="AF83" s="180" t="s">
        <v>8</v>
      </c>
      <c r="AG83" s="181" t="s">
        <v>8</v>
      </c>
      <c r="AH83" s="182" t="s">
        <v>8</v>
      </c>
      <c r="AI83" s="180" t="s">
        <v>8</v>
      </c>
      <c r="AJ83" s="181" t="s">
        <v>8</v>
      </c>
      <c r="AK83" s="183" t="s">
        <v>8</v>
      </c>
    </row>
    <row r="84" spans="1:37" s="184" customFormat="1" ht="15.75" customHeight="1">
      <c r="A84" s="179">
        <v>37408</v>
      </c>
      <c r="B84" s="180">
        <v>91.085957496187859</v>
      </c>
      <c r="C84" s="181">
        <v>-6.3929999999999994E-3</v>
      </c>
      <c r="D84" s="181">
        <v>-0.10503915093312177</v>
      </c>
      <c r="E84" s="180">
        <v>87.449905663638717</v>
      </c>
      <c r="F84" s="181">
        <v>-5.1630000000000001E-3</v>
      </c>
      <c r="G84" s="181">
        <v>-0.1408272156250111</v>
      </c>
      <c r="H84" s="180">
        <v>92.171492291006729</v>
      </c>
      <c r="I84" s="181">
        <v>-1.604E-3</v>
      </c>
      <c r="J84" s="181">
        <v>-9.260757379401563E-2</v>
      </c>
      <c r="K84" s="180">
        <v>91.544182909500307</v>
      </c>
      <c r="L84" s="181">
        <v>-4.9969999999999997E-3</v>
      </c>
      <c r="M84" s="181" t="s">
        <v>8</v>
      </c>
      <c r="N84" s="180" t="s">
        <v>8</v>
      </c>
      <c r="O84" s="181" t="s">
        <v>8</v>
      </c>
      <c r="P84" s="182" t="s">
        <v>8</v>
      </c>
      <c r="Q84" s="180" t="s">
        <v>8</v>
      </c>
      <c r="R84" s="181" t="s">
        <v>8</v>
      </c>
      <c r="S84" s="182" t="s">
        <v>8</v>
      </c>
      <c r="T84" s="180" t="s">
        <v>8</v>
      </c>
      <c r="U84" s="181" t="s">
        <v>8</v>
      </c>
      <c r="V84" s="182" t="s">
        <v>8</v>
      </c>
      <c r="W84" s="180" t="s">
        <v>8</v>
      </c>
      <c r="X84" s="181" t="s">
        <v>8</v>
      </c>
      <c r="Y84" s="182" t="s">
        <v>8</v>
      </c>
      <c r="Z84" s="180" t="s">
        <v>8</v>
      </c>
      <c r="AA84" s="181" t="s">
        <v>8</v>
      </c>
      <c r="AB84" s="182" t="s">
        <v>8</v>
      </c>
      <c r="AC84" s="180" t="s">
        <v>8</v>
      </c>
      <c r="AD84" s="181" t="s">
        <v>8</v>
      </c>
      <c r="AE84" s="182" t="s">
        <v>8</v>
      </c>
      <c r="AF84" s="180" t="s">
        <v>8</v>
      </c>
      <c r="AG84" s="181" t="s">
        <v>8</v>
      </c>
      <c r="AH84" s="182" t="s">
        <v>8</v>
      </c>
      <c r="AI84" s="180" t="s">
        <v>8</v>
      </c>
      <c r="AJ84" s="181" t="s">
        <v>8</v>
      </c>
      <c r="AK84" s="183" t="s">
        <v>8</v>
      </c>
    </row>
    <row r="85" spans="1:37" s="184" customFormat="1" ht="15.75" customHeight="1">
      <c r="A85" s="179">
        <v>37438</v>
      </c>
      <c r="B85" s="180">
        <v>90.727807511312847</v>
      </c>
      <c r="C85" s="181">
        <v>-3.9319999999999997E-3</v>
      </c>
      <c r="D85" s="181">
        <v>-0.10433417697024439</v>
      </c>
      <c r="E85" s="180">
        <v>86.785811080029049</v>
      </c>
      <c r="F85" s="181">
        <v>-7.5940000000000001E-3</v>
      </c>
      <c r="G85" s="181">
        <v>-0.13799906358950076</v>
      </c>
      <c r="H85" s="180">
        <v>91.841702691589504</v>
      </c>
      <c r="I85" s="181">
        <v>-3.578E-3</v>
      </c>
      <c r="J85" s="181">
        <v>-8.7516865495008589E-2</v>
      </c>
      <c r="K85" s="180">
        <v>91.267902565479432</v>
      </c>
      <c r="L85" s="181">
        <v>-3.0180000000000003E-3</v>
      </c>
      <c r="M85" s="181" t="s">
        <v>8</v>
      </c>
      <c r="N85" s="180" t="s">
        <v>8</v>
      </c>
      <c r="O85" s="181" t="s">
        <v>8</v>
      </c>
      <c r="P85" s="182" t="s">
        <v>8</v>
      </c>
      <c r="Q85" s="180" t="s">
        <v>8</v>
      </c>
      <c r="R85" s="181" t="s">
        <v>8</v>
      </c>
      <c r="S85" s="182" t="s">
        <v>8</v>
      </c>
      <c r="T85" s="180" t="s">
        <v>8</v>
      </c>
      <c r="U85" s="181" t="s">
        <v>8</v>
      </c>
      <c r="V85" s="182" t="s">
        <v>8</v>
      </c>
      <c r="W85" s="180" t="s">
        <v>8</v>
      </c>
      <c r="X85" s="181" t="s">
        <v>8</v>
      </c>
      <c r="Y85" s="182" t="s">
        <v>8</v>
      </c>
      <c r="Z85" s="180" t="s">
        <v>8</v>
      </c>
      <c r="AA85" s="181" t="s">
        <v>8</v>
      </c>
      <c r="AB85" s="182" t="s">
        <v>8</v>
      </c>
      <c r="AC85" s="180" t="s">
        <v>8</v>
      </c>
      <c r="AD85" s="181" t="s">
        <v>8</v>
      </c>
      <c r="AE85" s="182" t="s">
        <v>8</v>
      </c>
      <c r="AF85" s="180" t="s">
        <v>8</v>
      </c>
      <c r="AG85" s="181" t="s">
        <v>8</v>
      </c>
      <c r="AH85" s="182" t="s">
        <v>8</v>
      </c>
      <c r="AI85" s="180" t="s">
        <v>8</v>
      </c>
      <c r="AJ85" s="181" t="s">
        <v>8</v>
      </c>
      <c r="AK85" s="183" t="s">
        <v>8</v>
      </c>
    </row>
    <row r="86" spans="1:37" s="184" customFormat="1" ht="15.75" customHeight="1">
      <c r="A86" s="179">
        <v>37469</v>
      </c>
      <c r="B86" s="180">
        <v>90.510060773285701</v>
      </c>
      <c r="C86" s="181">
        <v>-2.3999999999999998E-3</v>
      </c>
      <c r="D86" s="181">
        <v>-9.4899392267142946E-2</v>
      </c>
      <c r="E86" s="180">
        <v>86.54680295631465</v>
      </c>
      <c r="F86" s="181">
        <v>-2.7539999999999999E-3</v>
      </c>
      <c r="G86" s="181">
        <v>-0.1345319704368535</v>
      </c>
      <c r="H86" s="180">
        <v>91.395811225021831</v>
      </c>
      <c r="I86" s="181">
        <v>-4.8549999999999999E-3</v>
      </c>
      <c r="J86" s="181">
        <v>-8.604188774978172E-2</v>
      </c>
      <c r="K86" s="180">
        <v>92.008815398506002</v>
      </c>
      <c r="L86" s="181">
        <v>8.1180000000000002E-3</v>
      </c>
      <c r="M86" s="181">
        <v>-7.9911846014939947E-2</v>
      </c>
      <c r="N86" s="180" t="s">
        <v>8</v>
      </c>
      <c r="O86" s="181" t="s">
        <v>8</v>
      </c>
      <c r="P86" s="182" t="s">
        <v>8</v>
      </c>
      <c r="Q86" s="180" t="s">
        <v>8</v>
      </c>
      <c r="R86" s="181" t="s">
        <v>8</v>
      </c>
      <c r="S86" s="182" t="s">
        <v>8</v>
      </c>
      <c r="T86" s="180" t="s">
        <v>8</v>
      </c>
      <c r="U86" s="181" t="s">
        <v>8</v>
      </c>
      <c r="V86" s="182" t="s">
        <v>8</v>
      </c>
      <c r="W86" s="180" t="s">
        <v>8</v>
      </c>
      <c r="X86" s="181" t="s">
        <v>8</v>
      </c>
      <c r="Y86" s="182" t="s">
        <v>8</v>
      </c>
      <c r="Z86" s="180" t="s">
        <v>8</v>
      </c>
      <c r="AA86" s="181" t="s">
        <v>8</v>
      </c>
      <c r="AB86" s="182" t="s">
        <v>8</v>
      </c>
      <c r="AC86" s="180" t="s">
        <v>8</v>
      </c>
      <c r="AD86" s="181" t="s">
        <v>8</v>
      </c>
      <c r="AE86" s="182" t="s">
        <v>8</v>
      </c>
      <c r="AF86" s="180" t="s">
        <v>8</v>
      </c>
      <c r="AG86" s="181" t="s">
        <v>8</v>
      </c>
      <c r="AH86" s="182" t="s">
        <v>8</v>
      </c>
      <c r="AI86" s="180" t="s">
        <v>8</v>
      </c>
      <c r="AJ86" s="181" t="s">
        <v>8</v>
      </c>
      <c r="AK86" s="183" t="s">
        <v>8</v>
      </c>
    </row>
    <row r="87" spans="1:37" s="184" customFormat="1" ht="15.75" customHeight="1">
      <c r="A87" s="179">
        <v>37500</v>
      </c>
      <c r="B87" s="180">
        <v>90.129828007977125</v>
      </c>
      <c r="C87" s="181">
        <v>-4.2009999999999999E-3</v>
      </c>
      <c r="D87" s="181">
        <v>-9.063107067244669E-2</v>
      </c>
      <c r="E87" s="180">
        <v>87.102087244082369</v>
      </c>
      <c r="F87" s="181">
        <v>6.4159999999999998E-3</v>
      </c>
      <c r="G87" s="181">
        <v>-0.11729654736353268</v>
      </c>
      <c r="H87" s="180">
        <v>91.462530167216087</v>
      </c>
      <c r="I87" s="181">
        <v>7.2999999999999996E-4</v>
      </c>
      <c r="J87" s="181">
        <v>-7.8601497939190135E-2</v>
      </c>
      <c r="K87" s="180">
        <v>92.043134686649637</v>
      </c>
      <c r="L87" s="181">
        <v>3.7300000000000001E-4</v>
      </c>
      <c r="M87" s="181">
        <v>-7.2380529859383924E-2</v>
      </c>
      <c r="N87" s="180" t="s">
        <v>8</v>
      </c>
      <c r="O87" s="181" t="s">
        <v>8</v>
      </c>
      <c r="P87" s="182" t="s">
        <v>8</v>
      </c>
      <c r="Q87" s="180" t="s">
        <v>8</v>
      </c>
      <c r="R87" s="181" t="s">
        <v>8</v>
      </c>
      <c r="S87" s="182" t="s">
        <v>8</v>
      </c>
      <c r="T87" s="180" t="s">
        <v>8</v>
      </c>
      <c r="U87" s="181" t="s">
        <v>8</v>
      </c>
      <c r="V87" s="182" t="s">
        <v>8</v>
      </c>
      <c r="W87" s="180" t="s">
        <v>8</v>
      </c>
      <c r="X87" s="181" t="s">
        <v>8</v>
      </c>
      <c r="Y87" s="182" t="s">
        <v>8</v>
      </c>
      <c r="Z87" s="180" t="s">
        <v>8</v>
      </c>
      <c r="AA87" s="181" t="s">
        <v>8</v>
      </c>
      <c r="AB87" s="182" t="s">
        <v>8</v>
      </c>
      <c r="AC87" s="180" t="s">
        <v>8</v>
      </c>
      <c r="AD87" s="181" t="s">
        <v>8</v>
      </c>
      <c r="AE87" s="182" t="s">
        <v>8</v>
      </c>
      <c r="AF87" s="180" t="s">
        <v>8</v>
      </c>
      <c r="AG87" s="181" t="s">
        <v>8</v>
      </c>
      <c r="AH87" s="182" t="s">
        <v>8</v>
      </c>
      <c r="AI87" s="180" t="s">
        <v>8</v>
      </c>
      <c r="AJ87" s="181" t="s">
        <v>8</v>
      </c>
      <c r="AK87" s="183" t="s">
        <v>8</v>
      </c>
    </row>
    <row r="88" spans="1:37" s="184" customFormat="1" ht="15.75" customHeight="1">
      <c r="A88" s="179">
        <v>37530</v>
      </c>
      <c r="B88" s="180">
        <v>90.369393090822328</v>
      </c>
      <c r="C88" s="181">
        <v>2.6579999999999998E-3</v>
      </c>
      <c r="D88" s="181">
        <v>-8.1696770035234123E-2</v>
      </c>
      <c r="E88" s="180">
        <v>86.921785923487121</v>
      </c>
      <c r="F88" s="181">
        <v>-2.0699999999999998E-3</v>
      </c>
      <c r="G88" s="181">
        <v>-0.11689567128915268</v>
      </c>
      <c r="H88" s="180">
        <v>91.963653370002262</v>
      </c>
      <c r="I88" s="181">
        <v>5.4790000000000004E-3</v>
      </c>
      <c r="J88" s="181">
        <v>-7.0686222542943877E-2</v>
      </c>
      <c r="K88" s="180">
        <v>91.847819154844572</v>
      </c>
      <c r="L88" s="181">
        <v>-2.1220000000000002E-3</v>
      </c>
      <c r="M88" s="181">
        <v>-5.9432478044327386E-2</v>
      </c>
      <c r="N88" s="180" t="s">
        <v>8</v>
      </c>
      <c r="O88" s="181" t="s">
        <v>8</v>
      </c>
      <c r="P88" s="182" t="s">
        <v>8</v>
      </c>
      <c r="Q88" s="180" t="s">
        <v>8</v>
      </c>
      <c r="R88" s="181" t="s">
        <v>8</v>
      </c>
      <c r="S88" s="182" t="s">
        <v>8</v>
      </c>
      <c r="T88" s="180" t="s">
        <v>8</v>
      </c>
      <c r="U88" s="181" t="s">
        <v>8</v>
      </c>
      <c r="V88" s="182" t="s">
        <v>8</v>
      </c>
      <c r="W88" s="180" t="s">
        <v>8</v>
      </c>
      <c r="X88" s="181" t="s">
        <v>8</v>
      </c>
      <c r="Y88" s="182" t="s">
        <v>8</v>
      </c>
      <c r="Z88" s="180" t="s">
        <v>8</v>
      </c>
      <c r="AA88" s="181" t="s">
        <v>8</v>
      </c>
      <c r="AB88" s="182" t="s">
        <v>8</v>
      </c>
      <c r="AC88" s="180" t="s">
        <v>8</v>
      </c>
      <c r="AD88" s="181" t="s">
        <v>8</v>
      </c>
      <c r="AE88" s="182" t="s">
        <v>8</v>
      </c>
      <c r="AF88" s="180" t="s">
        <v>8</v>
      </c>
      <c r="AG88" s="181" t="s">
        <v>8</v>
      </c>
      <c r="AH88" s="182" t="s">
        <v>8</v>
      </c>
      <c r="AI88" s="180" t="s">
        <v>8</v>
      </c>
      <c r="AJ88" s="181" t="s">
        <v>8</v>
      </c>
      <c r="AK88" s="183" t="s">
        <v>8</v>
      </c>
    </row>
    <row r="89" spans="1:37" s="184" customFormat="1" ht="15.75" customHeight="1">
      <c r="A89" s="179">
        <v>37561</v>
      </c>
      <c r="B89" s="180">
        <v>90.547782272783607</v>
      </c>
      <c r="C89" s="181">
        <v>1.9740000000000001E-3</v>
      </c>
      <c r="D89" s="181">
        <v>-7.6268554581917281E-2</v>
      </c>
      <c r="E89" s="180">
        <v>87.224969112788244</v>
      </c>
      <c r="F89" s="181">
        <v>3.4879999999999998E-3</v>
      </c>
      <c r="G89" s="181">
        <v>-9.6634290970578629E-2</v>
      </c>
      <c r="H89" s="180">
        <v>92.946744824527599</v>
      </c>
      <c r="I89" s="181">
        <v>1.069E-2</v>
      </c>
      <c r="J89" s="181">
        <v>-5.8674352558023335E-2</v>
      </c>
      <c r="K89" s="180">
        <v>92.591143555264722</v>
      </c>
      <c r="L89" s="181">
        <v>8.0929999999999995E-3</v>
      </c>
      <c r="M89" s="181">
        <v>-4.7207041584492404E-2</v>
      </c>
      <c r="N89" s="180" t="s">
        <v>8</v>
      </c>
      <c r="O89" s="181" t="s">
        <v>8</v>
      </c>
      <c r="P89" s="182" t="s">
        <v>8</v>
      </c>
      <c r="Q89" s="180" t="s">
        <v>8</v>
      </c>
      <c r="R89" s="181" t="s">
        <v>8</v>
      </c>
      <c r="S89" s="182" t="s">
        <v>8</v>
      </c>
      <c r="T89" s="180" t="s">
        <v>8</v>
      </c>
      <c r="U89" s="181" t="s">
        <v>8</v>
      </c>
      <c r="V89" s="182" t="s">
        <v>8</v>
      </c>
      <c r="W89" s="180" t="s">
        <v>8</v>
      </c>
      <c r="X89" s="181" t="s">
        <v>8</v>
      </c>
      <c r="Y89" s="182" t="s">
        <v>8</v>
      </c>
      <c r="Z89" s="180" t="s">
        <v>8</v>
      </c>
      <c r="AA89" s="181" t="s">
        <v>8</v>
      </c>
      <c r="AB89" s="182" t="s">
        <v>8</v>
      </c>
      <c r="AC89" s="180" t="s">
        <v>8</v>
      </c>
      <c r="AD89" s="181" t="s">
        <v>8</v>
      </c>
      <c r="AE89" s="182" t="s">
        <v>8</v>
      </c>
      <c r="AF89" s="180" t="s">
        <v>8</v>
      </c>
      <c r="AG89" s="181" t="s">
        <v>8</v>
      </c>
      <c r="AH89" s="182" t="s">
        <v>8</v>
      </c>
      <c r="AI89" s="180" t="s">
        <v>8</v>
      </c>
      <c r="AJ89" s="181" t="s">
        <v>8</v>
      </c>
      <c r="AK89" s="183" t="s">
        <v>8</v>
      </c>
    </row>
    <row r="90" spans="1:37" s="184" customFormat="1" ht="15.75" customHeight="1">
      <c r="A90" s="179">
        <v>37591</v>
      </c>
      <c r="B90" s="180">
        <v>90.835905315975609</v>
      </c>
      <c r="C90" s="181">
        <v>3.1819999999999999E-3</v>
      </c>
      <c r="D90" s="181">
        <v>-6.1400581107897256E-2</v>
      </c>
      <c r="E90" s="180">
        <v>87.856128989288379</v>
      </c>
      <c r="F90" s="181">
        <v>7.2360000000000002E-3</v>
      </c>
      <c r="G90" s="181">
        <v>-7.8305375676446243E-2</v>
      </c>
      <c r="H90" s="180">
        <v>93.31323383937071</v>
      </c>
      <c r="I90" s="181">
        <v>3.9429999999999995E-3</v>
      </c>
      <c r="J90" s="181">
        <v>-5.185944148213073E-2</v>
      </c>
      <c r="K90" s="180">
        <v>93.327335737672641</v>
      </c>
      <c r="L90" s="181">
        <v>7.9509999999999997E-3</v>
      </c>
      <c r="M90" s="181">
        <v>-2.6804670327041036E-2</v>
      </c>
      <c r="N90" s="180" t="s">
        <v>8</v>
      </c>
      <c r="O90" s="181" t="s">
        <v>8</v>
      </c>
      <c r="P90" s="182" t="s">
        <v>8</v>
      </c>
      <c r="Q90" s="180" t="s">
        <v>8</v>
      </c>
      <c r="R90" s="181" t="s">
        <v>8</v>
      </c>
      <c r="S90" s="182" t="s">
        <v>8</v>
      </c>
      <c r="T90" s="180" t="s">
        <v>8</v>
      </c>
      <c r="U90" s="181" t="s">
        <v>8</v>
      </c>
      <c r="V90" s="182" t="s">
        <v>8</v>
      </c>
      <c r="W90" s="180" t="s">
        <v>8</v>
      </c>
      <c r="X90" s="181" t="s">
        <v>8</v>
      </c>
      <c r="Y90" s="182" t="s">
        <v>8</v>
      </c>
      <c r="Z90" s="180" t="s">
        <v>8</v>
      </c>
      <c r="AA90" s="181" t="s">
        <v>8</v>
      </c>
      <c r="AB90" s="182" t="s">
        <v>8</v>
      </c>
      <c r="AC90" s="180" t="s">
        <v>8</v>
      </c>
      <c r="AD90" s="181" t="s">
        <v>8</v>
      </c>
      <c r="AE90" s="182" t="s">
        <v>8</v>
      </c>
      <c r="AF90" s="180" t="s">
        <v>8</v>
      </c>
      <c r="AG90" s="181" t="s">
        <v>8</v>
      </c>
      <c r="AH90" s="182" t="s">
        <v>8</v>
      </c>
      <c r="AI90" s="180" t="s">
        <v>8</v>
      </c>
      <c r="AJ90" s="181" t="s">
        <v>8</v>
      </c>
      <c r="AK90" s="183" t="s">
        <v>8</v>
      </c>
    </row>
    <row r="91" spans="1:37" s="184" customFormat="1" ht="15.75" customHeight="1">
      <c r="A91" s="179">
        <v>37622</v>
      </c>
      <c r="B91" s="180">
        <v>90.962621403891404</v>
      </c>
      <c r="C91" s="181">
        <v>1.3950000000000002E-3</v>
      </c>
      <c r="D91" s="181">
        <v>-4.5781778468455658E-2</v>
      </c>
      <c r="E91" s="180">
        <v>88.110736051099337</v>
      </c>
      <c r="F91" s="181">
        <v>2.898E-3</v>
      </c>
      <c r="G91" s="181">
        <v>-4.3956768213130326E-2</v>
      </c>
      <c r="H91" s="180">
        <v>93.116436229203472</v>
      </c>
      <c r="I91" s="181">
        <v>-2.1090000000000002E-3</v>
      </c>
      <c r="J91" s="181">
        <v>-3.1778785114583097E-2</v>
      </c>
      <c r="K91" s="180">
        <v>93.441568396615537</v>
      </c>
      <c r="L91" s="181">
        <v>1.224E-3</v>
      </c>
      <c r="M91" s="181">
        <v>-2.0907627019314257E-3</v>
      </c>
      <c r="N91" s="180" t="s">
        <v>8</v>
      </c>
      <c r="O91" s="181" t="s">
        <v>8</v>
      </c>
      <c r="P91" s="182" t="s">
        <v>8</v>
      </c>
      <c r="Q91" s="180" t="s">
        <v>8</v>
      </c>
      <c r="R91" s="181" t="s">
        <v>8</v>
      </c>
      <c r="S91" s="182" t="s">
        <v>8</v>
      </c>
      <c r="T91" s="180" t="s">
        <v>8</v>
      </c>
      <c r="U91" s="181" t="s">
        <v>8</v>
      </c>
      <c r="V91" s="182" t="s">
        <v>8</v>
      </c>
      <c r="W91" s="180" t="s">
        <v>8</v>
      </c>
      <c r="X91" s="181" t="s">
        <v>8</v>
      </c>
      <c r="Y91" s="182" t="s">
        <v>8</v>
      </c>
      <c r="Z91" s="180" t="s">
        <v>8</v>
      </c>
      <c r="AA91" s="181" t="s">
        <v>8</v>
      </c>
      <c r="AB91" s="182" t="s">
        <v>8</v>
      </c>
      <c r="AC91" s="180" t="s">
        <v>8</v>
      </c>
      <c r="AD91" s="181" t="s">
        <v>8</v>
      </c>
      <c r="AE91" s="182" t="s">
        <v>8</v>
      </c>
      <c r="AF91" s="180" t="s">
        <v>8</v>
      </c>
      <c r="AG91" s="181" t="s">
        <v>8</v>
      </c>
      <c r="AH91" s="182" t="s">
        <v>8</v>
      </c>
      <c r="AI91" s="180" t="s">
        <v>8</v>
      </c>
      <c r="AJ91" s="181" t="s">
        <v>8</v>
      </c>
      <c r="AK91" s="183" t="s">
        <v>8</v>
      </c>
    </row>
    <row r="92" spans="1:37" s="184" customFormat="1" ht="15.75" customHeight="1">
      <c r="A92" s="179">
        <v>37653</v>
      </c>
      <c r="B92" s="180">
        <v>91.06158873597883</v>
      </c>
      <c r="C92" s="181">
        <v>1.088E-3</v>
      </c>
      <c r="D92" s="181">
        <v>-3.3976288757925355E-2</v>
      </c>
      <c r="E92" s="180">
        <v>87.792656293954863</v>
      </c>
      <c r="F92" s="181">
        <v>-3.6099999999999999E-3</v>
      </c>
      <c r="G92" s="181">
        <v>-2.3329243447844261E-2</v>
      </c>
      <c r="H92" s="180">
        <v>93.683422209403091</v>
      </c>
      <c r="I92" s="181">
        <v>6.0889999999999998E-3</v>
      </c>
      <c r="J92" s="181">
        <v>-1.4070869221285975E-2</v>
      </c>
      <c r="K92" s="180">
        <v>94.59230131141986</v>
      </c>
      <c r="L92" s="181">
        <v>1.2315E-2</v>
      </c>
      <c r="M92" s="181">
        <v>2.6642217960467063E-2</v>
      </c>
      <c r="N92" s="180" t="s">
        <v>8</v>
      </c>
      <c r="O92" s="181" t="s">
        <v>8</v>
      </c>
      <c r="P92" s="182" t="s">
        <v>8</v>
      </c>
      <c r="Q92" s="180" t="s">
        <v>8</v>
      </c>
      <c r="R92" s="181" t="s">
        <v>8</v>
      </c>
      <c r="S92" s="182" t="s">
        <v>8</v>
      </c>
      <c r="T92" s="180" t="s">
        <v>8</v>
      </c>
      <c r="U92" s="181" t="s">
        <v>8</v>
      </c>
      <c r="V92" s="182" t="s">
        <v>8</v>
      </c>
      <c r="W92" s="180" t="s">
        <v>8</v>
      </c>
      <c r="X92" s="181" t="s">
        <v>8</v>
      </c>
      <c r="Y92" s="182" t="s">
        <v>8</v>
      </c>
      <c r="Z92" s="180" t="s">
        <v>8</v>
      </c>
      <c r="AA92" s="181" t="s">
        <v>8</v>
      </c>
      <c r="AB92" s="182" t="s">
        <v>8</v>
      </c>
      <c r="AC92" s="180" t="s">
        <v>8</v>
      </c>
      <c r="AD92" s="181" t="s">
        <v>8</v>
      </c>
      <c r="AE92" s="182" t="s">
        <v>8</v>
      </c>
      <c r="AF92" s="180" t="s">
        <v>8</v>
      </c>
      <c r="AG92" s="181" t="s">
        <v>8</v>
      </c>
      <c r="AH92" s="182" t="s">
        <v>8</v>
      </c>
      <c r="AI92" s="180" t="s">
        <v>8</v>
      </c>
      <c r="AJ92" s="181" t="s">
        <v>8</v>
      </c>
      <c r="AK92" s="183" t="s">
        <v>8</v>
      </c>
    </row>
    <row r="93" spans="1:37" s="184" customFormat="1" ht="15.75" customHeight="1">
      <c r="A93" s="179">
        <v>37681</v>
      </c>
      <c r="B93" s="180">
        <v>91.382945082628083</v>
      </c>
      <c r="C93" s="181">
        <v>3.529E-3</v>
      </c>
      <c r="D93" s="181">
        <v>-2.0758125221293944E-2</v>
      </c>
      <c r="E93" s="180">
        <v>88.388944015503398</v>
      </c>
      <c r="F93" s="181">
        <v>6.7920000000000003E-3</v>
      </c>
      <c r="G93" s="181">
        <v>-2.7713926245588327E-3</v>
      </c>
      <c r="H93" s="180">
        <v>94.356818648244271</v>
      </c>
      <c r="I93" s="181">
        <v>7.1879999999999999E-3</v>
      </c>
      <c r="J93" s="181">
        <v>9.636627533202935E-3</v>
      </c>
      <c r="K93" s="180">
        <v>95.653910709037916</v>
      </c>
      <c r="L93" s="181">
        <v>1.1223E-2</v>
      </c>
      <c r="M93" s="181">
        <v>1.7922828135169544E-2</v>
      </c>
      <c r="N93" s="180" t="s">
        <v>8</v>
      </c>
      <c r="O93" s="181" t="s">
        <v>8</v>
      </c>
      <c r="P93" s="182" t="s">
        <v>8</v>
      </c>
      <c r="Q93" s="180" t="s">
        <v>8</v>
      </c>
      <c r="R93" s="181" t="s">
        <v>8</v>
      </c>
      <c r="S93" s="182" t="s">
        <v>8</v>
      </c>
      <c r="T93" s="180" t="s">
        <v>8</v>
      </c>
      <c r="U93" s="181" t="s">
        <v>8</v>
      </c>
      <c r="V93" s="182" t="s">
        <v>8</v>
      </c>
      <c r="W93" s="180" t="s">
        <v>8</v>
      </c>
      <c r="X93" s="181" t="s">
        <v>8</v>
      </c>
      <c r="Y93" s="182" t="s">
        <v>8</v>
      </c>
      <c r="Z93" s="180" t="s">
        <v>8</v>
      </c>
      <c r="AA93" s="181" t="s">
        <v>8</v>
      </c>
      <c r="AB93" s="182" t="s">
        <v>8</v>
      </c>
      <c r="AC93" s="180" t="s">
        <v>8</v>
      </c>
      <c r="AD93" s="181" t="s">
        <v>8</v>
      </c>
      <c r="AE93" s="182" t="s">
        <v>8</v>
      </c>
      <c r="AF93" s="180" t="s">
        <v>8</v>
      </c>
      <c r="AG93" s="181" t="s">
        <v>8</v>
      </c>
      <c r="AH93" s="182" t="s">
        <v>8</v>
      </c>
      <c r="AI93" s="180" t="s">
        <v>8</v>
      </c>
      <c r="AJ93" s="181" t="s">
        <v>8</v>
      </c>
      <c r="AK93" s="183" t="s">
        <v>8</v>
      </c>
    </row>
    <row r="94" spans="1:37" s="184" customFormat="1" ht="15.75" customHeight="1">
      <c r="A94" s="179">
        <v>37712</v>
      </c>
      <c r="B94" s="180">
        <v>91.460529203003247</v>
      </c>
      <c r="C94" s="181">
        <v>8.4900000000000004E-4</v>
      </c>
      <c r="D94" s="181">
        <v>-1.1552622689028125E-2</v>
      </c>
      <c r="E94" s="180">
        <v>89.494954871969398</v>
      </c>
      <c r="F94" s="181">
        <v>1.2513000000000002E-2</v>
      </c>
      <c r="G94" s="181">
        <v>1.7035688108036684E-2</v>
      </c>
      <c r="H94" s="180">
        <v>94.558836596970153</v>
      </c>
      <c r="I94" s="181">
        <v>2.1410000000000001E-3</v>
      </c>
      <c r="J94" s="181">
        <v>1.8738927868318322E-2</v>
      </c>
      <c r="K94" s="180">
        <v>96.154467623778316</v>
      </c>
      <c r="L94" s="181">
        <v>5.2329999999999998E-3</v>
      </c>
      <c r="M94" s="181">
        <v>3.8883780304604931E-2</v>
      </c>
      <c r="N94" s="180" t="s">
        <v>8</v>
      </c>
      <c r="O94" s="181" t="s">
        <v>8</v>
      </c>
      <c r="P94" s="182" t="s">
        <v>8</v>
      </c>
      <c r="Q94" s="180" t="s">
        <v>8</v>
      </c>
      <c r="R94" s="181" t="s">
        <v>8</v>
      </c>
      <c r="S94" s="182" t="s">
        <v>8</v>
      </c>
      <c r="T94" s="180" t="s">
        <v>8</v>
      </c>
      <c r="U94" s="181" t="s">
        <v>8</v>
      </c>
      <c r="V94" s="182" t="s">
        <v>8</v>
      </c>
      <c r="W94" s="180" t="s">
        <v>8</v>
      </c>
      <c r="X94" s="181" t="s">
        <v>8</v>
      </c>
      <c r="Y94" s="182" t="s">
        <v>8</v>
      </c>
      <c r="Z94" s="180" t="s">
        <v>8</v>
      </c>
      <c r="AA94" s="181" t="s">
        <v>8</v>
      </c>
      <c r="AB94" s="182" t="s">
        <v>8</v>
      </c>
      <c r="AC94" s="180" t="s">
        <v>8</v>
      </c>
      <c r="AD94" s="181" t="s">
        <v>8</v>
      </c>
      <c r="AE94" s="182" t="s">
        <v>8</v>
      </c>
      <c r="AF94" s="180" t="s">
        <v>8</v>
      </c>
      <c r="AG94" s="181" t="s">
        <v>8</v>
      </c>
      <c r="AH94" s="182" t="s">
        <v>8</v>
      </c>
      <c r="AI94" s="180" t="s">
        <v>8</v>
      </c>
      <c r="AJ94" s="181" t="s">
        <v>8</v>
      </c>
      <c r="AK94" s="183" t="s">
        <v>8</v>
      </c>
    </row>
    <row r="95" spans="1:37" s="184" customFormat="1" ht="15.75" customHeight="1">
      <c r="A95" s="179">
        <v>37742</v>
      </c>
      <c r="B95" s="180">
        <v>91.553087258556687</v>
      </c>
      <c r="C95" s="181">
        <v>1.0119999999999999E-3</v>
      </c>
      <c r="D95" s="181">
        <v>-1.297336359230461E-3</v>
      </c>
      <c r="E95" s="180">
        <v>90.578022815829982</v>
      </c>
      <c r="F95" s="181">
        <v>1.2102E-2</v>
      </c>
      <c r="G95" s="181">
        <v>3.0422706579309011E-2</v>
      </c>
      <c r="H95" s="180">
        <v>95.534967467160683</v>
      </c>
      <c r="I95" s="181">
        <v>1.0323000000000001E-2</v>
      </c>
      <c r="J95" s="181">
        <v>3.4828958591677672E-2</v>
      </c>
      <c r="K95" s="180">
        <v>96.303987820933287</v>
      </c>
      <c r="L95" s="181">
        <v>1.555E-3</v>
      </c>
      <c r="M95" s="181">
        <v>4.673780188219645E-2</v>
      </c>
      <c r="N95" s="180" t="s">
        <v>8</v>
      </c>
      <c r="O95" s="181" t="s">
        <v>8</v>
      </c>
      <c r="P95" s="182" t="s">
        <v>8</v>
      </c>
      <c r="Q95" s="180" t="s">
        <v>8</v>
      </c>
      <c r="R95" s="181" t="s">
        <v>8</v>
      </c>
      <c r="S95" s="182" t="s">
        <v>8</v>
      </c>
      <c r="T95" s="180" t="s">
        <v>8</v>
      </c>
      <c r="U95" s="181" t="s">
        <v>8</v>
      </c>
      <c r="V95" s="182" t="s">
        <v>8</v>
      </c>
      <c r="W95" s="180" t="s">
        <v>8</v>
      </c>
      <c r="X95" s="181" t="s">
        <v>8</v>
      </c>
      <c r="Y95" s="182" t="s">
        <v>8</v>
      </c>
      <c r="Z95" s="180" t="s">
        <v>8</v>
      </c>
      <c r="AA95" s="181" t="s">
        <v>8</v>
      </c>
      <c r="AB95" s="182" t="s">
        <v>8</v>
      </c>
      <c r="AC95" s="180" t="s">
        <v>8</v>
      </c>
      <c r="AD95" s="181" t="s">
        <v>8</v>
      </c>
      <c r="AE95" s="182" t="s">
        <v>8</v>
      </c>
      <c r="AF95" s="180" t="s">
        <v>8</v>
      </c>
      <c r="AG95" s="181" t="s">
        <v>8</v>
      </c>
      <c r="AH95" s="182" t="s">
        <v>8</v>
      </c>
      <c r="AI95" s="180" t="s">
        <v>8</v>
      </c>
      <c r="AJ95" s="181" t="s">
        <v>8</v>
      </c>
      <c r="AK95" s="183" t="s">
        <v>8</v>
      </c>
    </row>
    <row r="96" spans="1:37" s="184" customFormat="1" ht="15.75" customHeight="1">
      <c r="A96" s="179">
        <v>37773</v>
      </c>
      <c r="B96" s="180">
        <v>91.734545477503133</v>
      </c>
      <c r="C96" s="181">
        <v>1.9819999999999998E-3</v>
      </c>
      <c r="D96" s="181">
        <v>7.1206144080158129E-3</v>
      </c>
      <c r="E96" s="180">
        <v>90.25628967878815</v>
      </c>
      <c r="F96" s="181">
        <v>-3.552E-3</v>
      </c>
      <c r="G96" s="181">
        <v>3.2091332676146278E-2</v>
      </c>
      <c r="H96" s="180">
        <v>95.964779285795444</v>
      </c>
      <c r="I96" s="181">
        <v>4.4990000000000004E-3</v>
      </c>
      <c r="J96" s="181">
        <v>4.1154666160903908E-2</v>
      </c>
      <c r="K96" s="180">
        <v>96.815939820189371</v>
      </c>
      <c r="L96" s="181">
        <v>5.3159999999999995E-3</v>
      </c>
      <c r="M96" s="181">
        <v>5.7587022387874498E-2</v>
      </c>
      <c r="N96" s="180" t="s">
        <v>8</v>
      </c>
      <c r="O96" s="181" t="s">
        <v>8</v>
      </c>
      <c r="P96" s="182" t="s">
        <v>8</v>
      </c>
      <c r="Q96" s="180" t="s">
        <v>8</v>
      </c>
      <c r="R96" s="181" t="s">
        <v>8</v>
      </c>
      <c r="S96" s="182" t="s">
        <v>8</v>
      </c>
      <c r="T96" s="180" t="s">
        <v>8</v>
      </c>
      <c r="U96" s="181" t="s">
        <v>8</v>
      </c>
      <c r="V96" s="182" t="s">
        <v>8</v>
      </c>
      <c r="W96" s="180" t="s">
        <v>8</v>
      </c>
      <c r="X96" s="181" t="s">
        <v>8</v>
      </c>
      <c r="Y96" s="182" t="s">
        <v>8</v>
      </c>
      <c r="Z96" s="180" t="s">
        <v>8</v>
      </c>
      <c r="AA96" s="181" t="s">
        <v>8</v>
      </c>
      <c r="AB96" s="182" t="s">
        <v>8</v>
      </c>
      <c r="AC96" s="180" t="s">
        <v>8</v>
      </c>
      <c r="AD96" s="181" t="s">
        <v>8</v>
      </c>
      <c r="AE96" s="182" t="s">
        <v>8</v>
      </c>
      <c r="AF96" s="180" t="s">
        <v>8</v>
      </c>
      <c r="AG96" s="181" t="s">
        <v>8</v>
      </c>
      <c r="AH96" s="182" t="s">
        <v>8</v>
      </c>
      <c r="AI96" s="180" t="s">
        <v>8</v>
      </c>
      <c r="AJ96" s="181" t="s">
        <v>8</v>
      </c>
      <c r="AK96" s="183" t="s">
        <v>8</v>
      </c>
    </row>
    <row r="97" spans="1:37" s="184" customFormat="1" ht="15.75" customHeight="1">
      <c r="A97" s="179">
        <v>37803</v>
      </c>
      <c r="B97" s="180">
        <v>92.625287914089697</v>
      </c>
      <c r="C97" s="181">
        <v>9.7099999999999999E-3</v>
      </c>
      <c r="D97" s="181">
        <v>2.0913989380160647E-2</v>
      </c>
      <c r="E97" s="180">
        <v>90.611809203832891</v>
      </c>
      <c r="F97" s="181">
        <v>3.9389999999999998E-3</v>
      </c>
      <c r="G97" s="181">
        <v>4.4085525919389301E-2</v>
      </c>
      <c r="H97" s="180">
        <v>96.502757838471609</v>
      </c>
      <c r="I97" s="181">
        <v>5.6059999999999999E-3</v>
      </c>
      <c r="J97" s="181">
        <v>5.0750966176380974E-2</v>
      </c>
      <c r="K97" s="180">
        <v>97.071824349134133</v>
      </c>
      <c r="L97" s="181">
        <v>2.643E-3</v>
      </c>
      <c r="M97" s="181">
        <v>6.3592145984627146E-2</v>
      </c>
      <c r="N97" s="180" t="s">
        <v>8</v>
      </c>
      <c r="O97" s="181" t="s">
        <v>8</v>
      </c>
      <c r="P97" s="182" t="s">
        <v>8</v>
      </c>
      <c r="Q97" s="180" t="s">
        <v>8</v>
      </c>
      <c r="R97" s="181" t="s">
        <v>8</v>
      </c>
      <c r="S97" s="182" t="s">
        <v>8</v>
      </c>
      <c r="T97" s="180" t="s">
        <v>8</v>
      </c>
      <c r="U97" s="181" t="s">
        <v>8</v>
      </c>
      <c r="V97" s="182" t="s">
        <v>8</v>
      </c>
      <c r="W97" s="180" t="s">
        <v>8</v>
      </c>
      <c r="X97" s="181" t="s">
        <v>8</v>
      </c>
      <c r="Y97" s="182" t="s">
        <v>8</v>
      </c>
      <c r="Z97" s="180" t="s">
        <v>8</v>
      </c>
      <c r="AA97" s="181" t="s">
        <v>8</v>
      </c>
      <c r="AB97" s="182" t="s">
        <v>8</v>
      </c>
      <c r="AC97" s="180" t="s">
        <v>8</v>
      </c>
      <c r="AD97" s="181" t="s">
        <v>8</v>
      </c>
      <c r="AE97" s="182" t="s">
        <v>8</v>
      </c>
      <c r="AF97" s="180" t="s">
        <v>8</v>
      </c>
      <c r="AG97" s="181" t="s">
        <v>8</v>
      </c>
      <c r="AH97" s="182" t="s">
        <v>8</v>
      </c>
      <c r="AI97" s="180" t="s">
        <v>8</v>
      </c>
      <c r="AJ97" s="181" t="s">
        <v>8</v>
      </c>
      <c r="AK97" s="183" t="s">
        <v>8</v>
      </c>
    </row>
    <row r="98" spans="1:37" s="184" customFormat="1" ht="15.75" customHeight="1">
      <c r="A98" s="179">
        <v>37834</v>
      </c>
      <c r="B98" s="180">
        <v>92.938917138966801</v>
      </c>
      <c r="C98" s="181">
        <v>3.3860000000000001E-3</v>
      </c>
      <c r="D98" s="181">
        <v>2.6835208648959163E-2</v>
      </c>
      <c r="E98" s="180">
        <v>91.283423933651704</v>
      </c>
      <c r="F98" s="181">
        <v>7.4119999999999993E-3</v>
      </c>
      <c r="G98" s="181">
        <v>5.4729011535271876E-2</v>
      </c>
      <c r="H98" s="180">
        <v>97.58957189724849</v>
      </c>
      <c r="I98" s="181">
        <v>1.1262000000000001E-2</v>
      </c>
      <c r="J98" s="181">
        <v>6.7768539818277462E-2</v>
      </c>
      <c r="K98" s="180">
        <v>97.289459379324896</v>
      </c>
      <c r="L98" s="181">
        <v>2.2420000000000001E-3</v>
      </c>
      <c r="M98" s="181">
        <v>5.7392804786666529E-2</v>
      </c>
      <c r="N98" s="180" t="s">
        <v>8</v>
      </c>
      <c r="O98" s="181" t="s">
        <v>8</v>
      </c>
      <c r="P98" s="182" t="s">
        <v>8</v>
      </c>
      <c r="Q98" s="180" t="s">
        <v>8</v>
      </c>
      <c r="R98" s="181" t="s">
        <v>8</v>
      </c>
      <c r="S98" s="182" t="s">
        <v>8</v>
      </c>
      <c r="T98" s="180" t="s">
        <v>8</v>
      </c>
      <c r="U98" s="181" t="s">
        <v>8</v>
      </c>
      <c r="V98" s="182" t="s">
        <v>8</v>
      </c>
      <c r="W98" s="180" t="s">
        <v>8</v>
      </c>
      <c r="X98" s="181" t="s">
        <v>8</v>
      </c>
      <c r="Y98" s="182" t="s">
        <v>8</v>
      </c>
      <c r="Z98" s="180" t="s">
        <v>8</v>
      </c>
      <c r="AA98" s="181" t="s">
        <v>8</v>
      </c>
      <c r="AB98" s="182" t="s">
        <v>8</v>
      </c>
      <c r="AC98" s="180" t="s">
        <v>8</v>
      </c>
      <c r="AD98" s="181" t="s">
        <v>8</v>
      </c>
      <c r="AE98" s="182" t="s">
        <v>8</v>
      </c>
      <c r="AF98" s="180" t="s">
        <v>8</v>
      </c>
      <c r="AG98" s="181" t="s">
        <v>8</v>
      </c>
      <c r="AH98" s="182" t="s">
        <v>8</v>
      </c>
      <c r="AI98" s="180" t="s">
        <v>8</v>
      </c>
      <c r="AJ98" s="181" t="s">
        <v>8</v>
      </c>
      <c r="AK98" s="183" t="s">
        <v>8</v>
      </c>
    </row>
    <row r="99" spans="1:37" s="184" customFormat="1" ht="15.75" customHeight="1">
      <c r="A99" s="179">
        <v>37865</v>
      </c>
      <c r="B99" s="180">
        <v>93.751482091512784</v>
      </c>
      <c r="C99" s="181">
        <v>8.742999999999999E-3</v>
      </c>
      <c r="D99" s="181">
        <v>4.0182636132569893E-2</v>
      </c>
      <c r="E99" s="180">
        <v>91.830029076166426</v>
      </c>
      <c r="F99" s="181">
        <v>5.9880000000000003E-3</v>
      </c>
      <c r="G99" s="181">
        <v>5.4280465390400545E-2</v>
      </c>
      <c r="H99" s="180">
        <v>98.484468271546248</v>
      </c>
      <c r="I99" s="181">
        <v>9.1700000000000011E-3</v>
      </c>
      <c r="J99" s="181">
        <v>7.6773932357789842E-2</v>
      </c>
      <c r="K99" s="180">
        <v>97.912598366649476</v>
      </c>
      <c r="L99" s="181">
        <v>6.4049999999999992E-3</v>
      </c>
      <c r="M99" s="181">
        <v>6.3768620006062982E-2</v>
      </c>
      <c r="N99" s="180" t="s">
        <v>8</v>
      </c>
      <c r="O99" s="181" t="s">
        <v>8</v>
      </c>
      <c r="P99" s="182" t="s">
        <v>8</v>
      </c>
      <c r="Q99" s="180" t="s">
        <v>8</v>
      </c>
      <c r="R99" s="181" t="s">
        <v>8</v>
      </c>
      <c r="S99" s="182" t="s">
        <v>8</v>
      </c>
      <c r="T99" s="180" t="s">
        <v>8</v>
      </c>
      <c r="U99" s="181" t="s">
        <v>8</v>
      </c>
      <c r="V99" s="182" t="s">
        <v>8</v>
      </c>
      <c r="W99" s="180" t="s">
        <v>8</v>
      </c>
      <c r="X99" s="181" t="s">
        <v>8</v>
      </c>
      <c r="Y99" s="182" t="s">
        <v>8</v>
      </c>
      <c r="Z99" s="180" t="s">
        <v>8</v>
      </c>
      <c r="AA99" s="181" t="s">
        <v>8</v>
      </c>
      <c r="AB99" s="182" t="s">
        <v>8</v>
      </c>
      <c r="AC99" s="180" t="s">
        <v>8</v>
      </c>
      <c r="AD99" s="181" t="s">
        <v>8</v>
      </c>
      <c r="AE99" s="182" t="s">
        <v>8</v>
      </c>
      <c r="AF99" s="180" t="s">
        <v>8</v>
      </c>
      <c r="AG99" s="181" t="s">
        <v>8</v>
      </c>
      <c r="AH99" s="182" t="s">
        <v>8</v>
      </c>
      <c r="AI99" s="180" t="s">
        <v>8</v>
      </c>
      <c r="AJ99" s="181" t="s">
        <v>8</v>
      </c>
      <c r="AK99" s="183" t="s">
        <v>8</v>
      </c>
    </row>
    <row r="100" spans="1:37" s="184" customFormat="1" ht="15.75" customHeight="1">
      <c r="A100" s="179">
        <v>37895</v>
      </c>
      <c r="B100" s="180">
        <v>94.259802627412967</v>
      </c>
      <c r="C100" s="181">
        <v>5.4219999999999997E-3</v>
      </c>
      <c r="D100" s="181">
        <v>4.3050079274967956E-2</v>
      </c>
      <c r="E100" s="180">
        <v>92.914082569410581</v>
      </c>
      <c r="F100" s="181">
        <v>1.1805000000000001E-2</v>
      </c>
      <c r="G100" s="181">
        <v>6.8938949910649194E-2</v>
      </c>
      <c r="H100" s="180">
        <v>99.789879898485594</v>
      </c>
      <c r="I100" s="181">
        <v>1.3254999999999999E-2</v>
      </c>
      <c r="J100" s="181">
        <v>8.5101300804086843E-2</v>
      </c>
      <c r="K100" s="180">
        <v>98.587803644985897</v>
      </c>
      <c r="L100" s="181">
        <v>6.8960000000000002E-3</v>
      </c>
      <c r="M100" s="181">
        <v>7.3382085194407365E-2</v>
      </c>
      <c r="N100" s="180" t="s">
        <v>8</v>
      </c>
      <c r="O100" s="181" t="s">
        <v>8</v>
      </c>
      <c r="P100" s="182" t="s">
        <v>8</v>
      </c>
      <c r="Q100" s="180" t="s">
        <v>8</v>
      </c>
      <c r="R100" s="181" t="s">
        <v>8</v>
      </c>
      <c r="S100" s="182" t="s">
        <v>8</v>
      </c>
      <c r="T100" s="180" t="s">
        <v>8</v>
      </c>
      <c r="U100" s="181" t="s">
        <v>8</v>
      </c>
      <c r="V100" s="182" t="s">
        <v>8</v>
      </c>
      <c r="W100" s="180" t="s">
        <v>8</v>
      </c>
      <c r="X100" s="181" t="s">
        <v>8</v>
      </c>
      <c r="Y100" s="182" t="s">
        <v>8</v>
      </c>
      <c r="Z100" s="180" t="s">
        <v>8</v>
      </c>
      <c r="AA100" s="181" t="s">
        <v>8</v>
      </c>
      <c r="AB100" s="182" t="s">
        <v>8</v>
      </c>
      <c r="AC100" s="180" t="s">
        <v>8</v>
      </c>
      <c r="AD100" s="181" t="s">
        <v>8</v>
      </c>
      <c r="AE100" s="182" t="s">
        <v>8</v>
      </c>
      <c r="AF100" s="180" t="s">
        <v>8</v>
      </c>
      <c r="AG100" s="181" t="s">
        <v>8</v>
      </c>
      <c r="AH100" s="182" t="s">
        <v>8</v>
      </c>
      <c r="AI100" s="180" t="s">
        <v>8</v>
      </c>
      <c r="AJ100" s="181" t="s">
        <v>8</v>
      </c>
      <c r="AK100" s="183" t="s">
        <v>8</v>
      </c>
    </row>
    <row r="101" spans="1:37" s="184" customFormat="1" ht="15.75" customHeight="1">
      <c r="A101" s="179">
        <v>37926</v>
      </c>
      <c r="B101" s="180">
        <v>95.108517890270193</v>
      </c>
      <c r="C101" s="181">
        <v>9.0039999999999999E-3</v>
      </c>
      <c r="D101" s="181">
        <v>5.0368275213488412E-2</v>
      </c>
      <c r="E101" s="180">
        <v>94.164613206712289</v>
      </c>
      <c r="F101" s="181">
        <v>1.3459E-2</v>
      </c>
      <c r="G101" s="181">
        <v>7.9560292935737076E-2</v>
      </c>
      <c r="H101" s="180">
        <v>100.92728494956853</v>
      </c>
      <c r="I101" s="181">
        <v>1.1397999999999998E-2</v>
      </c>
      <c r="J101" s="181">
        <v>8.5861426778390593E-2</v>
      </c>
      <c r="K101" s="180">
        <v>99.367041644995851</v>
      </c>
      <c r="L101" s="181">
        <v>7.9039999999999996E-3</v>
      </c>
      <c r="M101" s="181">
        <v>7.3180844620271968E-2</v>
      </c>
      <c r="N101" s="180" t="s">
        <v>8</v>
      </c>
      <c r="O101" s="181" t="s">
        <v>8</v>
      </c>
      <c r="P101" s="182" t="s">
        <v>8</v>
      </c>
      <c r="Q101" s="180" t="s">
        <v>8</v>
      </c>
      <c r="R101" s="181" t="s">
        <v>8</v>
      </c>
      <c r="S101" s="182" t="s">
        <v>8</v>
      </c>
      <c r="T101" s="180" t="s">
        <v>8</v>
      </c>
      <c r="U101" s="181" t="s">
        <v>8</v>
      </c>
      <c r="V101" s="182" t="s">
        <v>8</v>
      </c>
      <c r="W101" s="180" t="s">
        <v>8</v>
      </c>
      <c r="X101" s="181" t="s">
        <v>8</v>
      </c>
      <c r="Y101" s="182" t="s">
        <v>8</v>
      </c>
      <c r="Z101" s="180" t="s">
        <v>8</v>
      </c>
      <c r="AA101" s="181" t="s">
        <v>8</v>
      </c>
      <c r="AB101" s="182" t="s">
        <v>8</v>
      </c>
      <c r="AC101" s="180" t="s">
        <v>8</v>
      </c>
      <c r="AD101" s="181" t="s">
        <v>8</v>
      </c>
      <c r="AE101" s="182" t="s">
        <v>8</v>
      </c>
      <c r="AF101" s="180" t="s">
        <v>8</v>
      </c>
      <c r="AG101" s="181" t="s">
        <v>8</v>
      </c>
      <c r="AH101" s="182" t="s">
        <v>8</v>
      </c>
      <c r="AI101" s="180" t="s">
        <v>8</v>
      </c>
      <c r="AJ101" s="181" t="s">
        <v>8</v>
      </c>
      <c r="AK101" s="183" t="s">
        <v>8</v>
      </c>
    </row>
    <row r="102" spans="1:37" s="184" customFormat="1" ht="15.75" customHeight="1">
      <c r="A102" s="179">
        <v>37956</v>
      </c>
      <c r="B102" s="180">
        <v>95.874521893358434</v>
      </c>
      <c r="C102" s="181">
        <v>8.0540000000000004E-3</v>
      </c>
      <c r="D102" s="181">
        <v>5.5469437551768142E-2</v>
      </c>
      <c r="E102" s="180">
        <v>94.201149076636497</v>
      </c>
      <c r="F102" s="181">
        <v>3.88E-4</v>
      </c>
      <c r="G102" s="181">
        <v>7.2220574254093561E-2</v>
      </c>
      <c r="H102" s="180">
        <v>102.45068138859732</v>
      </c>
      <c r="I102" s="181">
        <v>1.5094000000000002E-2</v>
      </c>
      <c r="J102" s="181">
        <v>9.7922311480017843E-2</v>
      </c>
      <c r="K102" s="180">
        <v>100.39241014773056</v>
      </c>
      <c r="L102" s="181">
        <v>1.0319E-2</v>
      </c>
      <c r="M102" s="181">
        <v>7.5702090434860869E-2</v>
      </c>
      <c r="N102" s="180" t="s">
        <v>8</v>
      </c>
      <c r="O102" s="181" t="s">
        <v>8</v>
      </c>
      <c r="P102" s="182" t="s">
        <v>8</v>
      </c>
      <c r="Q102" s="180" t="s">
        <v>8</v>
      </c>
      <c r="R102" s="181" t="s">
        <v>8</v>
      </c>
      <c r="S102" s="182" t="s">
        <v>8</v>
      </c>
      <c r="T102" s="180" t="s">
        <v>8</v>
      </c>
      <c r="U102" s="181" t="s">
        <v>8</v>
      </c>
      <c r="V102" s="182" t="s">
        <v>8</v>
      </c>
      <c r="W102" s="180" t="s">
        <v>8</v>
      </c>
      <c r="X102" s="181" t="s">
        <v>8</v>
      </c>
      <c r="Y102" s="182" t="s">
        <v>8</v>
      </c>
      <c r="Z102" s="180" t="s">
        <v>8</v>
      </c>
      <c r="AA102" s="181" t="s">
        <v>8</v>
      </c>
      <c r="AB102" s="182" t="s">
        <v>8</v>
      </c>
      <c r="AC102" s="180" t="s">
        <v>8</v>
      </c>
      <c r="AD102" s="181" t="s">
        <v>8</v>
      </c>
      <c r="AE102" s="182" t="s">
        <v>8</v>
      </c>
      <c r="AF102" s="180" t="s">
        <v>8</v>
      </c>
      <c r="AG102" s="181" t="s">
        <v>8</v>
      </c>
      <c r="AH102" s="182" t="s">
        <v>8</v>
      </c>
      <c r="AI102" s="180" t="s">
        <v>8</v>
      </c>
      <c r="AJ102" s="181" t="s">
        <v>8</v>
      </c>
      <c r="AK102" s="183" t="s">
        <v>8</v>
      </c>
    </row>
    <row r="103" spans="1:37" s="184" customFormat="1" ht="15.75" customHeight="1">
      <c r="A103" s="179">
        <v>37987</v>
      </c>
      <c r="B103" s="180">
        <v>96.121207038190036</v>
      </c>
      <c r="C103" s="181">
        <v>2.5729999999999998E-3</v>
      </c>
      <c r="D103" s="181">
        <v>5.6711048501928429E-2</v>
      </c>
      <c r="E103" s="180">
        <v>94.953627855460681</v>
      </c>
      <c r="F103" s="181">
        <v>7.9880000000000003E-3</v>
      </c>
      <c r="G103" s="181">
        <v>7.7662406547061913E-2</v>
      </c>
      <c r="H103" s="180">
        <v>102.68375668875638</v>
      </c>
      <c r="I103" s="181">
        <v>2.2750000000000001E-3</v>
      </c>
      <c r="J103" s="181">
        <v>0.10274577557933173</v>
      </c>
      <c r="K103" s="180">
        <v>100.83293204345881</v>
      </c>
      <c r="L103" s="181">
        <v>4.3880000000000004E-3</v>
      </c>
      <c r="M103" s="181">
        <v>7.910145103162658E-2</v>
      </c>
      <c r="N103" s="180" t="s">
        <v>8</v>
      </c>
      <c r="O103" s="181" t="s">
        <v>8</v>
      </c>
      <c r="P103" s="182" t="s">
        <v>8</v>
      </c>
      <c r="Q103" s="180" t="s">
        <v>8</v>
      </c>
      <c r="R103" s="181" t="s">
        <v>8</v>
      </c>
      <c r="S103" s="182" t="s">
        <v>8</v>
      </c>
      <c r="T103" s="180" t="s">
        <v>8</v>
      </c>
      <c r="U103" s="181" t="s">
        <v>8</v>
      </c>
      <c r="V103" s="182" t="s">
        <v>8</v>
      </c>
      <c r="W103" s="180" t="s">
        <v>8</v>
      </c>
      <c r="X103" s="181" t="s">
        <v>8</v>
      </c>
      <c r="Y103" s="182" t="s">
        <v>8</v>
      </c>
      <c r="Z103" s="180" t="s">
        <v>8</v>
      </c>
      <c r="AA103" s="181" t="s">
        <v>8</v>
      </c>
      <c r="AB103" s="182" t="s">
        <v>8</v>
      </c>
      <c r="AC103" s="180" t="s">
        <v>8</v>
      </c>
      <c r="AD103" s="181" t="s">
        <v>8</v>
      </c>
      <c r="AE103" s="182" t="s">
        <v>8</v>
      </c>
      <c r="AF103" s="180" t="s">
        <v>8</v>
      </c>
      <c r="AG103" s="181" t="s">
        <v>8</v>
      </c>
      <c r="AH103" s="182" t="s">
        <v>8</v>
      </c>
      <c r="AI103" s="180" t="s">
        <v>8</v>
      </c>
      <c r="AJ103" s="181" t="s">
        <v>8</v>
      </c>
      <c r="AK103" s="183" t="s">
        <v>8</v>
      </c>
    </row>
    <row r="104" spans="1:37" s="184" customFormat="1" ht="15.75" customHeight="1">
      <c r="A104" s="179">
        <v>38018</v>
      </c>
      <c r="B104" s="180">
        <v>96.659197433982797</v>
      </c>
      <c r="C104" s="181">
        <v>5.5969999999999995E-3</v>
      </c>
      <c r="D104" s="181">
        <v>6.1470580249082918E-2</v>
      </c>
      <c r="E104" s="180">
        <v>95.766051095392001</v>
      </c>
      <c r="F104" s="181">
        <v>8.5560000000000011E-3</v>
      </c>
      <c r="G104" s="181">
        <v>9.0820749001373713E-2</v>
      </c>
      <c r="H104" s="180">
        <v>102.94539490079933</v>
      </c>
      <c r="I104" s="181">
        <v>2.5480000000000004E-3</v>
      </c>
      <c r="J104" s="181">
        <v>9.8864585355279644E-2</v>
      </c>
      <c r="K104" s="180">
        <v>101.54945085855964</v>
      </c>
      <c r="L104" s="181">
        <v>7.1060000000000003E-3</v>
      </c>
      <c r="M104" s="181">
        <v>7.3548792562253329E-2</v>
      </c>
      <c r="N104" s="180" t="s">
        <v>8</v>
      </c>
      <c r="O104" s="181" t="s">
        <v>8</v>
      </c>
      <c r="P104" s="182" t="s">
        <v>8</v>
      </c>
      <c r="Q104" s="180" t="s">
        <v>8</v>
      </c>
      <c r="R104" s="181" t="s">
        <v>8</v>
      </c>
      <c r="S104" s="182" t="s">
        <v>8</v>
      </c>
      <c r="T104" s="180" t="s">
        <v>8</v>
      </c>
      <c r="U104" s="181" t="s">
        <v>8</v>
      </c>
      <c r="V104" s="182" t="s">
        <v>8</v>
      </c>
      <c r="W104" s="180" t="s">
        <v>8</v>
      </c>
      <c r="X104" s="181" t="s">
        <v>8</v>
      </c>
      <c r="Y104" s="182" t="s">
        <v>8</v>
      </c>
      <c r="Z104" s="180" t="s">
        <v>8</v>
      </c>
      <c r="AA104" s="181" t="s">
        <v>8</v>
      </c>
      <c r="AB104" s="182" t="s">
        <v>8</v>
      </c>
      <c r="AC104" s="180" t="s">
        <v>8</v>
      </c>
      <c r="AD104" s="181" t="s">
        <v>8</v>
      </c>
      <c r="AE104" s="182" t="s">
        <v>8</v>
      </c>
      <c r="AF104" s="180" t="s">
        <v>8</v>
      </c>
      <c r="AG104" s="181" t="s">
        <v>8</v>
      </c>
      <c r="AH104" s="182" t="s">
        <v>8</v>
      </c>
      <c r="AI104" s="180" t="s">
        <v>8</v>
      </c>
      <c r="AJ104" s="181" t="s">
        <v>8</v>
      </c>
      <c r="AK104" s="183" t="s">
        <v>8</v>
      </c>
    </row>
    <row r="105" spans="1:37" s="184" customFormat="1" ht="15.75" customHeight="1">
      <c r="A105" s="179">
        <v>38047</v>
      </c>
      <c r="B105" s="180">
        <v>97.201165553995125</v>
      </c>
      <c r="C105" s="181">
        <v>5.607E-3</v>
      </c>
      <c r="D105" s="181">
        <v>6.3668559446253603E-2</v>
      </c>
      <c r="E105" s="180">
        <v>97.480167643948434</v>
      </c>
      <c r="F105" s="181">
        <v>1.7899000000000002E-2</v>
      </c>
      <c r="G105" s="181">
        <v>0.10285476005743921</v>
      </c>
      <c r="H105" s="180">
        <v>104.00336472419485</v>
      </c>
      <c r="I105" s="181">
        <v>1.0277000000000001E-2</v>
      </c>
      <c r="J105" s="181">
        <v>0.10223475329231091</v>
      </c>
      <c r="K105" s="180">
        <v>101.76534499108494</v>
      </c>
      <c r="L105" s="181">
        <v>2.1260000000000003E-3</v>
      </c>
      <c r="M105" s="181">
        <v>6.3891107396925051E-2</v>
      </c>
      <c r="N105" s="180" t="s">
        <v>8</v>
      </c>
      <c r="O105" s="181" t="s">
        <v>8</v>
      </c>
      <c r="P105" s="182" t="s">
        <v>8</v>
      </c>
      <c r="Q105" s="180" t="s">
        <v>8</v>
      </c>
      <c r="R105" s="181" t="s">
        <v>8</v>
      </c>
      <c r="S105" s="182" t="s">
        <v>8</v>
      </c>
      <c r="T105" s="180" t="s">
        <v>8</v>
      </c>
      <c r="U105" s="181" t="s">
        <v>8</v>
      </c>
      <c r="V105" s="182" t="s">
        <v>8</v>
      </c>
      <c r="W105" s="180" t="s">
        <v>8</v>
      </c>
      <c r="X105" s="181" t="s">
        <v>8</v>
      </c>
      <c r="Y105" s="182" t="s">
        <v>8</v>
      </c>
      <c r="Z105" s="180" t="s">
        <v>8</v>
      </c>
      <c r="AA105" s="181" t="s">
        <v>8</v>
      </c>
      <c r="AB105" s="182" t="s">
        <v>8</v>
      </c>
      <c r="AC105" s="180" t="s">
        <v>8</v>
      </c>
      <c r="AD105" s="181" t="s">
        <v>8</v>
      </c>
      <c r="AE105" s="182" t="s">
        <v>8</v>
      </c>
      <c r="AF105" s="180" t="s">
        <v>8</v>
      </c>
      <c r="AG105" s="181" t="s">
        <v>8</v>
      </c>
      <c r="AH105" s="182" t="s">
        <v>8</v>
      </c>
      <c r="AI105" s="180" t="s">
        <v>8</v>
      </c>
      <c r="AJ105" s="181" t="s">
        <v>8</v>
      </c>
      <c r="AK105" s="183" t="s">
        <v>8</v>
      </c>
    </row>
    <row r="106" spans="1:37" s="184" customFormat="1" ht="15.75" customHeight="1">
      <c r="A106" s="179">
        <v>38078</v>
      </c>
      <c r="B106" s="180">
        <v>97.287188585510407</v>
      </c>
      <c r="C106" s="181">
        <v>8.8499999999999994E-4</v>
      </c>
      <c r="D106" s="181">
        <v>6.3706819032005146E-2</v>
      </c>
      <c r="E106" s="180">
        <v>98.422215984059548</v>
      </c>
      <c r="F106" s="181">
        <v>9.6640000000000007E-3</v>
      </c>
      <c r="G106" s="181">
        <v>9.9751557223101583E-2</v>
      </c>
      <c r="H106" s="180">
        <v>104.11090420331966</v>
      </c>
      <c r="I106" s="181">
        <v>1.034E-3</v>
      </c>
      <c r="J106" s="181">
        <v>0.10101718623149369</v>
      </c>
      <c r="K106" s="180">
        <v>102.18563586589812</v>
      </c>
      <c r="L106" s="181">
        <v>4.13E-3</v>
      </c>
      <c r="M106" s="181">
        <v>6.2723744316466323E-2</v>
      </c>
      <c r="N106" s="180" t="s">
        <v>8</v>
      </c>
      <c r="O106" s="181" t="s">
        <v>8</v>
      </c>
      <c r="P106" s="182" t="s">
        <v>8</v>
      </c>
      <c r="Q106" s="180" t="s">
        <v>8</v>
      </c>
      <c r="R106" s="181" t="s">
        <v>8</v>
      </c>
      <c r="S106" s="182" t="s">
        <v>8</v>
      </c>
      <c r="T106" s="180" t="s">
        <v>8</v>
      </c>
      <c r="U106" s="181" t="s">
        <v>8</v>
      </c>
      <c r="V106" s="182" t="s">
        <v>8</v>
      </c>
      <c r="W106" s="180" t="s">
        <v>8</v>
      </c>
      <c r="X106" s="181" t="s">
        <v>8</v>
      </c>
      <c r="Y106" s="182" t="s">
        <v>8</v>
      </c>
      <c r="Z106" s="180" t="s">
        <v>8</v>
      </c>
      <c r="AA106" s="181" t="s">
        <v>8</v>
      </c>
      <c r="AB106" s="182" t="s">
        <v>8</v>
      </c>
      <c r="AC106" s="180" t="s">
        <v>8</v>
      </c>
      <c r="AD106" s="181" t="s">
        <v>8</v>
      </c>
      <c r="AE106" s="182" t="s">
        <v>8</v>
      </c>
      <c r="AF106" s="180" t="s">
        <v>8</v>
      </c>
      <c r="AG106" s="181" t="s">
        <v>8</v>
      </c>
      <c r="AH106" s="182" t="s">
        <v>8</v>
      </c>
      <c r="AI106" s="180" t="s">
        <v>8</v>
      </c>
      <c r="AJ106" s="181" t="s">
        <v>8</v>
      </c>
      <c r="AK106" s="183" t="s">
        <v>8</v>
      </c>
    </row>
    <row r="107" spans="1:37" s="184" customFormat="1" ht="15.75" customHeight="1">
      <c r="A107" s="179">
        <v>38108</v>
      </c>
      <c r="B107" s="180">
        <v>97.544026763376152</v>
      </c>
      <c r="C107" s="181">
        <v>2.64E-3</v>
      </c>
      <c r="D107" s="181">
        <v>6.543678300984368E-2</v>
      </c>
      <c r="E107" s="180">
        <v>100.35493303933852</v>
      </c>
      <c r="F107" s="181">
        <v>1.9637000000000002E-2</v>
      </c>
      <c r="G107" s="181">
        <v>0.1079390995693037</v>
      </c>
      <c r="H107" s="180">
        <v>104.48580756935581</v>
      </c>
      <c r="I107" s="181">
        <v>3.6009999999999996E-3</v>
      </c>
      <c r="J107" s="181">
        <v>9.3691768987851587E-2</v>
      </c>
      <c r="K107" s="180">
        <v>100.89114823074893</v>
      </c>
      <c r="L107" s="181">
        <v>-1.2667999999999999E-2</v>
      </c>
      <c r="M107" s="181">
        <v>4.7632092020373662E-2</v>
      </c>
      <c r="N107" s="180" t="s">
        <v>8</v>
      </c>
      <c r="O107" s="181" t="s">
        <v>8</v>
      </c>
      <c r="P107" s="182" t="s">
        <v>8</v>
      </c>
      <c r="Q107" s="180" t="s">
        <v>8</v>
      </c>
      <c r="R107" s="181" t="s">
        <v>8</v>
      </c>
      <c r="S107" s="182" t="s">
        <v>8</v>
      </c>
      <c r="T107" s="180" t="s">
        <v>8</v>
      </c>
      <c r="U107" s="181" t="s">
        <v>8</v>
      </c>
      <c r="V107" s="182" t="s">
        <v>8</v>
      </c>
      <c r="W107" s="180" t="s">
        <v>8</v>
      </c>
      <c r="X107" s="181" t="s">
        <v>8</v>
      </c>
      <c r="Y107" s="182" t="s">
        <v>8</v>
      </c>
      <c r="Z107" s="180" t="s">
        <v>8</v>
      </c>
      <c r="AA107" s="181" t="s">
        <v>8</v>
      </c>
      <c r="AB107" s="182" t="s">
        <v>8</v>
      </c>
      <c r="AC107" s="180" t="s">
        <v>8</v>
      </c>
      <c r="AD107" s="181" t="s">
        <v>8</v>
      </c>
      <c r="AE107" s="182" t="s">
        <v>8</v>
      </c>
      <c r="AF107" s="180" t="s">
        <v>8</v>
      </c>
      <c r="AG107" s="181" t="s">
        <v>8</v>
      </c>
      <c r="AH107" s="182" t="s">
        <v>8</v>
      </c>
      <c r="AI107" s="180" t="s">
        <v>8</v>
      </c>
      <c r="AJ107" s="181" t="s">
        <v>8</v>
      </c>
      <c r="AK107" s="183" t="s">
        <v>8</v>
      </c>
    </row>
    <row r="108" spans="1:37" s="184" customFormat="1" ht="15.75" customHeight="1">
      <c r="A108" s="179">
        <v>38139</v>
      </c>
      <c r="B108" s="180">
        <v>98.081006630708544</v>
      </c>
      <c r="C108" s="181">
        <v>5.5049999999999995E-3</v>
      </c>
      <c r="D108" s="181">
        <v>6.9182892008352592E-2</v>
      </c>
      <c r="E108" s="180">
        <v>101.60124095275405</v>
      </c>
      <c r="F108" s="181">
        <v>1.2418999999999999E-2</v>
      </c>
      <c r="G108" s="181">
        <v>0.12569707124391316</v>
      </c>
      <c r="H108" s="180">
        <v>105.04031375012637</v>
      </c>
      <c r="I108" s="181">
        <v>5.3069999999999992E-3</v>
      </c>
      <c r="J108" s="181">
        <v>9.457151396454333E-2</v>
      </c>
      <c r="K108" s="180">
        <v>101.63471599320955</v>
      </c>
      <c r="L108" s="181">
        <v>7.3699999999999998E-3</v>
      </c>
      <c r="M108" s="181">
        <v>4.9772549664547139E-2</v>
      </c>
      <c r="N108" s="180" t="s">
        <v>8</v>
      </c>
      <c r="O108" s="181" t="s">
        <v>8</v>
      </c>
      <c r="P108" s="182" t="s">
        <v>8</v>
      </c>
      <c r="Q108" s="180" t="s">
        <v>8</v>
      </c>
      <c r="R108" s="181" t="s">
        <v>8</v>
      </c>
      <c r="S108" s="182" t="s">
        <v>8</v>
      </c>
      <c r="T108" s="180" t="s">
        <v>8</v>
      </c>
      <c r="U108" s="181" t="s">
        <v>8</v>
      </c>
      <c r="V108" s="182" t="s">
        <v>8</v>
      </c>
      <c r="W108" s="180" t="s">
        <v>8</v>
      </c>
      <c r="X108" s="181" t="s">
        <v>8</v>
      </c>
      <c r="Y108" s="182" t="s">
        <v>8</v>
      </c>
      <c r="Z108" s="180" t="s">
        <v>8</v>
      </c>
      <c r="AA108" s="181" t="s">
        <v>8</v>
      </c>
      <c r="AB108" s="182" t="s">
        <v>8</v>
      </c>
      <c r="AC108" s="180" t="s">
        <v>8</v>
      </c>
      <c r="AD108" s="181" t="s">
        <v>8</v>
      </c>
      <c r="AE108" s="182" t="s">
        <v>8</v>
      </c>
      <c r="AF108" s="180" t="s">
        <v>8</v>
      </c>
      <c r="AG108" s="181" t="s">
        <v>8</v>
      </c>
      <c r="AH108" s="182" t="s">
        <v>8</v>
      </c>
      <c r="AI108" s="180" t="s">
        <v>8</v>
      </c>
      <c r="AJ108" s="181" t="s">
        <v>8</v>
      </c>
      <c r="AK108" s="183" t="s">
        <v>8</v>
      </c>
    </row>
    <row r="109" spans="1:37" s="184" customFormat="1" ht="15.75" customHeight="1">
      <c r="A109" s="179">
        <v>38169</v>
      </c>
      <c r="B109" s="180">
        <v>98.463228313548413</v>
      </c>
      <c r="C109" s="181">
        <v>3.8969999999999999E-3</v>
      </c>
      <c r="D109" s="181">
        <v>6.3027500706647421E-2</v>
      </c>
      <c r="E109" s="180">
        <v>102.56299829961281</v>
      </c>
      <c r="F109" s="181">
        <v>9.4660000000000005E-3</v>
      </c>
      <c r="G109" s="181">
        <v>0.13189438772705131</v>
      </c>
      <c r="H109" s="180">
        <v>105.05375891028638</v>
      </c>
      <c r="I109" s="181">
        <v>1.2799999999999999E-4</v>
      </c>
      <c r="J109" s="181">
        <v>8.8608877749666082E-2</v>
      </c>
      <c r="K109" s="180">
        <v>102.08221364772764</v>
      </c>
      <c r="L109" s="181">
        <v>4.4030000000000007E-3</v>
      </c>
      <c r="M109" s="181">
        <v>5.1615279018274673E-2</v>
      </c>
      <c r="N109" s="180" t="s">
        <v>8</v>
      </c>
      <c r="O109" s="181" t="s">
        <v>8</v>
      </c>
      <c r="P109" s="182" t="s">
        <v>8</v>
      </c>
      <c r="Q109" s="180" t="s">
        <v>8</v>
      </c>
      <c r="R109" s="181" t="s">
        <v>8</v>
      </c>
      <c r="S109" s="182" t="s">
        <v>8</v>
      </c>
      <c r="T109" s="180" t="s">
        <v>8</v>
      </c>
      <c r="U109" s="181" t="s">
        <v>8</v>
      </c>
      <c r="V109" s="182" t="s">
        <v>8</v>
      </c>
      <c r="W109" s="180" t="s">
        <v>8</v>
      </c>
      <c r="X109" s="181" t="s">
        <v>8</v>
      </c>
      <c r="Y109" s="182" t="s">
        <v>8</v>
      </c>
      <c r="Z109" s="180" t="s">
        <v>8</v>
      </c>
      <c r="AA109" s="181" t="s">
        <v>8</v>
      </c>
      <c r="AB109" s="182" t="s">
        <v>8</v>
      </c>
      <c r="AC109" s="180" t="s">
        <v>8</v>
      </c>
      <c r="AD109" s="181" t="s">
        <v>8</v>
      </c>
      <c r="AE109" s="182" t="s">
        <v>8</v>
      </c>
      <c r="AF109" s="180" t="s">
        <v>8</v>
      </c>
      <c r="AG109" s="181" t="s">
        <v>8</v>
      </c>
      <c r="AH109" s="182" t="s">
        <v>8</v>
      </c>
      <c r="AI109" s="180" t="s">
        <v>8</v>
      </c>
      <c r="AJ109" s="181" t="s">
        <v>8</v>
      </c>
      <c r="AK109" s="183" t="s">
        <v>8</v>
      </c>
    </row>
    <row r="110" spans="1:37" s="184" customFormat="1" ht="15.75" customHeight="1">
      <c r="A110" s="179">
        <v>38200</v>
      </c>
      <c r="B110" s="180">
        <v>99.009009988090426</v>
      </c>
      <c r="C110" s="181">
        <v>5.5430000000000002E-3</v>
      </c>
      <c r="D110" s="181">
        <v>6.5312713295844871E-2</v>
      </c>
      <c r="E110" s="180">
        <v>103.45457844383135</v>
      </c>
      <c r="F110" s="181">
        <v>8.6929999999999993E-3</v>
      </c>
      <c r="G110" s="181">
        <v>0.13333367642986427</v>
      </c>
      <c r="H110" s="180">
        <v>105.38121147680974</v>
      </c>
      <c r="I110" s="181">
        <v>3.117E-3</v>
      </c>
      <c r="J110" s="181">
        <v>7.9840903367882632E-2</v>
      </c>
      <c r="K110" s="180">
        <v>103.12794384433495</v>
      </c>
      <c r="L110" s="181">
        <v>1.0244E-2</v>
      </c>
      <c r="M110" s="181">
        <v>6.0011480197933897E-2</v>
      </c>
      <c r="N110" s="180" t="s">
        <v>8</v>
      </c>
      <c r="O110" s="181" t="s">
        <v>8</v>
      </c>
      <c r="P110" s="182" t="s">
        <v>8</v>
      </c>
      <c r="Q110" s="180" t="s">
        <v>8</v>
      </c>
      <c r="R110" s="181" t="s">
        <v>8</v>
      </c>
      <c r="S110" s="182" t="s">
        <v>8</v>
      </c>
      <c r="T110" s="180" t="s">
        <v>8</v>
      </c>
      <c r="U110" s="181" t="s">
        <v>8</v>
      </c>
      <c r="V110" s="182" t="s">
        <v>8</v>
      </c>
      <c r="W110" s="180" t="s">
        <v>8</v>
      </c>
      <c r="X110" s="181" t="s">
        <v>8</v>
      </c>
      <c r="Y110" s="182" t="s">
        <v>8</v>
      </c>
      <c r="Z110" s="180" t="s">
        <v>8</v>
      </c>
      <c r="AA110" s="181" t="s">
        <v>8</v>
      </c>
      <c r="AB110" s="182" t="s">
        <v>8</v>
      </c>
      <c r="AC110" s="180" t="s">
        <v>8</v>
      </c>
      <c r="AD110" s="181" t="s">
        <v>8</v>
      </c>
      <c r="AE110" s="182" t="s">
        <v>8</v>
      </c>
      <c r="AF110" s="180" t="s">
        <v>8</v>
      </c>
      <c r="AG110" s="181" t="s">
        <v>8</v>
      </c>
      <c r="AH110" s="182" t="s">
        <v>8</v>
      </c>
      <c r="AI110" s="180" t="s">
        <v>8</v>
      </c>
      <c r="AJ110" s="181" t="s">
        <v>8</v>
      </c>
      <c r="AK110" s="183" t="s">
        <v>8</v>
      </c>
    </row>
    <row r="111" spans="1:37" s="184" customFormat="1" ht="15.75" customHeight="1">
      <c r="A111" s="179">
        <v>38231</v>
      </c>
      <c r="B111" s="180">
        <v>99.43841206440878</v>
      </c>
      <c r="C111" s="181">
        <v>4.3369999999999997E-3</v>
      </c>
      <c r="D111" s="181">
        <v>6.0659627410955208E-2</v>
      </c>
      <c r="E111" s="180">
        <v>104.88473453623888</v>
      </c>
      <c r="F111" s="181">
        <v>1.3824000000000001E-2</v>
      </c>
      <c r="G111" s="181">
        <v>0.14216161740779265</v>
      </c>
      <c r="H111" s="180">
        <v>106.37896078707217</v>
      </c>
      <c r="I111" s="181">
        <v>9.467999999999999E-3</v>
      </c>
      <c r="J111" s="181">
        <v>8.0159771932350132E-2</v>
      </c>
      <c r="K111" s="180">
        <v>105.00301611931265</v>
      </c>
      <c r="L111" s="181">
        <v>1.8182E-2</v>
      </c>
      <c r="M111" s="181">
        <v>7.2415785822698364E-2</v>
      </c>
      <c r="N111" s="180" t="s">
        <v>8</v>
      </c>
      <c r="O111" s="181" t="s">
        <v>8</v>
      </c>
      <c r="P111" s="182" t="s">
        <v>8</v>
      </c>
      <c r="Q111" s="180" t="s">
        <v>8</v>
      </c>
      <c r="R111" s="181" t="s">
        <v>8</v>
      </c>
      <c r="S111" s="182" t="s">
        <v>8</v>
      </c>
      <c r="T111" s="180" t="s">
        <v>8</v>
      </c>
      <c r="U111" s="181" t="s">
        <v>8</v>
      </c>
      <c r="V111" s="182" t="s">
        <v>8</v>
      </c>
      <c r="W111" s="180" t="s">
        <v>8</v>
      </c>
      <c r="X111" s="181" t="s">
        <v>8</v>
      </c>
      <c r="Y111" s="182" t="s">
        <v>8</v>
      </c>
      <c r="Z111" s="180" t="s">
        <v>8</v>
      </c>
      <c r="AA111" s="181" t="s">
        <v>8</v>
      </c>
      <c r="AB111" s="182" t="s">
        <v>8</v>
      </c>
      <c r="AC111" s="180" t="s">
        <v>8</v>
      </c>
      <c r="AD111" s="181" t="s">
        <v>8</v>
      </c>
      <c r="AE111" s="182" t="s">
        <v>8</v>
      </c>
      <c r="AF111" s="180" t="s">
        <v>8</v>
      </c>
      <c r="AG111" s="181" t="s">
        <v>8</v>
      </c>
      <c r="AH111" s="182" t="s">
        <v>8</v>
      </c>
      <c r="AI111" s="180" t="s">
        <v>8</v>
      </c>
      <c r="AJ111" s="181" t="s">
        <v>8</v>
      </c>
      <c r="AK111" s="183" t="s">
        <v>8</v>
      </c>
    </row>
    <row r="112" spans="1:37" s="184" customFormat="1" ht="15.75" customHeight="1">
      <c r="A112" s="179">
        <v>38261</v>
      </c>
      <c r="B112" s="180">
        <v>100.15953942869987</v>
      </c>
      <c r="C112" s="181">
        <v>7.2519999999999998E-3</v>
      </c>
      <c r="D112" s="181">
        <v>6.2590167142691611E-2</v>
      </c>
      <c r="E112" s="180">
        <v>105.68007547822717</v>
      </c>
      <c r="F112" s="181">
        <v>7.5829999999999995E-3</v>
      </c>
      <c r="G112" s="181">
        <v>0.13739567303244771</v>
      </c>
      <c r="H112" s="180">
        <v>106.85128337296678</v>
      </c>
      <c r="I112" s="181">
        <v>4.4400000000000004E-3</v>
      </c>
      <c r="J112" s="181">
        <v>7.0762721446950616E-2</v>
      </c>
      <c r="K112" s="180">
        <v>105.13479490454239</v>
      </c>
      <c r="L112" s="181">
        <v>1.255E-3</v>
      </c>
      <c r="M112" s="181">
        <v>6.6407719996807835E-2</v>
      </c>
      <c r="N112" s="180">
        <v>100</v>
      </c>
      <c r="O112" s="181" t="s">
        <v>8</v>
      </c>
      <c r="P112" s="181" t="s">
        <v>8</v>
      </c>
      <c r="Q112" s="180" t="s">
        <v>8</v>
      </c>
      <c r="R112" s="181" t="s">
        <v>8</v>
      </c>
      <c r="S112" s="182" t="s">
        <v>8</v>
      </c>
      <c r="T112" s="180" t="s">
        <v>8</v>
      </c>
      <c r="U112" s="181" t="s">
        <v>8</v>
      </c>
      <c r="V112" s="182" t="s">
        <v>8</v>
      </c>
      <c r="W112" s="180" t="s">
        <v>8</v>
      </c>
      <c r="X112" s="181" t="s">
        <v>8</v>
      </c>
      <c r="Y112" s="182" t="s">
        <v>8</v>
      </c>
      <c r="Z112" s="180" t="s">
        <v>8</v>
      </c>
      <c r="AA112" s="181" t="s">
        <v>8</v>
      </c>
      <c r="AB112" s="182" t="s">
        <v>8</v>
      </c>
      <c r="AC112" s="180" t="s">
        <v>8</v>
      </c>
      <c r="AD112" s="181" t="s">
        <v>8</v>
      </c>
      <c r="AE112" s="182" t="s">
        <v>8</v>
      </c>
      <c r="AF112" s="180" t="s">
        <v>8</v>
      </c>
      <c r="AG112" s="181" t="s">
        <v>8</v>
      </c>
      <c r="AH112" s="182" t="s">
        <v>8</v>
      </c>
      <c r="AI112" s="180" t="s">
        <v>8</v>
      </c>
      <c r="AJ112" s="181" t="s">
        <v>8</v>
      </c>
      <c r="AK112" s="183" t="s">
        <v>8</v>
      </c>
    </row>
    <row r="113" spans="1:37" s="184" customFormat="1" ht="15.75" customHeight="1">
      <c r="A113" s="179">
        <v>38292</v>
      </c>
      <c r="B113" s="180">
        <v>101.15853067496172</v>
      </c>
      <c r="C113" s="181">
        <v>9.9740000000000002E-3</v>
      </c>
      <c r="D113" s="181">
        <v>6.3611681886070803E-2</v>
      </c>
      <c r="E113" s="180">
        <v>107.34464234708473</v>
      </c>
      <c r="F113" s="181">
        <v>1.5751000000000001E-2</v>
      </c>
      <c r="G113" s="181">
        <v>0.13996796345819784</v>
      </c>
      <c r="H113" s="180">
        <v>106.96091278970744</v>
      </c>
      <c r="I113" s="181">
        <v>1.026E-3</v>
      </c>
      <c r="J113" s="181">
        <v>5.9781929565962288E-2</v>
      </c>
      <c r="K113" s="180">
        <v>106.94216716374638</v>
      </c>
      <c r="L113" s="181">
        <v>1.7191000000000001E-2</v>
      </c>
      <c r="M113" s="181">
        <v>7.6233783288163437E-2</v>
      </c>
      <c r="N113" s="180">
        <v>100.9455</v>
      </c>
      <c r="O113" s="181">
        <v>9.4549999999999999E-3</v>
      </c>
      <c r="P113" s="181" t="s">
        <v>8</v>
      </c>
      <c r="Q113" s="180" t="s">
        <v>8</v>
      </c>
      <c r="R113" s="181" t="s">
        <v>8</v>
      </c>
      <c r="S113" s="182" t="s">
        <v>8</v>
      </c>
      <c r="T113" s="180" t="s">
        <v>8</v>
      </c>
      <c r="U113" s="181" t="s">
        <v>8</v>
      </c>
      <c r="V113" s="182" t="s">
        <v>8</v>
      </c>
      <c r="W113" s="180" t="s">
        <v>8</v>
      </c>
      <c r="X113" s="181" t="s">
        <v>8</v>
      </c>
      <c r="Y113" s="182" t="s">
        <v>8</v>
      </c>
      <c r="Z113" s="180" t="s">
        <v>8</v>
      </c>
      <c r="AA113" s="181" t="s">
        <v>8</v>
      </c>
      <c r="AB113" s="182" t="s">
        <v>8</v>
      </c>
      <c r="AC113" s="180" t="s">
        <v>8</v>
      </c>
      <c r="AD113" s="181" t="s">
        <v>8</v>
      </c>
      <c r="AE113" s="182" t="s">
        <v>8</v>
      </c>
      <c r="AF113" s="180" t="s">
        <v>8</v>
      </c>
      <c r="AG113" s="181" t="s">
        <v>8</v>
      </c>
      <c r="AH113" s="182" t="s">
        <v>8</v>
      </c>
      <c r="AI113" s="180" t="s">
        <v>8</v>
      </c>
      <c r="AJ113" s="181" t="s">
        <v>8</v>
      </c>
      <c r="AK113" s="183" t="s">
        <v>8</v>
      </c>
    </row>
    <row r="114" spans="1:37" s="184" customFormat="1" ht="15.75" customHeight="1">
      <c r="A114" s="179">
        <v>38322</v>
      </c>
      <c r="B114" s="180">
        <v>101.80200008858516</v>
      </c>
      <c r="C114" s="181">
        <v>6.3610000000000003E-3</v>
      </c>
      <c r="D114" s="181">
        <v>6.18253742304955E-2</v>
      </c>
      <c r="E114" s="180">
        <v>108.29464243185643</v>
      </c>
      <c r="F114" s="181">
        <v>8.8500000000000002E-3</v>
      </c>
      <c r="G114" s="181">
        <v>0.14961063100997096</v>
      </c>
      <c r="H114" s="180">
        <v>108.62714988914551</v>
      </c>
      <c r="I114" s="181">
        <v>1.5578000000000002E-2</v>
      </c>
      <c r="J114" s="181">
        <v>6.0287236910809172E-2</v>
      </c>
      <c r="K114" s="180">
        <v>107.29400689371511</v>
      </c>
      <c r="L114" s="181">
        <v>3.29E-3</v>
      </c>
      <c r="M114" s="181">
        <v>6.8746200393322798E-2</v>
      </c>
      <c r="N114" s="180">
        <v>101.484145188</v>
      </c>
      <c r="O114" s="181">
        <v>5.3359999999999996E-3</v>
      </c>
      <c r="P114" s="181" t="s">
        <v>8</v>
      </c>
      <c r="Q114" s="180" t="s">
        <v>8</v>
      </c>
      <c r="R114" s="181" t="s">
        <v>8</v>
      </c>
      <c r="S114" s="182" t="s">
        <v>8</v>
      </c>
      <c r="T114" s="180" t="s">
        <v>8</v>
      </c>
      <c r="U114" s="181" t="s">
        <v>8</v>
      </c>
      <c r="V114" s="182" t="s">
        <v>8</v>
      </c>
      <c r="W114" s="180" t="s">
        <v>8</v>
      </c>
      <c r="X114" s="181" t="s">
        <v>8</v>
      </c>
      <c r="Y114" s="182" t="s">
        <v>8</v>
      </c>
      <c r="Z114" s="180" t="s">
        <v>8</v>
      </c>
      <c r="AA114" s="181" t="s">
        <v>8</v>
      </c>
      <c r="AB114" s="182" t="s">
        <v>8</v>
      </c>
      <c r="AC114" s="180" t="s">
        <v>8</v>
      </c>
      <c r="AD114" s="181" t="s">
        <v>8</v>
      </c>
      <c r="AE114" s="182" t="s">
        <v>8</v>
      </c>
      <c r="AF114" s="180" t="s">
        <v>8</v>
      </c>
      <c r="AG114" s="181" t="s">
        <v>8</v>
      </c>
      <c r="AH114" s="182" t="s">
        <v>8</v>
      </c>
      <c r="AI114" s="180" t="s">
        <v>8</v>
      </c>
      <c r="AJ114" s="181" t="s">
        <v>8</v>
      </c>
      <c r="AK114" s="183" t="s">
        <v>8</v>
      </c>
    </row>
    <row r="115" spans="1:37" s="184" customFormat="1" ht="15.75" customHeight="1">
      <c r="A115" s="179">
        <v>38353</v>
      </c>
      <c r="B115" s="180">
        <v>102.05640328680654</v>
      </c>
      <c r="C115" s="181">
        <v>2.4989999999999999E-3</v>
      </c>
      <c r="D115" s="181">
        <v>6.1747000807619745E-2</v>
      </c>
      <c r="E115" s="180">
        <v>108.46834703831712</v>
      </c>
      <c r="F115" s="181">
        <v>1.604E-3</v>
      </c>
      <c r="G115" s="181">
        <v>0.1423296770022171</v>
      </c>
      <c r="H115" s="180">
        <v>109.02896171658546</v>
      </c>
      <c r="I115" s="181">
        <v>3.699E-3</v>
      </c>
      <c r="J115" s="181">
        <v>6.1793658826312381E-2</v>
      </c>
      <c r="K115" s="180">
        <v>107.32469297968672</v>
      </c>
      <c r="L115" s="181">
        <v>2.8600000000000001E-4</v>
      </c>
      <c r="M115" s="181">
        <v>6.4381356414687785E-2</v>
      </c>
      <c r="N115" s="180">
        <v>99.391136177642693</v>
      </c>
      <c r="O115" s="181">
        <v>-2.0623999999999997E-2</v>
      </c>
      <c r="P115" s="181" t="s">
        <v>8</v>
      </c>
      <c r="Q115" s="180" t="s">
        <v>8</v>
      </c>
      <c r="R115" s="181" t="s">
        <v>8</v>
      </c>
      <c r="S115" s="182" t="s">
        <v>8</v>
      </c>
      <c r="T115" s="180" t="s">
        <v>8</v>
      </c>
      <c r="U115" s="181" t="s">
        <v>8</v>
      </c>
      <c r="V115" s="182" t="s">
        <v>8</v>
      </c>
      <c r="W115" s="180" t="s">
        <v>8</v>
      </c>
      <c r="X115" s="181" t="s">
        <v>8</v>
      </c>
      <c r="Y115" s="182" t="s">
        <v>8</v>
      </c>
      <c r="Z115" s="180" t="s">
        <v>8</v>
      </c>
      <c r="AA115" s="181" t="s">
        <v>8</v>
      </c>
      <c r="AB115" s="182" t="s">
        <v>8</v>
      </c>
      <c r="AC115" s="180" t="s">
        <v>8</v>
      </c>
      <c r="AD115" s="181" t="s">
        <v>8</v>
      </c>
      <c r="AE115" s="182" t="s">
        <v>8</v>
      </c>
      <c r="AF115" s="180" t="s">
        <v>8</v>
      </c>
      <c r="AG115" s="181" t="s">
        <v>8</v>
      </c>
      <c r="AH115" s="182" t="s">
        <v>8</v>
      </c>
      <c r="AI115" s="180" t="s">
        <v>8</v>
      </c>
      <c r="AJ115" s="181" t="s">
        <v>8</v>
      </c>
      <c r="AK115" s="183" t="s">
        <v>8</v>
      </c>
    </row>
    <row r="116" spans="1:37" s="184" customFormat="1" ht="15.75" customHeight="1">
      <c r="A116" s="179">
        <v>38384</v>
      </c>
      <c r="B116" s="180">
        <v>102.75725430659041</v>
      </c>
      <c r="C116" s="181">
        <v>6.8672910000000002E-3</v>
      </c>
      <c r="D116" s="181">
        <v>6.3088221653945675E-2</v>
      </c>
      <c r="E116" s="180">
        <v>108.80082497493738</v>
      </c>
      <c r="F116" s="181">
        <v>3.0652069999999999E-3</v>
      </c>
      <c r="G116" s="181">
        <v>0.13611059170187056</v>
      </c>
      <c r="H116" s="180">
        <v>109.42347461932687</v>
      </c>
      <c r="I116" s="181">
        <v>3.618423E-3</v>
      </c>
      <c r="J116" s="181">
        <v>6.2927338564002566E-2</v>
      </c>
      <c r="K116" s="180">
        <v>108.44451346000211</v>
      </c>
      <c r="L116" s="181">
        <v>1.0433950000000001E-2</v>
      </c>
      <c r="M116" s="181">
        <v>6.7898571022762866E-2</v>
      </c>
      <c r="N116" s="180">
        <v>99.745875566552726</v>
      </c>
      <c r="O116" s="181">
        <v>3.5691250000000002E-3</v>
      </c>
      <c r="P116" s="181" t="s">
        <v>8</v>
      </c>
      <c r="Q116" s="180" t="s">
        <v>8</v>
      </c>
      <c r="R116" s="181" t="s">
        <v>8</v>
      </c>
      <c r="S116" s="182" t="s">
        <v>8</v>
      </c>
      <c r="T116" s="180" t="s">
        <v>8</v>
      </c>
      <c r="U116" s="181" t="s">
        <v>8</v>
      </c>
      <c r="V116" s="182" t="s">
        <v>8</v>
      </c>
      <c r="W116" s="180" t="s">
        <v>8</v>
      </c>
      <c r="X116" s="181" t="s">
        <v>8</v>
      </c>
      <c r="Y116" s="182" t="s">
        <v>8</v>
      </c>
      <c r="Z116" s="180" t="s">
        <v>8</v>
      </c>
      <c r="AA116" s="181" t="s">
        <v>8</v>
      </c>
      <c r="AB116" s="182" t="s">
        <v>8</v>
      </c>
      <c r="AC116" s="180" t="s">
        <v>8</v>
      </c>
      <c r="AD116" s="181" t="s">
        <v>8</v>
      </c>
      <c r="AE116" s="182" t="s">
        <v>8</v>
      </c>
      <c r="AF116" s="180" t="s">
        <v>8</v>
      </c>
      <c r="AG116" s="181" t="s">
        <v>8</v>
      </c>
      <c r="AH116" s="182" t="s">
        <v>8</v>
      </c>
      <c r="AI116" s="180" t="s">
        <v>8</v>
      </c>
      <c r="AJ116" s="181" t="s">
        <v>8</v>
      </c>
      <c r="AK116" s="183" t="s">
        <v>8</v>
      </c>
    </row>
    <row r="117" spans="1:37" s="184" customFormat="1" ht="15.75" customHeight="1">
      <c r="A117" s="179">
        <v>38412</v>
      </c>
      <c r="B117" s="180">
        <v>104.33133308610557</v>
      </c>
      <c r="C117" s="181">
        <v>1.5318419999999999E-2</v>
      </c>
      <c r="D117" s="181">
        <v>7.3354753427824271E-2</v>
      </c>
      <c r="E117" s="180">
        <v>110.34974942355282</v>
      </c>
      <c r="F117" s="181">
        <v>1.4236329999999998E-2</v>
      </c>
      <c r="G117" s="181">
        <v>0.13202256510894839</v>
      </c>
      <c r="H117" s="180">
        <v>109.65298630867234</v>
      </c>
      <c r="I117" s="181">
        <v>2.0974629999999999E-3</v>
      </c>
      <c r="J117" s="181">
        <v>5.4321526995397162E-2</v>
      </c>
      <c r="K117" s="180">
        <v>109.29647882531553</v>
      </c>
      <c r="L117" s="181">
        <v>7.8562330000000007E-3</v>
      </c>
      <c r="M117" s="181">
        <v>7.4004896606898463E-2</v>
      </c>
      <c r="N117" s="180">
        <v>101.86344260139792</v>
      </c>
      <c r="O117" s="181">
        <v>2.1229619999999998E-2</v>
      </c>
      <c r="P117" s="181" t="s">
        <v>8</v>
      </c>
      <c r="Q117" s="180" t="s">
        <v>8</v>
      </c>
      <c r="R117" s="181" t="s">
        <v>8</v>
      </c>
      <c r="S117" s="182" t="s">
        <v>8</v>
      </c>
      <c r="T117" s="180" t="s">
        <v>8</v>
      </c>
      <c r="U117" s="181" t="s">
        <v>8</v>
      </c>
      <c r="V117" s="182" t="s">
        <v>8</v>
      </c>
      <c r="W117" s="180" t="s">
        <v>8</v>
      </c>
      <c r="X117" s="181" t="s">
        <v>8</v>
      </c>
      <c r="Y117" s="182" t="s">
        <v>8</v>
      </c>
      <c r="Z117" s="180" t="s">
        <v>8</v>
      </c>
      <c r="AA117" s="181" t="s">
        <v>8</v>
      </c>
      <c r="AB117" s="182" t="s">
        <v>8</v>
      </c>
      <c r="AC117" s="180" t="s">
        <v>8</v>
      </c>
      <c r="AD117" s="181" t="s">
        <v>8</v>
      </c>
      <c r="AE117" s="182" t="s">
        <v>8</v>
      </c>
      <c r="AF117" s="180" t="s">
        <v>8</v>
      </c>
      <c r="AG117" s="181" t="s">
        <v>8</v>
      </c>
      <c r="AH117" s="182" t="s">
        <v>8</v>
      </c>
      <c r="AI117" s="180" t="s">
        <v>8</v>
      </c>
      <c r="AJ117" s="181" t="s">
        <v>8</v>
      </c>
      <c r="AK117" s="183" t="s">
        <v>8</v>
      </c>
    </row>
    <row r="118" spans="1:37" s="184" customFormat="1" ht="15.75" customHeight="1">
      <c r="A118" s="179">
        <v>38443</v>
      </c>
      <c r="B118" s="180">
        <v>105.46287838204422</v>
      </c>
      <c r="C118" s="181">
        <v>1.0845689999999998E-2</v>
      </c>
      <c r="D118" s="181">
        <v>8.40366539048234E-2</v>
      </c>
      <c r="E118" s="180">
        <v>111.49325973692935</v>
      </c>
      <c r="F118" s="181">
        <v>1.03626E-2</v>
      </c>
      <c r="G118" s="181">
        <v>0.13280582663355989</v>
      </c>
      <c r="H118" s="180">
        <v>110.48307564367097</v>
      </c>
      <c r="I118" s="181">
        <v>7.5701479999999996E-3</v>
      </c>
      <c r="J118" s="181">
        <v>6.1205610393191945E-2</v>
      </c>
      <c r="K118" s="180">
        <v>109.48957695842594</v>
      </c>
      <c r="L118" s="181">
        <v>1.766737E-3</v>
      </c>
      <c r="M118" s="181">
        <v>7.147718004234016E-2</v>
      </c>
      <c r="N118" s="180">
        <v>103.53046737996814</v>
      </c>
      <c r="O118" s="181">
        <v>1.6365289999999998E-2</v>
      </c>
      <c r="P118" s="181" t="s">
        <v>8</v>
      </c>
      <c r="Q118" s="180" t="s">
        <v>8</v>
      </c>
      <c r="R118" s="181" t="s">
        <v>8</v>
      </c>
      <c r="S118" s="182" t="s">
        <v>8</v>
      </c>
      <c r="T118" s="180" t="s">
        <v>8</v>
      </c>
      <c r="U118" s="181" t="s">
        <v>8</v>
      </c>
      <c r="V118" s="182" t="s">
        <v>8</v>
      </c>
      <c r="W118" s="180" t="s">
        <v>8</v>
      </c>
      <c r="X118" s="181" t="s">
        <v>8</v>
      </c>
      <c r="Y118" s="182" t="s">
        <v>8</v>
      </c>
      <c r="Z118" s="180" t="s">
        <v>8</v>
      </c>
      <c r="AA118" s="181" t="s">
        <v>8</v>
      </c>
      <c r="AB118" s="182" t="s">
        <v>8</v>
      </c>
      <c r="AC118" s="180" t="s">
        <v>8</v>
      </c>
      <c r="AD118" s="181" t="s">
        <v>8</v>
      </c>
      <c r="AE118" s="182" t="s">
        <v>8</v>
      </c>
      <c r="AF118" s="180" t="s">
        <v>8</v>
      </c>
      <c r="AG118" s="181" t="s">
        <v>8</v>
      </c>
      <c r="AH118" s="182" t="s">
        <v>8</v>
      </c>
      <c r="AI118" s="180" t="s">
        <v>8</v>
      </c>
      <c r="AJ118" s="181" t="s">
        <v>8</v>
      </c>
      <c r="AK118" s="183" t="s">
        <v>8</v>
      </c>
    </row>
    <row r="119" spans="1:37" s="184" customFormat="1" ht="15.75" customHeight="1">
      <c r="A119" s="179">
        <v>38473</v>
      </c>
      <c r="B119" s="180">
        <v>106.43956988781459</v>
      </c>
      <c r="C119" s="181">
        <v>9.2609979999999995E-3</v>
      </c>
      <c r="D119" s="181">
        <v>9.1195159966251715E-2</v>
      </c>
      <c r="E119" s="180">
        <v>112.4610666092026</v>
      </c>
      <c r="F119" s="181">
        <v>8.6804069999999994E-3</v>
      </c>
      <c r="G119" s="181">
        <v>0.12063316872642971</v>
      </c>
      <c r="H119" s="180">
        <v>110.42784790518527</v>
      </c>
      <c r="I119" s="181">
        <v>-4.9987510000000003E-4</v>
      </c>
      <c r="J119" s="181">
        <v>5.6869353590297322E-2</v>
      </c>
      <c r="K119" s="180">
        <v>108.33285680431634</v>
      </c>
      <c r="L119" s="181">
        <v>-1.0564659999999998E-2</v>
      </c>
      <c r="M119" s="181">
        <v>7.3759776789807274E-2</v>
      </c>
      <c r="N119" s="180">
        <v>104.71030679805831</v>
      </c>
      <c r="O119" s="181">
        <v>1.139606E-2</v>
      </c>
      <c r="P119" s="181" t="s">
        <v>8</v>
      </c>
      <c r="Q119" s="180" t="s">
        <v>8</v>
      </c>
      <c r="R119" s="181" t="s">
        <v>8</v>
      </c>
      <c r="S119" s="182" t="s">
        <v>8</v>
      </c>
      <c r="T119" s="180" t="s">
        <v>8</v>
      </c>
      <c r="U119" s="181" t="s">
        <v>8</v>
      </c>
      <c r="V119" s="182" t="s">
        <v>8</v>
      </c>
      <c r="W119" s="180" t="s">
        <v>8</v>
      </c>
      <c r="X119" s="181" t="s">
        <v>8</v>
      </c>
      <c r="Y119" s="182" t="s">
        <v>8</v>
      </c>
      <c r="Z119" s="180" t="s">
        <v>8</v>
      </c>
      <c r="AA119" s="181" t="s">
        <v>8</v>
      </c>
      <c r="AB119" s="182" t="s">
        <v>8</v>
      </c>
      <c r="AC119" s="180" t="s">
        <v>8</v>
      </c>
      <c r="AD119" s="181" t="s">
        <v>8</v>
      </c>
      <c r="AE119" s="182" t="s">
        <v>8</v>
      </c>
      <c r="AF119" s="180" t="s">
        <v>8</v>
      </c>
      <c r="AG119" s="181" t="s">
        <v>8</v>
      </c>
      <c r="AH119" s="182" t="s">
        <v>8</v>
      </c>
      <c r="AI119" s="180" t="s">
        <v>8</v>
      </c>
      <c r="AJ119" s="181" t="s">
        <v>8</v>
      </c>
      <c r="AK119" s="183" t="s">
        <v>8</v>
      </c>
    </row>
    <row r="120" spans="1:37" s="184" customFormat="1" ht="15.75" customHeight="1">
      <c r="A120" s="179">
        <v>38504</v>
      </c>
      <c r="B120" s="180">
        <v>106.98682542388698</v>
      </c>
      <c r="C120" s="181">
        <v>5.1414669999999994E-3</v>
      </c>
      <c r="D120" s="181">
        <v>9.0800646313820454E-2</v>
      </c>
      <c r="E120" s="180">
        <v>113.52977895198079</v>
      </c>
      <c r="F120" s="181">
        <v>9.502954000000001E-3</v>
      </c>
      <c r="G120" s="181">
        <v>0.11740543606916831</v>
      </c>
      <c r="H120" s="180">
        <v>110.45804165054155</v>
      </c>
      <c r="I120" s="181">
        <v>2.7342510000000003E-4</v>
      </c>
      <c r="J120" s="181">
        <v>5.1577605844771668E-2</v>
      </c>
      <c r="K120" s="180">
        <v>107.93406405850543</v>
      </c>
      <c r="L120" s="181">
        <v>-3.68118E-3</v>
      </c>
      <c r="M120" s="181">
        <v>6.1980279117587633E-2</v>
      </c>
      <c r="N120" s="180">
        <v>106.54462718806204</v>
      </c>
      <c r="O120" s="181">
        <v>1.751805E-2</v>
      </c>
      <c r="P120" s="181" t="s">
        <v>8</v>
      </c>
      <c r="Q120" s="180" t="s">
        <v>8</v>
      </c>
      <c r="R120" s="181" t="s">
        <v>8</v>
      </c>
      <c r="S120" s="182" t="s">
        <v>8</v>
      </c>
      <c r="T120" s="180" t="s">
        <v>8</v>
      </c>
      <c r="U120" s="181" t="s">
        <v>8</v>
      </c>
      <c r="V120" s="182" t="s">
        <v>8</v>
      </c>
      <c r="W120" s="180" t="s">
        <v>8</v>
      </c>
      <c r="X120" s="181" t="s">
        <v>8</v>
      </c>
      <c r="Y120" s="182" t="s">
        <v>8</v>
      </c>
      <c r="Z120" s="180" t="s">
        <v>8</v>
      </c>
      <c r="AA120" s="181" t="s">
        <v>8</v>
      </c>
      <c r="AB120" s="182" t="s">
        <v>8</v>
      </c>
      <c r="AC120" s="180" t="s">
        <v>8</v>
      </c>
      <c r="AD120" s="181" t="s">
        <v>8</v>
      </c>
      <c r="AE120" s="182" t="s">
        <v>8</v>
      </c>
      <c r="AF120" s="180" t="s">
        <v>8</v>
      </c>
      <c r="AG120" s="181" t="s">
        <v>8</v>
      </c>
      <c r="AH120" s="182" t="s">
        <v>8</v>
      </c>
      <c r="AI120" s="180" t="s">
        <v>8</v>
      </c>
      <c r="AJ120" s="181" t="s">
        <v>8</v>
      </c>
      <c r="AK120" s="183" t="s">
        <v>8</v>
      </c>
    </row>
    <row r="121" spans="1:37" s="184" customFormat="1" ht="15.75" customHeight="1">
      <c r="A121" s="179">
        <v>38534</v>
      </c>
      <c r="B121" s="180">
        <v>107.49962600957589</v>
      </c>
      <c r="C121" s="181">
        <v>4.7931190000000002E-3</v>
      </c>
      <c r="D121" s="181">
        <v>9.1774339017727247E-2</v>
      </c>
      <c r="E121" s="180">
        <v>115.55290686005203</v>
      </c>
      <c r="F121" s="181">
        <v>1.7820240000000001E-2</v>
      </c>
      <c r="G121" s="181">
        <v>0.12665297208348347</v>
      </c>
      <c r="H121" s="180">
        <v>110.46219985787901</v>
      </c>
      <c r="I121" s="181">
        <v>3.7645129999999998E-5</v>
      </c>
      <c r="J121" s="181">
        <v>5.1482602847284342E-2</v>
      </c>
      <c r="K121" s="180">
        <v>107.68478623606788</v>
      </c>
      <c r="L121" s="181">
        <v>-2.3095379999999999E-3</v>
      </c>
      <c r="M121" s="181">
        <v>5.4882945697807717E-2</v>
      </c>
      <c r="N121" s="180">
        <v>108.01710803008176</v>
      </c>
      <c r="O121" s="181">
        <v>1.3820319999999999E-2</v>
      </c>
      <c r="P121" s="181" t="s">
        <v>8</v>
      </c>
      <c r="Q121" s="180" t="s">
        <v>8</v>
      </c>
      <c r="R121" s="181" t="s">
        <v>8</v>
      </c>
      <c r="S121" s="182" t="s">
        <v>8</v>
      </c>
      <c r="T121" s="180" t="s">
        <v>8</v>
      </c>
      <c r="U121" s="181" t="s">
        <v>8</v>
      </c>
      <c r="V121" s="182" t="s">
        <v>8</v>
      </c>
      <c r="W121" s="180" t="s">
        <v>8</v>
      </c>
      <c r="X121" s="181" t="s">
        <v>8</v>
      </c>
      <c r="Y121" s="182" t="s">
        <v>8</v>
      </c>
      <c r="Z121" s="180" t="s">
        <v>8</v>
      </c>
      <c r="AA121" s="181" t="s">
        <v>8</v>
      </c>
      <c r="AB121" s="182" t="s">
        <v>8</v>
      </c>
      <c r="AC121" s="180" t="s">
        <v>8</v>
      </c>
      <c r="AD121" s="181" t="s">
        <v>8</v>
      </c>
      <c r="AE121" s="182" t="s">
        <v>8</v>
      </c>
      <c r="AF121" s="180" t="s">
        <v>8</v>
      </c>
      <c r="AG121" s="181" t="s">
        <v>8</v>
      </c>
      <c r="AH121" s="182" t="s">
        <v>8</v>
      </c>
      <c r="AI121" s="180" t="s">
        <v>8</v>
      </c>
      <c r="AJ121" s="181" t="s">
        <v>8</v>
      </c>
      <c r="AK121" s="183" t="s">
        <v>8</v>
      </c>
    </row>
    <row r="122" spans="1:37" s="184" customFormat="1" ht="15.75" customHeight="1">
      <c r="A122" s="179">
        <v>38565</v>
      </c>
      <c r="B122" s="180">
        <v>108.8668460280273</v>
      </c>
      <c r="C122" s="181">
        <v>1.2718370000000001E-2</v>
      </c>
      <c r="D122" s="181">
        <v>9.9565040001133642E-2</v>
      </c>
      <c r="E122" s="180">
        <v>116.15953593272138</v>
      </c>
      <c r="F122" s="181">
        <v>5.2497950000000007E-3</v>
      </c>
      <c r="G122" s="181">
        <v>0.12280710704154996</v>
      </c>
      <c r="H122" s="180">
        <v>110.21300696613542</v>
      </c>
      <c r="I122" s="181">
        <v>-2.2559109999999998E-3</v>
      </c>
      <c r="J122" s="181">
        <v>4.5850635247147276E-2</v>
      </c>
      <c r="K122" s="180">
        <v>109.14568004321301</v>
      </c>
      <c r="L122" s="181">
        <v>1.3566389999999999E-2</v>
      </c>
      <c r="M122" s="181">
        <v>5.83521398231448E-2</v>
      </c>
      <c r="N122" s="180">
        <v>109.03111938783391</v>
      </c>
      <c r="O122" s="181">
        <v>9.3875069999999998E-3</v>
      </c>
      <c r="P122" s="181" t="s">
        <v>8</v>
      </c>
      <c r="Q122" s="180" t="s">
        <v>8</v>
      </c>
      <c r="R122" s="181" t="s">
        <v>8</v>
      </c>
      <c r="S122" s="182" t="s">
        <v>8</v>
      </c>
      <c r="T122" s="180" t="s">
        <v>8</v>
      </c>
      <c r="U122" s="181" t="s">
        <v>8</v>
      </c>
      <c r="V122" s="182" t="s">
        <v>8</v>
      </c>
      <c r="W122" s="180" t="s">
        <v>8</v>
      </c>
      <c r="X122" s="181" t="s">
        <v>8</v>
      </c>
      <c r="Y122" s="182" t="s">
        <v>8</v>
      </c>
      <c r="Z122" s="180" t="s">
        <v>8</v>
      </c>
      <c r="AA122" s="181" t="s">
        <v>8</v>
      </c>
      <c r="AB122" s="182" t="s">
        <v>8</v>
      </c>
      <c r="AC122" s="180" t="s">
        <v>8</v>
      </c>
      <c r="AD122" s="181" t="s">
        <v>8</v>
      </c>
      <c r="AE122" s="182" t="s">
        <v>8</v>
      </c>
      <c r="AF122" s="180" t="s">
        <v>8</v>
      </c>
      <c r="AG122" s="181" t="s">
        <v>8</v>
      </c>
      <c r="AH122" s="182" t="s">
        <v>8</v>
      </c>
      <c r="AI122" s="180" t="s">
        <v>8</v>
      </c>
      <c r="AJ122" s="181" t="s">
        <v>8</v>
      </c>
      <c r="AK122" s="183" t="s">
        <v>8</v>
      </c>
    </row>
    <row r="123" spans="1:37" s="184" customFormat="1" ht="15.75" customHeight="1">
      <c r="A123" s="179">
        <v>38596</v>
      </c>
      <c r="B123" s="180">
        <v>110.1512777621667</v>
      </c>
      <c r="C123" s="181">
        <v>1.179819E-2</v>
      </c>
      <c r="D123" s="181">
        <v>0.10773367630628417</v>
      </c>
      <c r="E123" s="180">
        <v>117.40086203591746</v>
      </c>
      <c r="F123" s="181">
        <v>1.0686389999999999E-2</v>
      </c>
      <c r="G123" s="181">
        <v>0.11933221316734244</v>
      </c>
      <c r="H123" s="180">
        <v>110.74291187511966</v>
      </c>
      <c r="I123" s="181">
        <v>4.8080070000000004E-3</v>
      </c>
      <c r="J123" s="181">
        <v>4.1022689597263184E-2</v>
      </c>
      <c r="K123" s="180">
        <v>111.49258939416939</v>
      </c>
      <c r="L123" s="181">
        <v>2.1502540000000001E-2</v>
      </c>
      <c r="M123" s="181">
        <v>6.1803684453052066E-2</v>
      </c>
      <c r="N123" s="180">
        <v>110.86352036711213</v>
      </c>
      <c r="O123" s="181">
        <v>1.680622E-2</v>
      </c>
      <c r="P123" s="181" t="s">
        <v>8</v>
      </c>
      <c r="Q123" s="180" t="s">
        <v>8</v>
      </c>
      <c r="R123" s="181" t="s">
        <v>8</v>
      </c>
      <c r="S123" s="182" t="s">
        <v>8</v>
      </c>
      <c r="T123" s="180" t="s">
        <v>8</v>
      </c>
      <c r="U123" s="181" t="s">
        <v>8</v>
      </c>
      <c r="V123" s="182" t="s">
        <v>8</v>
      </c>
      <c r="W123" s="180" t="s">
        <v>8</v>
      </c>
      <c r="X123" s="181" t="s">
        <v>8</v>
      </c>
      <c r="Y123" s="182" t="s">
        <v>8</v>
      </c>
      <c r="Z123" s="180" t="s">
        <v>8</v>
      </c>
      <c r="AA123" s="181" t="s">
        <v>8</v>
      </c>
      <c r="AB123" s="182" t="s">
        <v>8</v>
      </c>
      <c r="AC123" s="180" t="s">
        <v>8</v>
      </c>
      <c r="AD123" s="181" t="s">
        <v>8</v>
      </c>
      <c r="AE123" s="182" t="s">
        <v>8</v>
      </c>
      <c r="AF123" s="180" t="s">
        <v>8</v>
      </c>
      <c r="AG123" s="181" t="s">
        <v>8</v>
      </c>
      <c r="AH123" s="182" t="s">
        <v>8</v>
      </c>
      <c r="AI123" s="180" t="s">
        <v>8</v>
      </c>
      <c r="AJ123" s="181" t="s">
        <v>8</v>
      </c>
      <c r="AK123" s="183" t="s">
        <v>8</v>
      </c>
    </row>
    <row r="124" spans="1:37" s="184" customFormat="1" ht="15.75" customHeight="1">
      <c r="A124" s="179">
        <v>38626</v>
      </c>
      <c r="B124" s="180">
        <v>110.65801725977867</v>
      </c>
      <c r="C124" s="181">
        <v>4.6003959999999997E-3</v>
      </c>
      <c r="D124" s="181">
        <v>0.10481755298557771</v>
      </c>
      <c r="E124" s="180">
        <v>117.81064317040557</v>
      </c>
      <c r="F124" s="181">
        <v>3.4904439999999997E-3</v>
      </c>
      <c r="G124" s="181">
        <v>0.11478575916306588</v>
      </c>
      <c r="H124" s="180">
        <v>112.92629476220891</v>
      </c>
      <c r="I124" s="181">
        <v>1.9715780000000002E-2</v>
      </c>
      <c r="J124" s="181">
        <v>5.6854828481911479E-2</v>
      </c>
      <c r="K124" s="180">
        <v>111.78582672249053</v>
      </c>
      <c r="L124" s="181">
        <v>2.6301059999999997E-3</v>
      </c>
      <c r="M124" s="181">
        <v>6.326194695093057E-2</v>
      </c>
      <c r="N124" s="180">
        <v>111.9947018849203</v>
      </c>
      <c r="O124" s="181">
        <v>1.020337E-2</v>
      </c>
      <c r="P124" s="181">
        <v>0.11994701884920311</v>
      </c>
      <c r="Q124" s="180" t="s">
        <v>8</v>
      </c>
      <c r="R124" s="181" t="s">
        <v>8</v>
      </c>
      <c r="S124" s="182" t="s">
        <v>8</v>
      </c>
      <c r="T124" s="180" t="s">
        <v>8</v>
      </c>
      <c r="U124" s="181" t="s">
        <v>8</v>
      </c>
      <c r="V124" s="182" t="s">
        <v>8</v>
      </c>
      <c r="W124" s="180">
        <v>100</v>
      </c>
      <c r="X124" s="181" t="s">
        <v>8</v>
      </c>
      <c r="Y124" s="182" t="s">
        <v>8</v>
      </c>
      <c r="Z124" s="180" t="s">
        <v>8</v>
      </c>
      <c r="AA124" s="181" t="s">
        <v>8</v>
      </c>
      <c r="AB124" s="182" t="s">
        <v>8</v>
      </c>
      <c r="AC124" s="180" t="s">
        <v>8</v>
      </c>
      <c r="AD124" s="181" t="s">
        <v>8</v>
      </c>
      <c r="AE124" s="182" t="s">
        <v>8</v>
      </c>
      <c r="AF124" s="180" t="s">
        <v>8</v>
      </c>
      <c r="AG124" s="181" t="s">
        <v>8</v>
      </c>
      <c r="AH124" s="182" t="s">
        <v>8</v>
      </c>
      <c r="AI124" s="180" t="s">
        <v>8</v>
      </c>
      <c r="AJ124" s="181" t="s">
        <v>8</v>
      </c>
      <c r="AK124" s="183" t="s">
        <v>8</v>
      </c>
    </row>
    <row r="125" spans="1:37" s="184" customFormat="1" ht="15.75" customHeight="1">
      <c r="A125" s="179">
        <v>38657</v>
      </c>
      <c r="B125" s="180">
        <v>112.24136086025918</v>
      </c>
      <c r="C125" s="181">
        <v>1.430844E-2</v>
      </c>
      <c r="D125" s="181">
        <v>0.10955902691892927</v>
      </c>
      <c r="E125" s="180">
        <v>119.17291237762004</v>
      </c>
      <c r="F125" s="181">
        <v>1.1563209999999999E-2</v>
      </c>
      <c r="G125" s="181">
        <v>0.11018966360976035</v>
      </c>
      <c r="H125" s="180">
        <v>114.00960359636674</v>
      </c>
      <c r="I125" s="181">
        <v>9.5930609999999999E-3</v>
      </c>
      <c r="J125" s="181">
        <v>6.5899688239549059E-2</v>
      </c>
      <c r="K125" s="180">
        <v>112.26067603474783</v>
      </c>
      <c r="L125" s="181">
        <v>4.2478490000000006E-3</v>
      </c>
      <c r="M125" s="181">
        <v>4.9732570529059217E-2</v>
      </c>
      <c r="N125" s="180">
        <v>113.07035723906804</v>
      </c>
      <c r="O125" s="181">
        <v>9.6045200000000001E-3</v>
      </c>
      <c r="P125" s="181">
        <v>0.12011290487508663</v>
      </c>
      <c r="Q125" s="180" t="s">
        <v>8</v>
      </c>
      <c r="R125" s="181" t="s">
        <v>8</v>
      </c>
      <c r="S125" s="182" t="s">
        <v>8</v>
      </c>
      <c r="T125" s="180" t="s">
        <v>8</v>
      </c>
      <c r="U125" s="181" t="s">
        <v>8</v>
      </c>
      <c r="V125" s="182" t="s">
        <v>8</v>
      </c>
      <c r="W125" s="180">
        <v>101.120448</v>
      </c>
      <c r="X125" s="181">
        <v>1.1204480000000001E-2</v>
      </c>
      <c r="Y125" s="182" t="s">
        <v>8</v>
      </c>
      <c r="Z125" s="180" t="s">
        <v>8</v>
      </c>
      <c r="AA125" s="181" t="s">
        <v>8</v>
      </c>
      <c r="AB125" s="182" t="s">
        <v>8</v>
      </c>
      <c r="AC125" s="180" t="s">
        <v>8</v>
      </c>
      <c r="AD125" s="181" t="s">
        <v>8</v>
      </c>
      <c r="AE125" s="182" t="s">
        <v>8</v>
      </c>
      <c r="AF125" s="180" t="s">
        <v>8</v>
      </c>
      <c r="AG125" s="181" t="s">
        <v>8</v>
      </c>
      <c r="AH125" s="182" t="s">
        <v>8</v>
      </c>
      <c r="AI125" s="180" t="s">
        <v>8</v>
      </c>
      <c r="AJ125" s="181" t="s">
        <v>8</v>
      </c>
      <c r="AK125" s="183" t="s">
        <v>8</v>
      </c>
    </row>
    <row r="126" spans="1:37" s="184" customFormat="1" ht="15.75" customHeight="1">
      <c r="A126" s="179">
        <v>38687</v>
      </c>
      <c r="B126" s="180">
        <v>112.50674938473841</v>
      </c>
      <c r="C126" s="181">
        <v>2.3644450000000002E-3</v>
      </c>
      <c r="D126" s="181">
        <v>0.10515264225494869</v>
      </c>
      <c r="E126" s="180">
        <v>119.6960258092077</v>
      </c>
      <c r="F126" s="181">
        <v>4.3895330000000001E-3</v>
      </c>
      <c r="G126" s="181">
        <v>0.10528113968819364</v>
      </c>
      <c r="H126" s="180">
        <v>113.93045209844212</v>
      </c>
      <c r="I126" s="181">
        <v>-6.942529E-4</v>
      </c>
      <c r="J126" s="181">
        <v>4.8821148439489148E-2</v>
      </c>
      <c r="K126" s="180">
        <v>112.15698270059568</v>
      </c>
      <c r="L126" s="181">
        <v>-9.2368349999999997E-4</v>
      </c>
      <c r="M126" s="181">
        <v>4.5323834458879109E-2</v>
      </c>
      <c r="N126" s="180">
        <v>113.32784365719108</v>
      </c>
      <c r="O126" s="181">
        <v>2.2772230000000001E-3</v>
      </c>
      <c r="P126" s="181">
        <v>0.11670491432184371</v>
      </c>
      <c r="Q126" s="180" t="s">
        <v>8</v>
      </c>
      <c r="R126" s="181" t="s">
        <v>8</v>
      </c>
      <c r="S126" s="182" t="s">
        <v>8</v>
      </c>
      <c r="T126" s="180" t="s">
        <v>8</v>
      </c>
      <c r="U126" s="181" t="s">
        <v>8</v>
      </c>
      <c r="V126" s="182" t="s">
        <v>8</v>
      </c>
      <c r="W126" s="180">
        <v>101.53542073511865</v>
      </c>
      <c r="X126" s="181">
        <v>4.1037469999999996E-3</v>
      </c>
      <c r="Y126" s="182" t="s">
        <v>8</v>
      </c>
      <c r="Z126" s="180" t="s">
        <v>8</v>
      </c>
      <c r="AA126" s="181" t="s">
        <v>8</v>
      </c>
      <c r="AB126" s="182" t="s">
        <v>8</v>
      </c>
      <c r="AC126" s="180" t="s">
        <v>8</v>
      </c>
      <c r="AD126" s="181" t="s">
        <v>8</v>
      </c>
      <c r="AE126" s="182" t="s">
        <v>8</v>
      </c>
      <c r="AF126" s="180" t="s">
        <v>8</v>
      </c>
      <c r="AG126" s="181" t="s">
        <v>8</v>
      </c>
      <c r="AH126" s="182" t="s">
        <v>8</v>
      </c>
      <c r="AI126" s="180" t="s">
        <v>8</v>
      </c>
      <c r="AJ126" s="181" t="s">
        <v>8</v>
      </c>
      <c r="AK126" s="183" t="s">
        <v>8</v>
      </c>
    </row>
    <row r="127" spans="1:37" s="184" customFormat="1" ht="15.75" customHeight="1">
      <c r="A127" s="179">
        <v>38718</v>
      </c>
      <c r="B127" s="180">
        <v>112.94215815531629</v>
      </c>
      <c r="C127" s="181">
        <v>3.8700679999999999E-3</v>
      </c>
      <c r="D127" s="181">
        <v>0.10666410453362518</v>
      </c>
      <c r="E127" s="180">
        <v>119.85256618689739</v>
      </c>
      <c r="F127" s="181">
        <v>1.3078160000000001E-3</v>
      </c>
      <c r="G127" s="181">
        <v>0.10495429735422013</v>
      </c>
      <c r="H127" s="180">
        <v>114.70103404107283</v>
      </c>
      <c r="I127" s="181">
        <v>6.7636169999999995E-3</v>
      </c>
      <c r="J127" s="181">
        <v>5.2023537922259555E-2</v>
      </c>
      <c r="K127" s="180">
        <v>112.39972663786517</v>
      </c>
      <c r="L127" s="181">
        <v>2.1643230000000001E-3</v>
      </c>
      <c r="M127" s="181">
        <v>4.7286728871789085E-2</v>
      </c>
      <c r="N127" s="180">
        <v>111.24840578654496</v>
      </c>
      <c r="O127" s="181">
        <v>-1.834887E-2</v>
      </c>
      <c r="P127" s="181">
        <v>0.11929906493582743</v>
      </c>
      <c r="Q127" s="180" t="s">
        <v>8</v>
      </c>
      <c r="R127" s="181" t="s">
        <v>8</v>
      </c>
      <c r="S127" s="182" t="s">
        <v>8</v>
      </c>
      <c r="T127" s="180" t="s">
        <v>8</v>
      </c>
      <c r="U127" s="181" t="s">
        <v>8</v>
      </c>
      <c r="V127" s="182" t="s">
        <v>8</v>
      </c>
      <c r="W127" s="180">
        <v>101.67180676752521</v>
      </c>
      <c r="X127" s="181">
        <v>1.3432359999999998E-3</v>
      </c>
      <c r="Y127" s="182" t="s">
        <v>8</v>
      </c>
      <c r="Z127" s="180" t="s">
        <v>8</v>
      </c>
      <c r="AA127" s="181" t="s">
        <v>8</v>
      </c>
      <c r="AB127" s="182" t="s">
        <v>8</v>
      </c>
      <c r="AC127" s="180" t="s">
        <v>8</v>
      </c>
      <c r="AD127" s="181" t="s">
        <v>8</v>
      </c>
      <c r="AE127" s="182" t="s">
        <v>8</v>
      </c>
      <c r="AF127" s="180" t="s">
        <v>8</v>
      </c>
      <c r="AG127" s="181" t="s">
        <v>8</v>
      </c>
      <c r="AH127" s="182" t="s">
        <v>8</v>
      </c>
      <c r="AI127" s="180" t="s">
        <v>8</v>
      </c>
      <c r="AJ127" s="181" t="s">
        <v>8</v>
      </c>
      <c r="AK127" s="183" t="s">
        <v>8</v>
      </c>
    </row>
    <row r="128" spans="1:37" s="184" customFormat="1" ht="15.75" customHeight="1">
      <c r="A128" s="179">
        <v>38749</v>
      </c>
      <c r="B128" s="180">
        <v>113.50954014107539</v>
      </c>
      <c r="C128" s="181">
        <v>5.0236510000000005E-3</v>
      </c>
      <c r="D128" s="181">
        <v>0.10463773002735222</v>
      </c>
      <c r="E128" s="180">
        <v>120.69171968197814</v>
      </c>
      <c r="F128" s="181">
        <v>7.0015479999999998E-3</v>
      </c>
      <c r="G128" s="181">
        <v>0.10929048295157573</v>
      </c>
      <c r="H128" s="180">
        <v>114.19068589833427</v>
      </c>
      <c r="I128" s="181">
        <v>-4.449377E-3</v>
      </c>
      <c r="J128" s="181">
        <v>4.3566623118046932E-2</v>
      </c>
      <c r="K128" s="180">
        <v>112.93171712923591</v>
      </c>
      <c r="L128" s="181">
        <v>4.7330230000000003E-3</v>
      </c>
      <c r="M128" s="181">
        <v>4.1377876354148801E-2</v>
      </c>
      <c r="N128" s="180">
        <v>111.26348456233788</v>
      </c>
      <c r="O128" s="181">
        <v>1.3554149999999999E-4</v>
      </c>
      <c r="P128" s="181">
        <v>0.11546952623720608</v>
      </c>
      <c r="Q128" s="180" t="s">
        <v>8</v>
      </c>
      <c r="R128" s="181" t="s">
        <v>8</v>
      </c>
      <c r="S128" s="182" t="s">
        <v>8</v>
      </c>
      <c r="T128" s="180" t="s">
        <v>8</v>
      </c>
      <c r="U128" s="181" t="s">
        <v>8</v>
      </c>
      <c r="V128" s="182" t="s">
        <v>8</v>
      </c>
      <c r="W128" s="180">
        <v>102.2319947332833</v>
      </c>
      <c r="X128" s="181">
        <v>5.5097669999999996E-3</v>
      </c>
      <c r="Y128" s="182" t="s">
        <v>8</v>
      </c>
      <c r="Z128" s="180" t="s">
        <v>8</v>
      </c>
      <c r="AA128" s="181" t="s">
        <v>8</v>
      </c>
      <c r="AB128" s="182" t="s">
        <v>8</v>
      </c>
      <c r="AC128" s="180" t="s">
        <v>8</v>
      </c>
      <c r="AD128" s="181" t="s">
        <v>8</v>
      </c>
      <c r="AE128" s="182" t="s">
        <v>8</v>
      </c>
      <c r="AF128" s="180" t="s">
        <v>8</v>
      </c>
      <c r="AG128" s="181" t="s">
        <v>8</v>
      </c>
      <c r="AH128" s="182" t="s">
        <v>8</v>
      </c>
      <c r="AI128" s="180" t="s">
        <v>8</v>
      </c>
      <c r="AJ128" s="181" t="s">
        <v>8</v>
      </c>
      <c r="AK128" s="183" t="s">
        <v>8</v>
      </c>
    </row>
    <row r="129" spans="1:37" s="184" customFormat="1" ht="15.75" customHeight="1">
      <c r="A129" s="179">
        <v>38777</v>
      </c>
      <c r="B129" s="180">
        <v>114.30531000967888</v>
      </c>
      <c r="C129" s="181">
        <v>7.0105989999999993E-3</v>
      </c>
      <c r="D129" s="181">
        <v>9.5599055705937186E-2</v>
      </c>
      <c r="E129" s="180">
        <v>121.14114716282799</v>
      </c>
      <c r="F129" s="181">
        <v>3.7237640000000001E-3</v>
      </c>
      <c r="G129" s="181">
        <v>9.7792680052718683E-2</v>
      </c>
      <c r="H129" s="180">
        <v>114.27781790220679</v>
      </c>
      <c r="I129" s="181">
        <v>7.6303949999999992E-4</v>
      </c>
      <c r="J129" s="181">
        <v>4.2176978021515765E-2</v>
      </c>
      <c r="K129" s="180">
        <v>115.34887033520342</v>
      </c>
      <c r="L129" s="181">
        <v>2.140367E-2</v>
      </c>
      <c r="M129" s="181">
        <v>5.5375905746800846E-2</v>
      </c>
      <c r="N129" s="180">
        <v>113.27895805236359</v>
      </c>
      <c r="O129" s="181">
        <v>1.8114419999999999E-2</v>
      </c>
      <c r="P129" s="181">
        <v>0.11206685302828157</v>
      </c>
      <c r="Q129" s="180" t="s">
        <v>8</v>
      </c>
      <c r="R129" s="181" t="s">
        <v>8</v>
      </c>
      <c r="S129" s="182" t="s">
        <v>8</v>
      </c>
      <c r="T129" s="180" t="s">
        <v>8</v>
      </c>
      <c r="U129" s="181" t="s">
        <v>8</v>
      </c>
      <c r="V129" s="182" t="s">
        <v>8</v>
      </c>
      <c r="W129" s="180">
        <v>103.04962792763304</v>
      </c>
      <c r="X129" s="181">
        <v>7.9978210000000004E-3</v>
      </c>
      <c r="Y129" s="182" t="s">
        <v>8</v>
      </c>
      <c r="Z129" s="180" t="s">
        <v>8</v>
      </c>
      <c r="AA129" s="181" t="s">
        <v>8</v>
      </c>
      <c r="AB129" s="182" t="s">
        <v>8</v>
      </c>
      <c r="AC129" s="180" t="s">
        <v>8</v>
      </c>
      <c r="AD129" s="181" t="s">
        <v>8</v>
      </c>
      <c r="AE129" s="182" t="s">
        <v>8</v>
      </c>
      <c r="AF129" s="180" t="s">
        <v>8</v>
      </c>
      <c r="AG129" s="181" t="s">
        <v>8</v>
      </c>
      <c r="AH129" s="182" t="s">
        <v>8</v>
      </c>
      <c r="AI129" s="180" t="s">
        <v>8</v>
      </c>
      <c r="AJ129" s="181" t="s">
        <v>8</v>
      </c>
      <c r="AK129" s="183" t="s">
        <v>8</v>
      </c>
    </row>
    <row r="130" spans="1:37" s="184" customFormat="1" ht="15.75" customHeight="1">
      <c r="A130" s="179">
        <v>38808</v>
      </c>
      <c r="B130" s="180">
        <v>115.13468259166658</v>
      </c>
      <c r="C130" s="181">
        <v>7.2557660000000003E-3</v>
      </c>
      <c r="D130" s="181">
        <v>9.170813804821254E-2</v>
      </c>
      <c r="E130" s="180">
        <v>120.55653912692144</v>
      </c>
      <c r="F130" s="181">
        <v>-4.8258420000000003E-3</v>
      </c>
      <c r="G130" s="181">
        <v>8.1289930991138792E-2</v>
      </c>
      <c r="H130" s="180">
        <v>115.09740458458545</v>
      </c>
      <c r="I130" s="181">
        <v>7.1718789999999999E-3</v>
      </c>
      <c r="J130" s="181">
        <v>4.1765029748054516E-2</v>
      </c>
      <c r="K130" s="180">
        <v>115.95382832847021</v>
      </c>
      <c r="L130" s="181">
        <v>5.244594E-3</v>
      </c>
      <c r="M130" s="181">
        <v>5.9039878951206326E-2</v>
      </c>
      <c r="N130" s="180">
        <v>114.3410568053463</v>
      </c>
      <c r="O130" s="181">
        <v>9.3759580000000002E-3</v>
      </c>
      <c r="P130" s="181">
        <v>0.10441940135073557</v>
      </c>
      <c r="Q130" s="180" t="s">
        <v>8</v>
      </c>
      <c r="R130" s="181" t="s">
        <v>8</v>
      </c>
      <c r="S130" s="182" t="s">
        <v>8</v>
      </c>
      <c r="T130" s="180" t="s">
        <v>8</v>
      </c>
      <c r="U130" s="181" t="s">
        <v>8</v>
      </c>
      <c r="V130" s="182" t="s">
        <v>8</v>
      </c>
      <c r="W130" s="180">
        <v>103.41458457401568</v>
      </c>
      <c r="X130" s="181">
        <v>3.5415619999999998E-3</v>
      </c>
      <c r="Y130" s="182" t="s">
        <v>8</v>
      </c>
      <c r="Z130" s="180" t="s">
        <v>8</v>
      </c>
      <c r="AA130" s="181" t="s">
        <v>8</v>
      </c>
      <c r="AB130" s="182" t="s">
        <v>8</v>
      </c>
      <c r="AC130" s="180" t="s">
        <v>8</v>
      </c>
      <c r="AD130" s="181" t="s">
        <v>8</v>
      </c>
      <c r="AE130" s="182" t="s">
        <v>8</v>
      </c>
      <c r="AF130" s="180" t="s">
        <v>8</v>
      </c>
      <c r="AG130" s="181" t="s">
        <v>8</v>
      </c>
      <c r="AH130" s="182" t="s">
        <v>8</v>
      </c>
      <c r="AI130" s="180" t="s">
        <v>8</v>
      </c>
      <c r="AJ130" s="181" t="s">
        <v>8</v>
      </c>
      <c r="AK130" s="183" t="s">
        <v>8</v>
      </c>
    </row>
    <row r="131" spans="1:37" s="184" customFormat="1" ht="15.75" customHeight="1">
      <c r="A131" s="179">
        <v>38838</v>
      </c>
      <c r="B131" s="180">
        <v>115.62469430402584</v>
      </c>
      <c r="C131" s="181">
        <v>4.2559870000000001E-3</v>
      </c>
      <c r="D131" s="181">
        <v>8.6294264678936639E-2</v>
      </c>
      <c r="E131" s="180">
        <v>120.75210871749353</v>
      </c>
      <c r="F131" s="181">
        <v>1.6222230000000001E-3</v>
      </c>
      <c r="G131" s="181">
        <v>7.3723665960789164E-2</v>
      </c>
      <c r="H131" s="180">
        <v>114.96054502313163</v>
      </c>
      <c r="I131" s="181">
        <v>-1.1890760000000001E-3</v>
      </c>
      <c r="J131" s="181">
        <v>4.1046685269445771E-2</v>
      </c>
      <c r="K131" s="180">
        <v>116.50040116455422</v>
      </c>
      <c r="L131" s="181">
        <v>4.7137109999999998E-3</v>
      </c>
      <c r="M131" s="181">
        <v>7.5393048805046048E-2</v>
      </c>
      <c r="N131" s="180">
        <v>115.36416011459137</v>
      </c>
      <c r="O131" s="181">
        <v>8.9478209999999999E-3</v>
      </c>
      <c r="P131" s="181">
        <v>0.1017459851118554</v>
      </c>
      <c r="Q131" s="180" t="s">
        <v>8</v>
      </c>
      <c r="R131" s="181" t="s">
        <v>8</v>
      </c>
      <c r="S131" s="182" t="s">
        <v>8</v>
      </c>
      <c r="T131" s="180" t="s">
        <v>8</v>
      </c>
      <c r="U131" s="181" t="s">
        <v>8</v>
      </c>
      <c r="V131" s="182" t="s">
        <v>8</v>
      </c>
      <c r="W131" s="180">
        <v>104.20053014263438</v>
      </c>
      <c r="X131" s="181">
        <v>7.5999489999999999E-3</v>
      </c>
      <c r="Y131" s="182" t="s">
        <v>8</v>
      </c>
      <c r="Z131" s="180" t="s">
        <v>8</v>
      </c>
      <c r="AA131" s="181" t="s">
        <v>8</v>
      </c>
      <c r="AB131" s="182" t="s">
        <v>8</v>
      </c>
      <c r="AC131" s="180" t="s">
        <v>8</v>
      </c>
      <c r="AD131" s="181" t="s">
        <v>8</v>
      </c>
      <c r="AE131" s="182" t="s">
        <v>8</v>
      </c>
      <c r="AF131" s="180" t="s">
        <v>8</v>
      </c>
      <c r="AG131" s="181" t="s">
        <v>8</v>
      </c>
      <c r="AH131" s="182" t="s">
        <v>8</v>
      </c>
      <c r="AI131" s="180" t="s">
        <v>8</v>
      </c>
      <c r="AJ131" s="181" t="s">
        <v>8</v>
      </c>
      <c r="AK131" s="183" t="s">
        <v>8</v>
      </c>
    </row>
    <row r="132" spans="1:37" s="184" customFormat="1" ht="15.75" customHeight="1">
      <c r="A132" s="179">
        <v>38869</v>
      </c>
      <c r="B132" s="180">
        <v>115.73040044611568</v>
      </c>
      <c r="C132" s="181">
        <v>9.1421769999999996E-4</v>
      </c>
      <c r="D132" s="181">
        <v>8.1725717045872059E-2</v>
      </c>
      <c r="E132" s="180">
        <v>120.98027888332339</v>
      </c>
      <c r="F132" s="181">
        <v>1.8895750000000001E-3</v>
      </c>
      <c r="G132" s="181">
        <v>6.5625952944856181E-2</v>
      </c>
      <c r="H132" s="180">
        <v>114.90007917928159</v>
      </c>
      <c r="I132" s="181">
        <v>-5.2597039999999998E-4</v>
      </c>
      <c r="J132" s="181">
        <v>4.0214704718316563E-2</v>
      </c>
      <c r="K132" s="180">
        <v>116.254064328303</v>
      </c>
      <c r="L132" s="181">
        <v>-2.1144720000000001E-3</v>
      </c>
      <c r="M132" s="181">
        <v>7.7084100764404972E-2</v>
      </c>
      <c r="N132" s="180">
        <v>116.61502601531546</v>
      </c>
      <c r="O132" s="181">
        <v>1.084276E-2</v>
      </c>
      <c r="P132" s="181">
        <v>9.451812909794266E-2</v>
      </c>
      <c r="Q132" s="180" t="s">
        <v>8</v>
      </c>
      <c r="R132" s="181" t="s">
        <v>8</v>
      </c>
      <c r="S132" s="182" t="s">
        <v>8</v>
      </c>
      <c r="T132" s="180" t="s">
        <v>8</v>
      </c>
      <c r="U132" s="181" t="s">
        <v>8</v>
      </c>
      <c r="V132" s="182" t="s">
        <v>8</v>
      </c>
      <c r="W132" s="180">
        <v>103.10256603050553</v>
      </c>
      <c r="X132" s="181">
        <v>-1.0537030000000001E-2</v>
      </c>
      <c r="Y132" s="182" t="s">
        <v>8</v>
      </c>
      <c r="Z132" s="180" t="s">
        <v>8</v>
      </c>
      <c r="AA132" s="181" t="s">
        <v>8</v>
      </c>
      <c r="AB132" s="182" t="s">
        <v>8</v>
      </c>
      <c r="AC132" s="180" t="s">
        <v>8</v>
      </c>
      <c r="AD132" s="181" t="s">
        <v>8</v>
      </c>
      <c r="AE132" s="182" t="s">
        <v>8</v>
      </c>
      <c r="AF132" s="180" t="s">
        <v>8</v>
      </c>
      <c r="AG132" s="181" t="s">
        <v>8</v>
      </c>
      <c r="AH132" s="182" t="s">
        <v>8</v>
      </c>
      <c r="AI132" s="180" t="s">
        <v>8</v>
      </c>
      <c r="AJ132" s="181" t="s">
        <v>8</v>
      </c>
      <c r="AK132" s="183" t="s">
        <v>8</v>
      </c>
    </row>
    <row r="133" spans="1:37" s="184" customFormat="1" ht="15.75" customHeight="1">
      <c r="A133" s="179">
        <v>38899</v>
      </c>
      <c r="B133" s="180">
        <v>116.25347697409603</v>
      </c>
      <c r="C133" s="181">
        <v>4.5197850000000001E-3</v>
      </c>
      <c r="D133" s="181">
        <v>8.1431455061437674E-2</v>
      </c>
      <c r="E133" s="180">
        <v>120.01342566603668</v>
      </c>
      <c r="F133" s="181">
        <v>-7.991825000000001E-3</v>
      </c>
      <c r="G133" s="181">
        <v>3.8601528314530897E-2</v>
      </c>
      <c r="H133" s="180">
        <v>114.62056979966769</v>
      </c>
      <c r="I133" s="181">
        <v>-2.4326299999999999E-3</v>
      </c>
      <c r="J133" s="181">
        <v>3.7645184933297049E-2</v>
      </c>
      <c r="K133" s="180">
        <v>117.13988460848694</v>
      </c>
      <c r="L133" s="181">
        <v>7.6196929999999994E-3</v>
      </c>
      <c r="M133" s="181">
        <v>8.7803474408088444E-2</v>
      </c>
      <c r="N133" s="180">
        <v>116.74473900782276</v>
      </c>
      <c r="O133" s="181">
        <v>1.1123180000000002E-3</v>
      </c>
      <c r="P133" s="181">
        <v>8.0798598822979351E-2</v>
      </c>
      <c r="Q133" s="180" t="s">
        <v>8</v>
      </c>
      <c r="R133" s="181" t="s">
        <v>8</v>
      </c>
      <c r="S133" s="182" t="s">
        <v>8</v>
      </c>
      <c r="T133" s="180" t="s">
        <v>8</v>
      </c>
      <c r="U133" s="181" t="s">
        <v>8</v>
      </c>
      <c r="V133" s="182" t="s">
        <v>8</v>
      </c>
      <c r="W133" s="180">
        <v>103.96007522730955</v>
      </c>
      <c r="X133" s="181">
        <v>8.3170499999999994E-3</v>
      </c>
      <c r="Y133" s="182" t="s">
        <v>8</v>
      </c>
      <c r="Z133" s="180" t="s">
        <v>8</v>
      </c>
      <c r="AA133" s="181" t="s">
        <v>8</v>
      </c>
      <c r="AB133" s="182" t="s">
        <v>8</v>
      </c>
      <c r="AC133" s="180" t="s">
        <v>8</v>
      </c>
      <c r="AD133" s="181" t="s">
        <v>8</v>
      </c>
      <c r="AE133" s="182" t="s">
        <v>8</v>
      </c>
      <c r="AF133" s="180" t="s">
        <v>8</v>
      </c>
      <c r="AG133" s="181" t="s">
        <v>8</v>
      </c>
      <c r="AH133" s="182" t="s">
        <v>8</v>
      </c>
      <c r="AI133" s="180" t="s">
        <v>8</v>
      </c>
      <c r="AJ133" s="181" t="s">
        <v>8</v>
      </c>
      <c r="AK133" s="183" t="s">
        <v>8</v>
      </c>
    </row>
    <row r="134" spans="1:37" s="184" customFormat="1" ht="15.75" customHeight="1">
      <c r="A134" s="179">
        <v>38930</v>
      </c>
      <c r="B134" s="180">
        <v>116.74012693284556</v>
      </c>
      <c r="C134" s="181">
        <v>4.1861110000000002E-3</v>
      </c>
      <c r="D134" s="181">
        <v>7.2320281077963067E-2</v>
      </c>
      <c r="E134" s="180">
        <v>120.18144446196914</v>
      </c>
      <c r="F134" s="181">
        <v>1.4E-3</v>
      </c>
      <c r="G134" s="181">
        <v>3.4624006517874006E-2</v>
      </c>
      <c r="H134" s="180">
        <v>115.59010519702422</v>
      </c>
      <c r="I134" s="181">
        <v>8.4586510000000011E-3</v>
      </c>
      <c r="J134" s="181">
        <v>4.8788236333493495E-2</v>
      </c>
      <c r="K134" s="180">
        <v>117.42717111260832</v>
      </c>
      <c r="L134" s="181">
        <v>2.4525079999999999E-3</v>
      </c>
      <c r="M134" s="181">
        <v>7.5875573509794458E-2</v>
      </c>
      <c r="N134" s="180">
        <v>117.13740713560185</v>
      </c>
      <c r="O134" s="181">
        <v>3.3634760000000002E-3</v>
      </c>
      <c r="P134" s="181">
        <v>7.4348385977154985E-2</v>
      </c>
      <c r="Q134" s="180" t="s">
        <v>8</v>
      </c>
      <c r="R134" s="181" t="s">
        <v>8</v>
      </c>
      <c r="S134" s="182" t="s">
        <v>8</v>
      </c>
      <c r="T134" s="180" t="s">
        <v>8</v>
      </c>
      <c r="U134" s="181" t="s">
        <v>8</v>
      </c>
      <c r="V134" s="182" t="s">
        <v>8</v>
      </c>
      <c r="W134" s="180">
        <v>104.5422074655505</v>
      </c>
      <c r="X134" s="181">
        <v>5.5995749999999999E-3</v>
      </c>
      <c r="Y134" s="182" t="s">
        <v>8</v>
      </c>
      <c r="Z134" s="180" t="s">
        <v>8</v>
      </c>
      <c r="AA134" s="181" t="s">
        <v>8</v>
      </c>
      <c r="AB134" s="182" t="s">
        <v>8</v>
      </c>
      <c r="AC134" s="180" t="s">
        <v>8</v>
      </c>
      <c r="AD134" s="181" t="s">
        <v>8</v>
      </c>
      <c r="AE134" s="182" t="s">
        <v>8</v>
      </c>
      <c r="AF134" s="180" t="s">
        <v>8</v>
      </c>
      <c r="AG134" s="181" t="s">
        <v>8</v>
      </c>
      <c r="AH134" s="182" t="s">
        <v>8</v>
      </c>
      <c r="AI134" s="180" t="s">
        <v>8</v>
      </c>
      <c r="AJ134" s="181" t="s">
        <v>8</v>
      </c>
      <c r="AK134" s="183" t="s">
        <v>8</v>
      </c>
    </row>
    <row r="135" spans="1:37" s="184" customFormat="1" ht="15.75" customHeight="1">
      <c r="A135" s="179">
        <v>38961</v>
      </c>
      <c r="B135" s="180">
        <v>117.18373941519037</v>
      </c>
      <c r="C135" s="181">
        <v>3.8E-3</v>
      </c>
      <c r="D135" s="181">
        <v>6.3843668415792809E-2</v>
      </c>
      <c r="E135" s="180">
        <v>122.76117379395201</v>
      </c>
      <c r="F135" s="181">
        <v>2.1465288119408676E-2</v>
      </c>
      <c r="G135" s="181">
        <v>4.5658197606714523E-2</v>
      </c>
      <c r="H135" s="180">
        <v>116.78068328055356</v>
      </c>
      <c r="I135" s="181">
        <v>1.03E-2</v>
      </c>
      <c r="J135" s="181">
        <v>5.4520612680317271E-2</v>
      </c>
      <c r="K135" s="180">
        <v>118.36658848150918</v>
      </c>
      <c r="L135" s="181">
        <v>8.0000000000000002E-3</v>
      </c>
      <c r="M135" s="181">
        <v>6.1654313750284739E-2</v>
      </c>
      <c r="N135" s="180">
        <v>118.19164379982226</v>
      </c>
      <c r="O135" s="181">
        <v>8.9999999999999993E-3</v>
      </c>
      <c r="P135" s="181">
        <v>6.6100403527182605E-2</v>
      </c>
      <c r="Q135" s="180" t="s">
        <v>8</v>
      </c>
      <c r="R135" s="181" t="s">
        <v>8</v>
      </c>
      <c r="S135" s="182" t="s">
        <v>8</v>
      </c>
      <c r="T135" s="180" t="s">
        <v>8</v>
      </c>
      <c r="U135" s="181" t="s">
        <v>8</v>
      </c>
      <c r="V135" s="182" t="s">
        <v>8</v>
      </c>
      <c r="W135" s="180">
        <v>105.25459653875311</v>
      </c>
      <c r="X135" s="181">
        <v>6.8143679999999995E-3</v>
      </c>
      <c r="Y135" s="182" t="s">
        <v>8</v>
      </c>
      <c r="Z135" s="180" t="s">
        <v>8</v>
      </c>
      <c r="AA135" s="181" t="s">
        <v>8</v>
      </c>
      <c r="AB135" s="182" t="s">
        <v>8</v>
      </c>
      <c r="AC135" s="180" t="s">
        <v>8</v>
      </c>
      <c r="AD135" s="181" t="s">
        <v>8</v>
      </c>
      <c r="AE135" s="182" t="s">
        <v>8</v>
      </c>
      <c r="AF135" s="180" t="s">
        <v>8</v>
      </c>
      <c r="AG135" s="181" t="s">
        <v>8</v>
      </c>
      <c r="AH135" s="182" t="s">
        <v>8</v>
      </c>
      <c r="AI135" s="180" t="s">
        <v>8</v>
      </c>
      <c r="AJ135" s="181" t="s">
        <v>8</v>
      </c>
      <c r="AK135" s="183" t="s">
        <v>8</v>
      </c>
    </row>
    <row r="136" spans="1:37" s="184" customFormat="1" ht="15.75" customHeight="1">
      <c r="A136" s="179">
        <v>38991</v>
      </c>
      <c r="B136" s="180">
        <v>118.00026436424345</v>
      </c>
      <c r="C136" s="181">
        <v>6.9679031675210588E-3</v>
      </c>
      <c r="D136" s="181">
        <v>6.635079216382711E-2</v>
      </c>
      <c r="E136" s="180">
        <v>123.0426648929465</v>
      </c>
      <c r="F136" s="181">
        <v>2.2929977801203318E-3</v>
      </c>
      <c r="G136" s="181">
        <v>4.441043340178652E-2</v>
      </c>
      <c r="H136" s="180">
        <v>117.30652638426479</v>
      </c>
      <c r="I136" s="181">
        <v>4.5028260576961132E-3</v>
      </c>
      <c r="J136" s="181">
        <v>3.8788411780262599E-2</v>
      </c>
      <c r="K136" s="180">
        <v>119.66758557529992</v>
      </c>
      <c r="L136" s="181">
        <v>1.0991252772263222E-2</v>
      </c>
      <c r="M136" s="181">
        <v>7.0507676007763864E-2</v>
      </c>
      <c r="N136" s="180">
        <v>118.51167641903901</v>
      </c>
      <c r="O136" s="181">
        <v>2.7077431951008815E-3</v>
      </c>
      <c r="P136" s="181">
        <v>5.819002528186723E-2</v>
      </c>
      <c r="Q136" s="180" t="s">
        <v>8</v>
      </c>
      <c r="R136" s="181" t="s">
        <v>8</v>
      </c>
      <c r="S136" s="182" t="s">
        <v>8</v>
      </c>
      <c r="T136" s="180" t="s">
        <v>8</v>
      </c>
      <c r="U136" s="181" t="s">
        <v>8</v>
      </c>
      <c r="V136" s="182" t="s">
        <v>8</v>
      </c>
      <c r="W136" s="180">
        <v>105.4886308709392</v>
      </c>
      <c r="X136" s="181">
        <v>2.223507E-3</v>
      </c>
      <c r="Y136" s="181">
        <v>5.488630870939204E-2</v>
      </c>
      <c r="Z136" s="180" t="s">
        <v>8</v>
      </c>
      <c r="AA136" s="181" t="s">
        <v>8</v>
      </c>
      <c r="AB136" s="181" t="s">
        <v>8</v>
      </c>
      <c r="AC136" s="180" t="s">
        <v>8</v>
      </c>
      <c r="AD136" s="181" t="s">
        <v>8</v>
      </c>
      <c r="AE136" s="181" t="s">
        <v>8</v>
      </c>
      <c r="AF136" s="180" t="s">
        <v>8</v>
      </c>
      <c r="AG136" s="181" t="s">
        <v>8</v>
      </c>
      <c r="AH136" s="181" t="s">
        <v>8</v>
      </c>
      <c r="AI136" s="180" t="s">
        <v>8</v>
      </c>
      <c r="AJ136" s="181" t="s">
        <v>8</v>
      </c>
      <c r="AK136" s="185" t="s">
        <v>8</v>
      </c>
    </row>
    <row r="137" spans="1:37" s="184" customFormat="1" ht="15.75" customHeight="1">
      <c r="A137" s="179">
        <v>39022</v>
      </c>
      <c r="B137" s="180">
        <v>118.93658196776673</v>
      </c>
      <c r="C137" s="181">
        <v>7.934877168012661E-3</v>
      </c>
      <c r="D137" s="181">
        <v>5.9650213220802994E-2</v>
      </c>
      <c r="E137" s="180">
        <v>124.15840930923407</v>
      </c>
      <c r="F137" s="181">
        <v>9.0679474250523473E-3</v>
      </c>
      <c r="G137" s="181">
        <v>4.1834145294835423E-2</v>
      </c>
      <c r="H137" s="180">
        <v>118.07403296866831</v>
      </c>
      <c r="I137" s="181">
        <v>6.5427441086216851E-3</v>
      </c>
      <c r="J137" s="181">
        <v>3.5649886010401755E-2</v>
      </c>
      <c r="K137" s="180">
        <v>120.62492625990232</v>
      </c>
      <c r="L137" s="181">
        <v>8.0000000000000002E-3</v>
      </c>
      <c r="M137" s="181">
        <v>7.4507392264104411E-2</v>
      </c>
      <c r="N137" s="180">
        <v>118.39316474261997</v>
      </c>
      <c r="O137" s="181">
        <v>-1E-3</v>
      </c>
      <c r="P137" s="181">
        <v>4.7075180741648737E-2</v>
      </c>
      <c r="Q137" s="180" t="s">
        <v>8</v>
      </c>
      <c r="R137" s="181" t="s">
        <v>8</v>
      </c>
      <c r="S137" s="182" t="s">
        <v>8</v>
      </c>
      <c r="T137" s="180" t="s">
        <v>8</v>
      </c>
      <c r="U137" s="181" t="s">
        <v>8</v>
      </c>
      <c r="V137" s="182" t="s">
        <v>8</v>
      </c>
      <c r="W137" s="180">
        <v>106.05610231920966</v>
      </c>
      <c r="X137" s="181">
        <v>5.3794560000000003E-3</v>
      </c>
      <c r="Y137" s="181">
        <v>4.8809656373453469E-2</v>
      </c>
      <c r="Z137" s="180" t="s">
        <v>8</v>
      </c>
      <c r="AA137" s="181" t="s">
        <v>8</v>
      </c>
      <c r="AB137" s="181" t="s">
        <v>8</v>
      </c>
      <c r="AC137" s="180" t="s">
        <v>8</v>
      </c>
      <c r="AD137" s="181" t="s">
        <v>8</v>
      </c>
      <c r="AE137" s="181" t="s">
        <v>8</v>
      </c>
      <c r="AF137" s="180" t="s">
        <v>8</v>
      </c>
      <c r="AG137" s="181" t="s">
        <v>8</v>
      </c>
      <c r="AH137" s="181" t="s">
        <v>8</v>
      </c>
      <c r="AI137" s="180" t="s">
        <v>8</v>
      </c>
      <c r="AJ137" s="181" t="s">
        <v>8</v>
      </c>
      <c r="AK137" s="185" t="s">
        <v>8</v>
      </c>
    </row>
    <row r="138" spans="1:37" s="184" customFormat="1" ht="15.75" customHeight="1">
      <c r="A138" s="179">
        <v>39052</v>
      </c>
      <c r="B138" s="180">
        <v>119.41232829563779</v>
      </c>
      <c r="C138" s="181">
        <v>4.0000000000000001E-3</v>
      </c>
      <c r="D138" s="181">
        <v>6.1379241233647575E-2</v>
      </c>
      <c r="E138" s="180">
        <v>123.41345885337867</v>
      </c>
      <c r="F138" s="181">
        <v>-6.0000000000000001E-3</v>
      </c>
      <c r="G138" s="181">
        <v>3.1057280465572656E-2</v>
      </c>
      <c r="H138" s="180">
        <v>118.38673203725637</v>
      </c>
      <c r="I138" s="181">
        <v>2.6483305492836758E-3</v>
      </c>
      <c r="J138" s="181">
        <v>3.9114037175625116E-2</v>
      </c>
      <c r="K138" s="180">
        <v>121.46129152347268</v>
      </c>
      <c r="L138" s="181">
        <v>6.9336022785895374E-3</v>
      </c>
      <c r="M138" s="181">
        <v>8.2957909519685957E-2</v>
      </c>
      <c r="N138" s="180">
        <v>120.0183595543584</v>
      </c>
      <c r="O138" s="181">
        <v>1.3727100000000001E-2</v>
      </c>
      <c r="P138" s="181">
        <v>5.9036823443016084E-2</v>
      </c>
      <c r="Q138" s="180" t="s">
        <v>8</v>
      </c>
      <c r="R138" s="181" t="s">
        <v>8</v>
      </c>
      <c r="S138" s="182" t="s">
        <v>8</v>
      </c>
      <c r="T138" s="180" t="s">
        <v>8</v>
      </c>
      <c r="U138" s="181" t="s">
        <v>8</v>
      </c>
      <c r="V138" s="182" t="s">
        <v>8</v>
      </c>
      <c r="W138" s="180">
        <v>104.74115937123879</v>
      </c>
      <c r="X138" s="181">
        <v>-1.2398560000000001E-2</v>
      </c>
      <c r="Y138" s="181">
        <v>3.157261390075039E-2</v>
      </c>
      <c r="Z138" s="180" t="s">
        <v>8</v>
      </c>
      <c r="AA138" s="181" t="s">
        <v>8</v>
      </c>
      <c r="AB138" s="181" t="s">
        <v>8</v>
      </c>
      <c r="AC138" s="180" t="s">
        <v>8</v>
      </c>
      <c r="AD138" s="181" t="s">
        <v>8</v>
      </c>
      <c r="AE138" s="181" t="s">
        <v>8</v>
      </c>
      <c r="AF138" s="180" t="s">
        <v>8</v>
      </c>
      <c r="AG138" s="181" t="s">
        <v>8</v>
      </c>
      <c r="AH138" s="181" t="s">
        <v>8</v>
      </c>
      <c r="AI138" s="180" t="s">
        <v>8</v>
      </c>
      <c r="AJ138" s="181" t="s">
        <v>8</v>
      </c>
      <c r="AK138" s="185" t="s">
        <v>8</v>
      </c>
    </row>
    <row r="139" spans="1:37" s="184" customFormat="1" ht="15.75" customHeight="1">
      <c r="A139" s="179">
        <v>39083</v>
      </c>
      <c r="B139" s="180">
        <v>119.93583828188673</v>
      </c>
      <c r="C139" s="181">
        <v>4.384053084978386E-3</v>
      </c>
      <c r="D139" s="181">
        <v>6.192267122213857E-2</v>
      </c>
      <c r="E139" s="180">
        <v>122.64998219050268</v>
      </c>
      <c r="F139" s="181">
        <v>-6.1863322685334872E-3</v>
      </c>
      <c r="G139" s="181">
        <v>2.3340476492117901E-2</v>
      </c>
      <c r="H139" s="180">
        <v>118.03550298900296</v>
      </c>
      <c r="I139" s="181">
        <v>-2.9667940166037245E-3</v>
      </c>
      <c r="J139" s="181">
        <v>2.9070958041547357E-2</v>
      </c>
      <c r="K139" s="180">
        <v>123.62367784699534</v>
      </c>
      <c r="L139" s="181">
        <v>1.7803090156544021E-2</v>
      </c>
      <c r="M139" s="181">
        <v>9.9857460021162137E-2</v>
      </c>
      <c r="N139" s="180">
        <v>119.57509186814831</v>
      </c>
      <c r="O139" s="181">
        <v>-3.6933323189551701E-3</v>
      </c>
      <c r="P139" s="181">
        <v>7.4847689031876552E-2</v>
      </c>
      <c r="Q139" s="180" t="s">
        <v>8</v>
      </c>
      <c r="R139" s="181" t="s">
        <v>8</v>
      </c>
      <c r="S139" s="182" t="s">
        <v>8</v>
      </c>
      <c r="T139" s="180" t="s">
        <v>8</v>
      </c>
      <c r="U139" s="181" t="s">
        <v>8</v>
      </c>
      <c r="V139" s="182" t="s">
        <v>8</v>
      </c>
      <c r="W139" s="180">
        <v>104.72042205663718</v>
      </c>
      <c r="X139" s="181">
        <v>-1.9798630000000001E-4</v>
      </c>
      <c r="Y139" s="181">
        <v>2.9984863907087655E-2</v>
      </c>
      <c r="Z139" s="180" t="s">
        <v>8</v>
      </c>
      <c r="AA139" s="181" t="s">
        <v>8</v>
      </c>
      <c r="AB139" s="181" t="s">
        <v>8</v>
      </c>
      <c r="AC139" s="180" t="s">
        <v>8</v>
      </c>
      <c r="AD139" s="181" t="s">
        <v>8</v>
      </c>
      <c r="AE139" s="181" t="s">
        <v>8</v>
      </c>
      <c r="AF139" s="180" t="s">
        <v>8</v>
      </c>
      <c r="AG139" s="181" t="s">
        <v>8</v>
      </c>
      <c r="AH139" s="181" t="s">
        <v>8</v>
      </c>
      <c r="AI139" s="180" t="s">
        <v>8</v>
      </c>
      <c r="AJ139" s="181" t="s">
        <v>8</v>
      </c>
      <c r="AK139" s="185" t="s">
        <v>8</v>
      </c>
    </row>
    <row r="140" spans="1:37" s="184" customFormat="1" ht="15.75" customHeight="1">
      <c r="A140" s="179">
        <v>39114</v>
      </c>
      <c r="B140" s="180">
        <v>120.29192096317639</v>
      </c>
      <c r="C140" s="181">
        <v>2.9689431148408473E-3</v>
      </c>
      <c r="D140" s="181">
        <v>5.9751636855118306E-2</v>
      </c>
      <c r="E140" s="180">
        <v>122.77702592930684</v>
      </c>
      <c r="F140" s="181">
        <v>1.0358235405760394E-3</v>
      </c>
      <c r="G140" s="181">
        <v>1.7277956207960798E-2</v>
      </c>
      <c r="H140" s="180">
        <v>119.16001947637261</v>
      </c>
      <c r="I140" s="181">
        <v>9.5269343451217254E-3</v>
      </c>
      <c r="J140" s="181">
        <v>4.3517853833215714E-2</v>
      </c>
      <c r="K140" s="180">
        <v>125.47648015189624</v>
      </c>
      <c r="L140" s="181">
        <v>1.4987438791410681E-2</v>
      </c>
      <c r="M140" s="181">
        <v>0.1110827262841001</v>
      </c>
      <c r="N140" s="180">
        <v>120.65255604047664</v>
      </c>
      <c r="O140" s="181">
        <v>9.0107743635808191E-3</v>
      </c>
      <c r="P140" s="181">
        <v>8.4385919738818815E-2</v>
      </c>
      <c r="Q140" s="180" t="s">
        <v>8</v>
      </c>
      <c r="R140" s="181" t="s">
        <v>8</v>
      </c>
      <c r="S140" s="182" t="s">
        <v>8</v>
      </c>
      <c r="T140" s="180" t="s">
        <v>8</v>
      </c>
      <c r="U140" s="181" t="s">
        <v>8</v>
      </c>
      <c r="V140" s="182" t="s">
        <v>8</v>
      </c>
      <c r="W140" s="180">
        <v>107.24774786416472</v>
      </c>
      <c r="X140" s="181">
        <v>2.4134030000000001E-2</v>
      </c>
      <c r="Y140" s="181">
        <v>4.9062459790276014E-2</v>
      </c>
      <c r="Z140" s="180" t="s">
        <v>8</v>
      </c>
      <c r="AA140" s="181" t="s">
        <v>8</v>
      </c>
      <c r="AB140" s="181" t="s">
        <v>8</v>
      </c>
      <c r="AC140" s="180" t="s">
        <v>8</v>
      </c>
      <c r="AD140" s="181" t="s">
        <v>8</v>
      </c>
      <c r="AE140" s="181" t="s">
        <v>8</v>
      </c>
      <c r="AF140" s="180" t="s">
        <v>8</v>
      </c>
      <c r="AG140" s="181" t="s">
        <v>8</v>
      </c>
      <c r="AH140" s="181" t="s">
        <v>8</v>
      </c>
      <c r="AI140" s="180" t="s">
        <v>8</v>
      </c>
      <c r="AJ140" s="181" t="s">
        <v>8</v>
      </c>
      <c r="AK140" s="185" t="s">
        <v>8</v>
      </c>
    </row>
    <row r="141" spans="1:37" s="184" customFormat="1" ht="15.75" customHeight="1">
      <c r="A141" s="179">
        <v>39142</v>
      </c>
      <c r="B141" s="180">
        <v>120.84818120156987</v>
      </c>
      <c r="C141" s="181">
        <v>4.6242526841329401E-3</v>
      </c>
      <c r="D141" s="181">
        <v>5.7240308357826786E-2</v>
      </c>
      <c r="E141" s="180">
        <v>125.13841072982842</v>
      </c>
      <c r="F141" s="181">
        <v>1.9233116152212501E-2</v>
      </c>
      <c r="G141" s="181">
        <v>3.2996745206875344E-2</v>
      </c>
      <c r="H141" s="180">
        <v>119.87045919007868</v>
      </c>
      <c r="I141" s="181">
        <v>5.9620644309053604E-3</v>
      </c>
      <c r="J141" s="181">
        <v>4.8938992628103861E-2</v>
      </c>
      <c r="K141" s="180">
        <v>127.60715424188926</v>
      </c>
      <c r="L141" s="181">
        <v>1.6980665120775888E-2</v>
      </c>
      <c r="M141" s="181">
        <v>0.10627138238166811</v>
      </c>
      <c r="N141" s="180">
        <v>122.02058110206582</v>
      </c>
      <c r="O141" s="181">
        <v>1.1338550184798599E-2</v>
      </c>
      <c r="P141" s="181">
        <v>7.7168992370687084E-2</v>
      </c>
      <c r="Q141" s="180" t="s">
        <v>8</v>
      </c>
      <c r="R141" s="181" t="s">
        <v>8</v>
      </c>
      <c r="S141" s="182" t="s">
        <v>8</v>
      </c>
      <c r="T141" s="180" t="s">
        <v>8</v>
      </c>
      <c r="U141" s="181" t="s">
        <v>8</v>
      </c>
      <c r="V141" s="182" t="s">
        <v>8</v>
      </c>
      <c r="W141" s="180">
        <v>106.78467150072962</v>
      </c>
      <c r="X141" s="181">
        <v>-4.3178189999999997E-3</v>
      </c>
      <c r="Y141" s="181">
        <v>3.6245095185782894E-2</v>
      </c>
      <c r="Z141" s="180" t="s">
        <v>8</v>
      </c>
      <c r="AA141" s="181" t="s">
        <v>8</v>
      </c>
      <c r="AB141" s="181" t="s">
        <v>8</v>
      </c>
      <c r="AC141" s="180" t="s">
        <v>8</v>
      </c>
      <c r="AD141" s="181" t="s">
        <v>8</v>
      </c>
      <c r="AE141" s="181" t="s">
        <v>8</v>
      </c>
      <c r="AF141" s="180" t="s">
        <v>8</v>
      </c>
      <c r="AG141" s="181" t="s">
        <v>8</v>
      </c>
      <c r="AH141" s="181" t="s">
        <v>8</v>
      </c>
      <c r="AI141" s="180" t="s">
        <v>8</v>
      </c>
      <c r="AJ141" s="181" t="s">
        <v>8</v>
      </c>
      <c r="AK141" s="185" t="s">
        <v>8</v>
      </c>
    </row>
    <row r="142" spans="1:37" s="184" customFormat="1" ht="15.75" customHeight="1">
      <c r="A142" s="179">
        <v>39173</v>
      </c>
      <c r="B142" s="180">
        <v>121.28331060343189</v>
      </c>
      <c r="C142" s="181">
        <v>3.6006284706613882E-3</v>
      </c>
      <c r="D142" s="181">
        <v>5.3403786533827269E-2</v>
      </c>
      <c r="E142" s="180">
        <v>125.42741247189437</v>
      </c>
      <c r="F142" s="181">
        <v>2.3094567078201077E-3</v>
      </c>
      <c r="G142" s="181">
        <v>4.040322806417751E-2</v>
      </c>
      <c r="H142" s="180">
        <v>119.32300395473051</v>
      </c>
      <c r="I142" s="181">
        <v>-4.5670571302313806E-3</v>
      </c>
      <c r="J142" s="181">
        <v>3.6713246362038099E-2</v>
      </c>
      <c r="K142" s="180">
        <v>127.24684898363972</v>
      </c>
      <c r="L142" s="181">
        <v>-2.8235506103878555E-3</v>
      </c>
      <c r="M142" s="181">
        <v>9.7392391592100003E-2</v>
      </c>
      <c r="N142" s="180">
        <v>123.18660910622459</v>
      </c>
      <c r="O142" s="181">
        <v>9.5559945185265463E-3</v>
      </c>
      <c r="P142" s="181">
        <v>7.7361120738431932E-2</v>
      </c>
      <c r="Q142" s="180" t="s">
        <v>8</v>
      </c>
      <c r="R142" s="181" t="s">
        <v>8</v>
      </c>
      <c r="S142" s="182" t="s">
        <v>8</v>
      </c>
      <c r="T142" s="180" t="s">
        <v>8</v>
      </c>
      <c r="U142" s="181" t="s">
        <v>8</v>
      </c>
      <c r="V142" s="182" t="s">
        <v>8</v>
      </c>
      <c r="W142" s="180">
        <v>106.03524450268495</v>
      </c>
      <c r="X142" s="181">
        <v>-7.0181139999999998E-3</v>
      </c>
      <c r="Y142" s="181">
        <v>2.5341299193573752E-2</v>
      </c>
      <c r="Z142" s="180" t="s">
        <v>8</v>
      </c>
      <c r="AA142" s="181" t="s">
        <v>8</v>
      </c>
      <c r="AB142" s="181" t="s">
        <v>8</v>
      </c>
      <c r="AC142" s="180" t="s">
        <v>8</v>
      </c>
      <c r="AD142" s="181" t="s">
        <v>8</v>
      </c>
      <c r="AE142" s="181" t="s">
        <v>8</v>
      </c>
      <c r="AF142" s="180" t="s">
        <v>8</v>
      </c>
      <c r="AG142" s="181" t="s">
        <v>8</v>
      </c>
      <c r="AH142" s="181" t="s">
        <v>8</v>
      </c>
      <c r="AI142" s="180" t="s">
        <v>8</v>
      </c>
      <c r="AJ142" s="181" t="s">
        <v>8</v>
      </c>
      <c r="AK142" s="185" t="s">
        <v>8</v>
      </c>
    </row>
    <row r="143" spans="1:37" s="184" customFormat="1" ht="15.75" customHeight="1">
      <c r="A143" s="179">
        <v>39203</v>
      </c>
      <c r="B143" s="180">
        <v>122.14170254346914</v>
      </c>
      <c r="C143" s="181">
        <v>7.0775767561621038E-3</v>
      </c>
      <c r="D143" s="181">
        <v>5.6363463520235246E-2</v>
      </c>
      <c r="E143" s="180">
        <v>125.94912682332379</v>
      </c>
      <c r="F143" s="181">
        <v>4.1594922604843215E-3</v>
      </c>
      <c r="G143" s="181">
        <v>4.3038735811968154E-2</v>
      </c>
      <c r="H143" s="180">
        <v>120.22875898893535</v>
      </c>
      <c r="I143" s="181">
        <v>7.5907830358383239E-3</v>
      </c>
      <c r="J143" s="181">
        <v>4.5826278613620763E-2</v>
      </c>
      <c r="K143" s="180">
        <v>125.59659208442871</v>
      </c>
      <c r="L143" s="181">
        <v>-1.296894117529929E-2</v>
      </c>
      <c r="M143" s="181">
        <v>7.8078623154492988E-2</v>
      </c>
      <c r="N143" s="180">
        <v>126.78763899630601</v>
      </c>
      <c r="O143" s="181">
        <v>2.9232316046431912E-2</v>
      </c>
      <c r="P143" s="181">
        <v>9.9021037992802041E-2</v>
      </c>
      <c r="Q143" s="180" t="s">
        <v>8</v>
      </c>
      <c r="R143" s="181" t="s">
        <v>8</v>
      </c>
      <c r="S143" s="182" t="s">
        <v>8</v>
      </c>
      <c r="T143" s="180" t="s">
        <v>8</v>
      </c>
      <c r="U143" s="181" t="s">
        <v>8</v>
      </c>
      <c r="V143" s="182" t="s">
        <v>8</v>
      </c>
      <c r="W143" s="180">
        <v>105.57615992795408</v>
      </c>
      <c r="X143" s="181">
        <v>-4.3295470000000004E-3</v>
      </c>
      <c r="Y143" s="181">
        <v>1.320175418912628E-2</v>
      </c>
      <c r="Z143" s="180" t="s">
        <v>8</v>
      </c>
      <c r="AA143" s="181" t="s">
        <v>8</v>
      </c>
      <c r="AB143" s="181" t="s">
        <v>8</v>
      </c>
      <c r="AC143" s="180" t="s">
        <v>8</v>
      </c>
      <c r="AD143" s="181" t="s">
        <v>8</v>
      </c>
      <c r="AE143" s="181" t="s">
        <v>8</v>
      </c>
      <c r="AF143" s="180" t="s">
        <v>8</v>
      </c>
      <c r="AG143" s="181" t="s">
        <v>8</v>
      </c>
      <c r="AH143" s="181" t="s">
        <v>8</v>
      </c>
      <c r="AI143" s="180" t="s">
        <v>8</v>
      </c>
      <c r="AJ143" s="181" t="s">
        <v>8</v>
      </c>
      <c r="AK143" s="185" t="s">
        <v>8</v>
      </c>
    </row>
    <row r="144" spans="1:37" s="184" customFormat="1" ht="15.75" customHeight="1">
      <c r="A144" s="179">
        <v>39234</v>
      </c>
      <c r="B144" s="180">
        <v>122.63897560688369</v>
      </c>
      <c r="C144" s="181">
        <v>4.07127994009732E-3</v>
      </c>
      <c r="D144" s="181">
        <v>5.9695422586778735E-2</v>
      </c>
      <c r="E144" s="180">
        <v>126.5542151328807</v>
      </c>
      <c r="F144" s="181">
        <v>4.8042279039034758E-3</v>
      </c>
      <c r="G144" s="181">
        <v>4.6073098037184623E-2</v>
      </c>
      <c r="H144" s="180">
        <v>120.32711732659342</v>
      </c>
      <c r="I144" s="181">
        <v>8.1809326225457482E-4</v>
      </c>
      <c r="J144" s="181">
        <v>4.7232675434834892E-2</v>
      </c>
      <c r="K144" s="180">
        <v>125.96830288336025</v>
      </c>
      <c r="L144" s="181">
        <v>2.9595611852403455E-3</v>
      </c>
      <c r="M144" s="181">
        <v>8.3560420972673466E-2</v>
      </c>
      <c r="N144" s="180">
        <v>129.64723067464155</v>
      </c>
      <c r="O144" s="181">
        <v>2.2554183522723727E-2</v>
      </c>
      <c r="P144" s="181">
        <v>0.11175407753726785</v>
      </c>
      <c r="Q144" s="180" t="s">
        <v>8</v>
      </c>
      <c r="R144" s="181" t="s">
        <v>8</v>
      </c>
      <c r="S144" s="182" t="s">
        <v>8</v>
      </c>
      <c r="T144" s="180" t="s">
        <v>8</v>
      </c>
      <c r="U144" s="181" t="s">
        <v>8</v>
      </c>
      <c r="V144" s="182" t="s">
        <v>8</v>
      </c>
      <c r="W144" s="180">
        <v>105.09267854891505</v>
      </c>
      <c r="X144" s="181">
        <v>-4.579456E-3</v>
      </c>
      <c r="Y144" s="181">
        <v>1.9302259827565171E-2</v>
      </c>
      <c r="Z144" s="180" t="s">
        <v>8</v>
      </c>
      <c r="AA144" s="181" t="s">
        <v>8</v>
      </c>
      <c r="AB144" s="181" t="s">
        <v>8</v>
      </c>
      <c r="AC144" s="180" t="s">
        <v>8</v>
      </c>
      <c r="AD144" s="181" t="s">
        <v>8</v>
      </c>
      <c r="AE144" s="181" t="s">
        <v>8</v>
      </c>
      <c r="AF144" s="180" t="s">
        <v>8</v>
      </c>
      <c r="AG144" s="181" t="s">
        <v>8</v>
      </c>
      <c r="AH144" s="181" t="s">
        <v>8</v>
      </c>
      <c r="AI144" s="180" t="s">
        <v>8</v>
      </c>
      <c r="AJ144" s="181" t="s">
        <v>8</v>
      </c>
      <c r="AK144" s="185" t="s">
        <v>8</v>
      </c>
    </row>
    <row r="145" spans="1:37" s="184" customFormat="1" ht="15.75" customHeight="1">
      <c r="A145" s="179">
        <v>39264</v>
      </c>
      <c r="B145" s="180">
        <v>123.25527338046406</v>
      </c>
      <c r="C145" s="181">
        <v>5.0253010556440192E-3</v>
      </c>
      <c r="D145" s="181">
        <v>6.0228705313718933E-2</v>
      </c>
      <c r="E145" s="180">
        <v>126.91663170727077</v>
      </c>
      <c r="F145" s="181">
        <v>2.863725826986747E-3</v>
      </c>
      <c r="G145" s="181">
        <v>5.7520281609523938E-2</v>
      </c>
      <c r="H145" s="180">
        <v>121.12839475567201</v>
      </c>
      <c r="I145" s="181">
        <v>6.6591591893932628E-3</v>
      </c>
      <c r="J145" s="181">
        <v>5.6777112235426808E-2</v>
      </c>
      <c r="K145" s="180">
        <v>125.68419115332195</v>
      </c>
      <c r="L145" s="181">
        <v>-2.2554223843229753E-3</v>
      </c>
      <c r="M145" s="181">
        <v>7.2941053112630216E-2</v>
      </c>
      <c r="N145" s="180">
        <v>131.00691157550838</v>
      </c>
      <c r="O145" s="181">
        <v>1.0487542956309088E-2</v>
      </c>
      <c r="P145" s="181">
        <v>0.1221654413628861</v>
      </c>
      <c r="Q145" s="180" t="s">
        <v>8</v>
      </c>
      <c r="R145" s="181" t="s">
        <v>8</v>
      </c>
      <c r="S145" s="182" t="s">
        <v>8</v>
      </c>
      <c r="T145" s="180" t="s">
        <v>8</v>
      </c>
      <c r="U145" s="181" t="s">
        <v>8</v>
      </c>
      <c r="V145" s="182" t="s">
        <v>8</v>
      </c>
      <c r="W145" s="180">
        <v>105.48207025351341</v>
      </c>
      <c r="X145" s="181">
        <v>3.7052220000000002E-3</v>
      </c>
      <c r="Y145" s="181">
        <v>1.464018781129206E-2</v>
      </c>
      <c r="Z145" s="180" t="s">
        <v>8</v>
      </c>
      <c r="AA145" s="181" t="s">
        <v>8</v>
      </c>
      <c r="AB145" s="181" t="s">
        <v>8</v>
      </c>
      <c r="AC145" s="180" t="s">
        <v>8</v>
      </c>
      <c r="AD145" s="181" t="s">
        <v>8</v>
      </c>
      <c r="AE145" s="181" t="s">
        <v>8</v>
      </c>
      <c r="AF145" s="180" t="s">
        <v>8</v>
      </c>
      <c r="AG145" s="181" t="s">
        <v>8</v>
      </c>
      <c r="AH145" s="181" t="s">
        <v>8</v>
      </c>
      <c r="AI145" s="180" t="s">
        <v>8</v>
      </c>
      <c r="AJ145" s="181" t="s">
        <v>8</v>
      </c>
      <c r="AK145" s="185" t="s">
        <v>8</v>
      </c>
    </row>
    <row r="146" spans="1:37" s="184" customFormat="1" ht="15.75" customHeight="1">
      <c r="A146" s="179">
        <v>39295</v>
      </c>
      <c r="B146" s="180">
        <v>123.46756689666611</v>
      </c>
      <c r="C146" s="181">
        <v>1.7223889118865587E-3</v>
      </c>
      <c r="D146" s="181">
        <v>5.7627485429157632E-2</v>
      </c>
      <c r="E146" s="180">
        <v>127.68349968895743</v>
      </c>
      <c r="F146" s="181">
        <v>6.0422969895340996E-3</v>
      </c>
      <c r="G146" s="181">
        <v>6.2422741385524727E-2</v>
      </c>
      <c r="H146" s="180">
        <v>120.55237647259956</v>
      </c>
      <c r="I146" s="181">
        <v>-4.7554356204779543E-3</v>
      </c>
      <c r="J146" s="181">
        <v>4.2929896699350767E-2</v>
      </c>
      <c r="K146" s="180">
        <v>126.74234189156164</v>
      </c>
      <c r="L146" s="181">
        <v>8.4191235869023988E-3</v>
      </c>
      <c r="M146" s="181">
        <v>7.9327217803964789E-2</v>
      </c>
      <c r="N146" s="180">
        <v>131.63100943416069</v>
      </c>
      <c r="O146" s="181">
        <v>4.7638544497141198E-3</v>
      </c>
      <c r="P146" s="181">
        <v>0.12373162982667529</v>
      </c>
      <c r="Q146" s="180" t="s">
        <v>8</v>
      </c>
      <c r="R146" s="181" t="s">
        <v>8</v>
      </c>
      <c r="S146" s="182" t="s">
        <v>8</v>
      </c>
      <c r="T146" s="180" t="s">
        <v>8</v>
      </c>
      <c r="U146" s="181" t="s">
        <v>8</v>
      </c>
      <c r="V146" s="182" t="s">
        <v>8</v>
      </c>
      <c r="W146" s="180">
        <v>105.89683060592546</v>
      </c>
      <c r="X146" s="181">
        <v>3.9320459999999998E-3</v>
      </c>
      <c r="Y146" s="181">
        <v>1.2957667273491902E-2</v>
      </c>
      <c r="Z146" s="180" t="s">
        <v>8</v>
      </c>
      <c r="AA146" s="181" t="s">
        <v>8</v>
      </c>
      <c r="AB146" s="181" t="s">
        <v>8</v>
      </c>
      <c r="AC146" s="180" t="s">
        <v>8</v>
      </c>
      <c r="AD146" s="181" t="s">
        <v>8</v>
      </c>
      <c r="AE146" s="181" t="s">
        <v>8</v>
      </c>
      <c r="AF146" s="180" t="s">
        <v>8</v>
      </c>
      <c r="AG146" s="181" t="s">
        <v>8</v>
      </c>
      <c r="AH146" s="181" t="s">
        <v>8</v>
      </c>
      <c r="AI146" s="180" t="s">
        <v>8</v>
      </c>
      <c r="AJ146" s="181" t="s">
        <v>8</v>
      </c>
      <c r="AK146" s="185" t="s">
        <v>8</v>
      </c>
    </row>
    <row r="147" spans="1:37" s="184" customFormat="1" ht="15.75" customHeight="1">
      <c r="A147" s="179">
        <v>39326</v>
      </c>
      <c r="B147" s="180">
        <v>124.06005669979596</v>
      </c>
      <c r="C147" s="181">
        <v>4.7987485136539478E-3</v>
      </c>
      <c r="D147" s="181">
        <v>5.8679790548774813E-2</v>
      </c>
      <c r="E147" s="180">
        <v>128.64658915616553</v>
      </c>
      <c r="F147" s="181">
        <v>7.5427872008069089E-3</v>
      </c>
      <c r="G147" s="181">
        <v>4.7941993224110746E-2</v>
      </c>
      <c r="H147" s="180">
        <v>121.27312471390789</v>
      </c>
      <c r="I147" s="181">
        <v>5.9787145006813926E-3</v>
      </c>
      <c r="J147" s="181">
        <v>3.8469045625993736E-2</v>
      </c>
      <c r="K147" s="180">
        <v>126.14523236898968</v>
      </c>
      <c r="L147" s="181">
        <v>-4.7112079014827038E-3</v>
      </c>
      <c r="M147" s="181">
        <v>6.5716550483295055E-2</v>
      </c>
      <c r="N147" s="180">
        <v>133.2093899945165</v>
      </c>
      <c r="O147" s="181">
        <v>1.1990947780016003E-2</v>
      </c>
      <c r="P147" s="181">
        <v>0.12706267306112906</v>
      </c>
      <c r="Q147" s="180" t="s">
        <v>8</v>
      </c>
      <c r="R147" s="181" t="s">
        <v>8</v>
      </c>
      <c r="S147" s="182" t="s">
        <v>8</v>
      </c>
      <c r="T147" s="180" t="s">
        <v>8</v>
      </c>
      <c r="U147" s="181" t="s">
        <v>8</v>
      </c>
      <c r="V147" s="182" t="s">
        <v>8</v>
      </c>
      <c r="W147" s="180">
        <v>106.7378278650563</v>
      </c>
      <c r="X147" s="181">
        <v>7.941666E-3</v>
      </c>
      <c r="Y147" s="181">
        <v>1.4091843730141385E-2</v>
      </c>
      <c r="Z147" s="180" t="s">
        <v>8</v>
      </c>
      <c r="AA147" s="181" t="s">
        <v>8</v>
      </c>
      <c r="AB147" s="181" t="s">
        <v>8</v>
      </c>
      <c r="AC147" s="180" t="s">
        <v>8</v>
      </c>
      <c r="AD147" s="181" t="s">
        <v>8</v>
      </c>
      <c r="AE147" s="181" t="s">
        <v>8</v>
      </c>
      <c r="AF147" s="180" t="s">
        <v>8</v>
      </c>
      <c r="AG147" s="181" t="s">
        <v>8</v>
      </c>
      <c r="AH147" s="181" t="s">
        <v>8</v>
      </c>
      <c r="AI147" s="180" t="s">
        <v>8</v>
      </c>
      <c r="AJ147" s="181" t="s">
        <v>8</v>
      </c>
      <c r="AK147" s="185" t="s">
        <v>8</v>
      </c>
    </row>
    <row r="148" spans="1:37" s="184" customFormat="1" ht="15.75" customHeight="1">
      <c r="A148" s="179">
        <v>39356</v>
      </c>
      <c r="B148" s="180">
        <v>124.87705274599134</v>
      </c>
      <c r="C148" s="181">
        <v>6.5854882540668444E-3</v>
      </c>
      <c r="D148" s="181">
        <v>5.8277737077949254E-2</v>
      </c>
      <c r="E148" s="180">
        <v>130.68078483512394</v>
      </c>
      <c r="F148" s="181">
        <v>1.5812278368990192E-2</v>
      </c>
      <c r="G148" s="181">
        <v>6.207700352412715E-2</v>
      </c>
      <c r="H148" s="180">
        <v>122.14361229523526</v>
      </c>
      <c r="I148" s="181">
        <v>7.1779100553474029E-3</v>
      </c>
      <c r="J148" s="181">
        <v>4.1234584810102337E-2</v>
      </c>
      <c r="K148" s="180">
        <v>127.58996199479893</v>
      </c>
      <c r="L148" s="181">
        <v>1.1452907087152044E-2</v>
      </c>
      <c r="M148" s="181">
        <v>6.6203194302051793E-2</v>
      </c>
      <c r="N148" s="180">
        <v>134.35101424880185</v>
      </c>
      <c r="O148" s="181">
        <v>8.5701485032873195E-3</v>
      </c>
      <c r="P148" s="181">
        <v>0.13365212870466348</v>
      </c>
      <c r="Q148" s="180" t="s">
        <v>8</v>
      </c>
      <c r="R148" s="181" t="s">
        <v>8</v>
      </c>
      <c r="S148" s="182" t="s">
        <v>8</v>
      </c>
      <c r="T148" s="180" t="s">
        <v>8</v>
      </c>
      <c r="U148" s="181" t="s">
        <v>8</v>
      </c>
      <c r="V148" s="182" t="s">
        <v>8</v>
      </c>
      <c r="W148" s="180">
        <v>107.10597591955391</v>
      </c>
      <c r="X148" s="181">
        <v>3.449087E-3</v>
      </c>
      <c r="Y148" s="181">
        <v>1.5331937055790057E-2</v>
      </c>
      <c r="Z148" s="180" t="s">
        <v>8</v>
      </c>
      <c r="AA148" s="181" t="s">
        <v>8</v>
      </c>
      <c r="AB148" s="181" t="s">
        <v>8</v>
      </c>
      <c r="AC148" s="180" t="s">
        <v>8</v>
      </c>
      <c r="AD148" s="181" t="s">
        <v>8</v>
      </c>
      <c r="AE148" s="181" t="s">
        <v>8</v>
      </c>
      <c r="AF148" s="180" t="s">
        <v>8</v>
      </c>
      <c r="AG148" s="181" t="s">
        <v>8</v>
      </c>
      <c r="AH148" s="181" t="s">
        <v>8</v>
      </c>
      <c r="AI148" s="180" t="s">
        <v>8</v>
      </c>
      <c r="AJ148" s="181" t="s">
        <v>8</v>
      </c>
      <c r="AK148" s="185" t="s">
        <v>8</v>
      </c>
    </row>
    <row r="149" spans="1:37" s="184" customFormat="1" ht="15.75" customHeight="1">
      <c r="A149" s="179">
        <v>39387</v>
      </c>
      <c r="B149" s="180">
        <v>126.00530169345733</v>
      </c>
      <c r="C149" s="181">
        <v>9.0348780873370071E-3</v>
      </c>
      <c r="D149" s="181">
        <v>5.9432679237463759E-2</v>
      </c>
      <c r="E149" s="180">
        <v>131.82384962087684</v>
      </c>
      <c r="F149" s="181">
        <v>8.7469997000329206E-3</v>
      </c>
      <c r="G149" s="181">
        <v>6.1739195550990944E-2</v>
      </c>
      <c r="H149" s="180">
        <v>122.04395453908968</v>
      </c>
      <c r="I149" s="181">
        <v>-8.1590640945423563E-4</v>
      </c>
      <c r="J149" s="181">
        <v>3.3622308568682646E-2</v>
      </c>
      <c r="K149" s="180">
        <v>128.90787998322392</v>
      </c>
      <c r="L149" s="181">
        <v>1.0329323465733984E-2</v>
      </c>
      <c r="M149" s="181">
        <v>6.866701584940138E-2</v>
      </c>
      <c r="N149" s="180">
        <v>136.81302465218255</v>
      </c>
      <c r="O149" s="181">
        <v>1.8325208910007634E-2</v>
      </c>
      <c r="P149" s="181">
        <v>0.15558212291736861</v>
      </c>
      <c r="Q149" s="180" t="s">
        <v>8</v>
      </c>
      <c r="R149" s="181" t="s">
        <v>8</v>
      </c>
      <c r="S149" s="182" t="s">
        <v>8</v>
      </c>
      <c r="T149" s="180" t="s">
        <v>8</v>
      </c>
      <c r="U149" s="181" t="s">
        <v>8</v>
      </c>
      <c r="V149" s="182" t="s">
        <v>8</v>
      </c>
      <c r="W149" s="180">
        <v>107.40234361732809</v>
      </c>
      <c r="X149" s="181">
        <v>2.767051E-3</v>
      </c>
      <c r="Y149" s="181">
        <v>1.2693671261522432E-2</v>
      </c>
      <c r="Z149" s="180" t="s">
        <v>8</v>
      </c>
      <c r="AA149" s="181" t="s">
        <v>8</v>
      </c>
      <c r="AB149" s="181" t="s">
        <v>8</v>
      </c>
      <c r="AC149" s="180" t="s">
        <v>8</v>
      </c>
      <c r="AD149" s="181" t="s">
        <v>8</v>
      </c>
      <c r="AE149" s="181" t="s">
        <v>8</v>
      </c>
      <c r="AF149" s="180" t="s">
        <v>8</v>
      </c>
      <c r="AG149" s="181" t="s">
        <v>8</v>
      </c>
      <c r="AH149" s="181" t="s">
        <v>8</v>
      </c>
      <c r="AI149" s="180" t="s">
        <v>8</v>
      </c>
      <c r="AJ149" s="181" t="s">
        <v>8</v>
      </c>
      <c r="AK149" s="185" t="s">
        <v>8</v>
      </c>
    </row>
    <row r="150" spans="1:37" s="184" customFormat="1" ht="15.75" customHeight="1">
      <c r="A150" s="179">
        <v>39417</v>
      </c>
      <c r="B150" s="180">
        <v>125.77095503668241</v>
      </c>
      <c r="C150" s="181">
        <v>-1.8598158460429758E-3</v>
      </c>
      <c r="D150" s="181">
        <v>5.3249332223906487E-2</v>
      </c>
      <c r="E150" s="180">
        <v>132.21069611787672</v>
      </c>
      <c r="F150" s="181">
        <v>2.9345713853179954E-3</v>
      </c>
      <c r="G150" s="181">
        <v>7.1282640858073787E-2</v>
      </c>
      <c r="H150" s="180">
        <v>122.01634073761299</v>
      </c>
      <c r="I150" s="181">
        <v>-2.262611169965092E-4</v>
      </c>
      <c r="J150" s="181">
        <v>3.065891454132208E-2</v>
      </c>
      <c r="K150" s="180">
        <v>127.8100038160006</v>
      </c>
      <c r="L150" s="181">
        <v>-8.5167498477686822E-3</v>
      </c>
      <c r="M150" s="181">
        <v>5.2269428497728532E-2</v>
      </c>
      <c r="N150" s="180">
        <v>137.80092876986328</v>
      </c>
      <c r="O150" s="181">
        <v>7.2208338364879564E-3</v>
      </c>
      <c r="P150" s="181">
        <v>0.14816540803868294</v>
      </c>
      <c r="Q150" s="180" t="s">
        <v>8</v>
      </c>
      <c r="R150" s="181" t="s">
        <v>8</v>
      </c>
      <c r="S150" s="182" t="s">
        <v>8</v>
      </c>
      <c r="T150" s="180" t="s">
        <v>8</v>
      </c>
      <c r="U150" s="181" t="s">
        <v>8</v>
      </c>
      <c r="V150" s="182" t="s">
        <v>8</v>
      </c>
      <c r="W150" s="180">
        <v>107.84242104616408</v>
      </c>
      <c r="X150" s="181">
        <v>4.097465790913973E-3</v>
      </c>
      <c r="Y150" s="181">
        <v>2.9608815613099582E-2</v>
      </c>
      <c r="Z150" s="180" t="s">
        <v>8</v>
      </c>
      <c r="AA150" s="181" t="s">
        <v>8</v>
      </c>
      <c r="AB150" s="181" t="s">
        <v>8</v>
      </c>
      <c r="AC150" s="180" t="s">
        <v>8</v>
      </c>
      <c r="AD150" s="181" t="s">
        <v>8</v>
      </c>
      <c r="AE150" s="181" t="s">
        <v>8</v>
      </c>
      <c r="AF150" s="180" t="s">
        <v>8</v>
      </c>
      <c r="AG150" s="181" t="s">
        <v>8</v>
      </c>
      <c r="AH150" s="181" t="s">
        <v>8</v>
      </c>
      <c r="AI150" s="180" t="s">
        <v>8</v>
      </c>
      <c r="AJ150" s="181" t="s">
        <v>8</v>
      </c>
      <c r="AK150" s="185" t="s">
        <v>8</v>
      </c>
    </row>
    <row r="151" spans="1:37" s="184" customFormat="1" ht="15.75" customHeight="1">
      <c r="A151" s="179">
        <v>39448</v>
      </c>
      <c r="B151" s="180">
        <v>126.23005886528647</v>
      </c>
      <c r="C151" s="181">
        <v>3.6503167879274345E-3</v>
      </c>
      <c r="D151" s="181">
        <v>5.2479898198621422E-2</v>
      </c>
      <c r="E151" s="180">
        <v>131.46982599505614</v>
      </c>
      <c r="F151" s="181">
        <v>-5.6037079039356107E-3</v>
      </c>
      <c r="G151" s="181">
        <v>7.1910681494060658E-2</v>
      </c>
      <c r="H151" s="180">
        <v>122.89765829558166</v>
      </c>
      <c r="I151" s="181">
        <v>7.2229469646517639E-3</v>
      </c>
      <c r="J151" s="181">
        <v>4.1192312342089865E-2</v>
      </c>
      <c r="K151" s="180">
        <v>127.80042416995144</v>
      </c>
      <c r="L151" s="181">
        <v>-7.4952239755425864E-5</v>
      </c>
      <c r="M151" s="181">
        <v>3.378597365567404E-2</v>
      </c>
      <c r="N151" s="180">
        <v>137.61602406215687</v>
      </c>
      <c r="O151" s="181">
        <v>-1.341824829172329E-3</v>
      </c>
      <c r="P151" s="181">
        <v>0.15087533626067984</v>
      </c>
      <c r="Q151" s="180" t="s">
        <v>8</v>
      </c>
      <c r="R151" s="181" t="s">
        <v>8</v>
      </c>
      <c r="S151" s="182" t="s">
        <v>8</v>
      </c>
      <c r="T151" s="180" t="s">
        <v>8</v>
      </c>
      <c r="U151" s="181" t="s">
        <v>8</v>
      </c>
      <c r="V151" s="182" t="s">
        <v>8</v>
      </c>
      <c r="W151" s="180">
        <v>108.0494353576043</v>
      </c>
      <c r="X151" s="181">
        <v>1.9195999999999998E-3</v>
      </c>
      <c r="Y151" s="181">
        <v>3.1789532887545491E-2</v>
      </c>
      <c r="Z151" s="180" t="s">
        <v>8</v>
      </c>
      <c r="AA151" s="181" t="s">
        <v>8</v>
      </c>
      <c r="AB151" s="181" t="s">
        <v>8</v>
      </c>
      <c r="AC151" s="180" t="s">
        <v>8</v>
      </c>
      <c r="AD151" s="181" t="s">
        <v>8</v>
      </c>
      <c r="AE151" s="181" t="s">
        <v>8</v>
      </c>
      <c r="AF151" s="180" t="s">
        <v>8</v>
      </c>
      <c r="AG151" s="181" t="s">
        <v>8</v>
      </c>
      <c r="AH151" s="181" t="s">
        <v>8</v>
      </c>
      <c r="AI151" s="180" t="s">
        <v>8</v>
      </c>
      <c r="AJ151" s="181" t="s">
        <v>8</v>
      </c>
      <c r="AK151" s="185" t="s">
        <v>8</v>
      </c>
    </row>
    <row r="152" spans="1:37" s="184" customFormat="1" ht="15.75" customHeight="1">
      <c r="A152" s="179">
        <v>39479</v>
      </c>
      <c r="B152" s="180">
        <v>126.72239039769816</v>
      </c>
      <c r="C152" s="181">
        <v>3.9002717485628045E-3</v>
      </c>
      <c r="D152" s="181">
        <v>5.3457201306896129E-2</v>
      </c>
      <c r="E152" s="180">
        <v>130.78315573448654</v>
      </c>
      <c r="F152" s="181">
        <v>-5.2230255526116666E-3</v>
      </c>
      <c r="G152" s="181">
        <v>6.5208696371172215E-2</v>
      </c>
      <c r="H152" s="180">
        <v>123.52101229791383</v>
      </c>
      <c r="I152" s="181">
        <v>5.0721389730056556E-3</v>
      </c>
      <c r="J152" s="181">
        <v>3.6597785404071104E-2</v>
      </c>
      <c r="K152" s="180">
        <v>131.16934006473693</v>
      </c>
      <c r="L152" s="181">
        <v>2.6360756755435012E-2</v>
      </c>
      <c r="M152" s="181">
        <v>4.536993630957098E-2</v>
      </c>
      <c r="N152" s="180">
        <v>142.74042285496103</v>
      </c>
      <c r="O152" s="181">
        <v>3.723693390887111E-2</v>
      </c>
      <c r="P152" s="181">
        <v>0.18307002801560479</v>
      </c>
      <c r="Q152" s="180" t="s">
        <v>8</v>
      </c>
      <c r="R152" s="181" t="s">
        <v>8</v>
      </c>
      <c r="S152" s="182" t="s">
        <v>8</v>
      </c>
      <c r="T152" s="180" t="s">
        <v>8</v>
      </c>
      <c r="U152" s="181" t="s">
        <v>8</v>
      </c>
      <c r="V152" s="182" t="s">
        <v>8</v>
      </c>
      <c r="W152" s="180">
        <v>108.58509064948849</v>
      </c>
      <c r="X152" s="181">
        <v>4.9575019999999999E-3</v>
      </c>
      <c r="Y152" s="181">
        <v>1.2469658449309362E-2</v>
      </c>
      <c r="Z152" s="180" t="s">
        <v>8</v>
      </c>
      <c r="AA152" s="181" t="s">
        <v>8</v>
      </c>
      <c r="AB152" s="181" t="s">
        <v>8</v>
      </c>
      <c r="AC152" s="180" t="s">
        <v>8</v>
      </c>
      <c r="AD152" s="181" t="s">
        <v>8</v>
      </c>
      <c r="AE152" s="181" t="s">
        <v>8</v>
      </c>
      <c r="AF152" s="180" t="s">
        <v>8</v>
      </c>
      <c r="AG152" s="181" t="s">
        <v>8</v>
      </c>
      <c r="AH152" s="181" t="s">
        <v>8</v>
      </c>
      <c r="AI152" s="180" t="s">
        <v>8</v>
      </c>
      <c r="AJ152" s="181" t="s">
        <v>8</v>
      </c>
      <c r="AK152" s="185" t="s">
        <v>8</v>
      </c>
    </row>
    <row r="153" spans="1:37" s="184" customFormat="1" ht="15.75" customHeight="1">
      <c r="A153" s="179">
        <v>39508</v>
      </c>
      <c r="B153" s="180">
        <v>126.95309916531585</v>
      </c>
      <c r="C153" s="181">
        <v>1.820584088523245E-3</v>
      </c>
      <c r="D153" s="181">
        <v>5.0517251505533434E-2</v>
      </c>
      <c r="E153" s="180">
        <v>132.1984652099618</v>
      </c>
      <c r="F153" s="181">
        <v>1.082180245251604E-2</v>
      </c>
      <c r="G153" s="181">
        <v>5.6417965027347972E-2</v>
      </c>
      <c r="H153" s="180">
        <v>123.79142971557542</v>
      </c>
      <c r="I153" s="181">
        <v>2.1892422400925991E-3</v>
      </c>
      <c r="J153" s="181">
        <v>3.2710065115202802E-2</v>
      </c>
      <c r="K153" s="180">
        <v>131.62614198638707</v>
      </c>
      <c r="L153" s="181">
        <v>3.4825357924700472E-3</v>
      </c>
      <c r="M153" s="181">
        <v>3.1495003304278013E-2</v>
      </c>
      <c r="N153" s="180">
        <v>143.396055638966</v>
      </c>
      <c r="O153" s="181">
        <v>4.5931823017728709E-3</v>
      </c>
      <c r="P153" s="181">
        <v>0.17517925536693157</v>
      </c>
      <c r="Q153" s="180" t="s">
        <v>8</v>
      </c>
      <c r="R153" s="181" t="s">
        <v>8</v>
      </c>
      <c r="S153" s="182" t="s">
        <v>8</v>
      </c>
      <c r="T153" s="180" t="s">
        <v>8</v>
      </c>
      <c r="U153" s="181" t="s">
        <v>8</v>
      </c>
      <c r="V153" s="182" t="s">
        <v>8</v>
      </c>
      <c r="W153" s="180">
        <v>108.66827327888039</v>
      </c>
      <c r="X153" s="181">
        <v>7.6605939999999995E-4</v>
      </c>
      <c r="Y153" s="181">
        <v>1.7639252447744003E-2</v>
      </c>
      <c r="Z153" s="180" t="s">
        <v>8</v>
      </c>
      <c r="AA153" s="181" t="s">
        <v>8</v>
      </c>
      <c r="AB153" s="181" t="s">
        <v>8</v>
      </c>
      <c r="AC153" s="180" t="s">
        <v>8</v>
      </c>
      <c r="AD153" s="181" t="s">
        <v>8</v>
      </c>
      <c r="AE153" s="181" t="s">
        <v>8</v>
      </c>
      <c r="AF153" s="180" t="s">
        <v>8</v>
      </c>
      <c r="AG153" s="181" t="s">
        <v>8</v>
      </c>
      <c r="AH153" s="181" t="s">
        <v>8</v>
      </c>
      <c r="AI153" s="180" t="s">
        <v>8</v>
      </c>
      <c r="AJ153" s="181" t="s">
        <v>8</v>
      </c>
      <c r="AK153" s="185" t="s">
        <v>8</v>
      </c>
    </row>
    <row r="154" spans="1:37" s="184" customFormat="1" ht="15.75" customHeight="1">
      <c r="A154" s="179">
        <v>39539</v>
      </c>
      <c r="B154" s="180">
        <v>128.22391728283699</v>
      </c>
      <c r="C154" s="181">
        <v>1.0010138593515521E-2</v>
      </c>
      <c r="D154" s="181">
        <v>5.7226395329026625E-2</v>
      </c>
      <c r="E154" s="180">
        <v>131.48134684967087</v>
      </c>
      <c r="F154" s="181">
        <v>-5.424558894477194E-3</v>
      </c>
      <c r="G154" s="181">
        <v>4.826643760296867E-2</v>
      </c>
      <c r="H154" s="180">
        <v>124.22219806480608</v>
      </c>
      <c r="I154" s="181">
        <v>3.4797913734448162E-3</v>
      </c>
      <c r="J154" s="181">
        <v>4.1058253209366624E-2</v>
      </c>
      <c r="K154" s="180">
        <v>129.89904237795841</v>
      </c>
      <c r="L154" s="181">
        <v>-1.3121250705709202E-2</v>
      </c>
      <c r="M154" s="181">
        <v>2.0842900358653882E-2</v>
      </c>
      <c r="N154" s="180">
        <v>143.57017003968377</v>
      </c>
      <c r="O154" s="181">
        <v>1.2142202931729074E-3</v>
      </c>
      <c r="P154" s="181">
        <v>0.16546896680857826</v>
      </c>
      <c r="Q154" s="180" t="s">
        <v>8</v>
      </c>
      <c r="R154" s="181" t="s">
        <v>8</v>
      </c>
      <c r="S154" s="182" t="s">
        <v>8</v>
      </c>
      <c r="T154" s="180" t="s">
        <v>8</v>
      </c>
      <c r="U154" s="181" t="s">
        <v>8</v>
      </c>
      <c r="V154" s="182" t="s">
        <v>8</v>
      </c>
      <c r="W154" s="180">
        <v>109.277830353578</v>
      </c>
      <c r="X154" s="181">
        <v>5.6093380000000002E-3</v>
      </c>
      <c r="Y154" s="181">
        <v>3.0580264761033815E-2</v>
      </c>
      <c r="Z154" s="180" t="s">
        <v>8</v>
      </c>
      <c r="AA154" s="181" t="s">
        <v>8</v>
      </c>
      <c r="AB154" s="181" t="s">
        <v>8</v>
      </c>
      <c r="AC154" s="180" t="s">
        <v>8</v>
      </c>
      <c r="AD154" s="181" t="s">
        <v>8</v>
      </c>
      <c r="AE154" s="181" t="s">
        <v>8</v>
      </c>
      <c r="AF154" s="180" t="s">
        <v>8</v>
      </c>
      <c r="AG154" s="181" t="s">
        <v>8</v>
      </c>
      <c r="AH154" s="181" t="s">
        <v>8</v>
      </c>
      <c r="AI154" s="180" t="s">
        <v>8</v>
      </c>
      <c r="AJ154" s="181" t="s">
        <v>8</v>
      </c>
      <c r="AK154" s="185" t="s">
        <v>8</v>
      </c>
    </row>
    <row r="155" spans="1:37" s="184" customFormat="1" ht="15.75" customHeight="1">
      <c r="A155" s="179">
        <v>39569</v>
      </c>
      <c r="B155" s="180">
        <v>129.23932928956199</v>
      </c>
      <c r="C155" s="181">
        <v>7.9190530771664977E-3</v>
      </c>
      <c r="D155" s="181">
        <v>5.8109774125400637E-2</v>
      </c>
      <c r="E155" s="180">
        <v>131.54345263526568</v>
      </c>
      <c r="F155" s="181">
        <v>4.7235434594245618E-4</v>
      </c>
      <c r="G155" s="181">
        <v>4.441734494745142E-2</v>
      </c>
      <c r="H155" s="180">
        <v>124.64436259270374</v>
      </c>
      <c r="I155" s="181">
        <v>3.3984628711643959E-3</v>
      </c>
      <c r="J155" s="181">
        <v>3.6726683706140184E-2</v>
      </c>
      <c r="K155" s="180">
        <v>127.760181820139</v>
      </c>
      <c r="L155" s="181">
        <v>-1.6465560628200159E-2</v>
      </c>
      <c r="M155" s="181">
        <v>1.722650033574058E-2</v>
      </c>
      <c r="N155" s="180">
        <v>142.77778314191059</v>
      </c>
      <c r="O155" s="181">
        <v>-5.5191611011824104E-3</v>
      </c>
      <c r="P155" s="181">
        <v>0.12611753221519062</v>
      </c>
      <c r="Q155" s="180" t="s">
        <v>8</v>
      </c>
      <c r="R155" s="181" t="s">
        <v>8</v>
      </c>
      <c r="S155" s="182" t="s">
        <v>8</v>
      </c>
      <c r="T155" s="180" t="s">
        <v>8</v>
      </c>
      <c r="U155" s="181" t="s">
        <v>8</v>
      </c>
      <c r="V155" s="182" t="s">
        <v>8</v>
      </c>
      <c r="W155" s="180">
        <v>108.97899504613555</v>
      </c>
      <c r="X155" s="181">
        <v>-2.7346379999999997E-3</v>
      </c>
      <c r="Y155" s="181">
        <v>3.2231093842621128E-2</v>
      </c>
      <c r="Z155" s="180" t="s">
        <v>8</v>
      </c>
      <c r="AA155" s="181" t="s">
        <v>8</v>
      </c>
      <c r="AB155" s="181" t="s">
        <v>8</v>
      </c>
      <c r="AC155" s="180" t="s">
        <v>8</v>
      </c>
      <c r="AD155" s="181" t="s">
        <v>8</v>
      </c>
      <c r="AE155" s="181" t="s">
        <v>8</v>
      </c>
      <c r="AF155" s="180" t="s">
        <v>8</v>
      </c>
      <c r="AG155" s="181" t="s">
        <v>8</v>
      </c>
      <c r="AH155" s="181" t="s">
        <v>8</v>
      </c>
      <c r="AI155" s="180" t="s">
        <v>8</v>
      </c>
      <c r="AJ155" s="181" t="s">
        <v>8</v>
      </c>
      <c r="AK155" s="185" t="s">
        <v>8</v>
      </c>
    </row>
    <row r="156" spans="1:37" s="184" customFormat="1" ht="15.75" customHeight="1">
      <c r="A156" s="179">
        <v>39600</v>
      </c>
      <c r="B156" s="180">
        <v>129.55203175508603</v>
      </c>
      <c r="C156" s="181">
        <v>2.4195611911868877E-3</v>
      </c>
      <c r="D156" s="181">
        <v>5.6369160896793336E-2</v>
      </c>
      <c r="E156" s="180">
        <v>131.35107554442914</v>
      </c>
      <c r="F156" s="181">
        <v>-1.462460403635295E-3</v>
      </c>
      <c r="G156" s="181">
        <v>3.7903600496528522E-2</v>
      </c>
      <c r="H156" s="180">
        <v>124.81888534745862</v>
      </c>
      <c r="I156" s="181">
        <v>1.4001656482865777E-3</v>
      </c>
      <c r="J156" s="181">
        <v>3.73296404057748E-2</v>
      </c>
      <c r="K156" s="180">
        <v>127.20766513380602</v>
      </c>
      <c r="L156" s="181">
        <v>-4.3246391673958098E-3</v>
      </c>
      <c r="M156" s="181">
        <v>9.8386833995323109E-3</v>
      </c>
      <c r="N156" s="180">
        <v>142.99435806216474</v>
      </c>
      <c r="O156" s="181">
        <v>1.5168670887604251E-3</v>
      </c>
      <c r="P156" s="181">
        <v>0.10294957569142915</v>
      </c>
      <c r="Q156" s="180" t="s">
        <v>8</v>
      </c>
      <c r="R156" s="181" t="s">
        <v>8</v>
      </c>
      <c r="S156" s="182" t="s">
        <v>8</v>
      </c>
      <c r="T156" s="180" t="s">
        <v>8</v>
      </c>
      <c r="U156" s="181" t="s">
        <v>8</v>
      </c>
      <c r="V156" s="182" t="s">
        <v>8</v>
      </c>
      <c r="W156" s="180">
        <v>108.47836243463783</v>
      </c>
      <c r="X156" s="181">
        <v>-4.593845E-3</v>
      </c>
      <c r="Y156" s="181">
        <v>3.2216172738873894E-2</v>
      </c>
      <c r="Z156" s="180" t="s">
        <v>8</v>
      </c>
      <c r="AA156" s="181" t="s">
        <v>8</v>
      </c>
      <c r="AB156" s="181" t="s">
        <v>8</v>
      </c>
      <c r="AC156" s="180" t="s">
        <v>8</v>
      </c>
      <c r="AD156" s="181" t="s">
        <v>8</v>
      </c>
      <c r="AE156" s="181" t="s">
        <v>8</v>
      </c>
      <c r="AF156" s="180" t="s">
        <v>8</v>
      </c>
      <c r="AG156" s="181" t="s">
        <v>8</v>
      </c>
      <c r="AH156" s="181" t="s">
        <v>8</v>
      </c>
      <c r="AI156" s="180" t="s">
        <v>8</v>
      </c>
      <c r="AJ156" s="181" t="s">
        <v>8</v>
      </c>
      <c r="AK156" s="185" t="s">
        <v>8</v>
      </c>
    </row>
    <row r="157" spans="1:37" s="184" customFormat="1" ht="15.75" customHeight="1">
      <c r="A157" s="179">
        <v>39630</v>
      </c>
      <c r="B157" s="180">
        <v>130.17952852218104</v>
      </c>
      <c r="C157" s="181">
        <v>4.8435887773745547E-3</v>
      </c>
      <c r="D157" s="181">
        <v>5.6178165459446205E-2</v>
      </c>
      <c r="E157" s="180">
        <v>131.53089406146563</v>
      </c>
      <c r="F157" s="181">
        <v>1.3689915845087252E-3</v>
      </c>
      <c r="G157" s="181">
        <v>3.635664051373122E-2</v>
      </c>
      <c r="H157" s="180">
        <v>125.99283226123251</v>
      </c>
      <c r="I157" s="181">
        <v>9.4052026703009117E-3</v>
      </c>
      <c r="J157" s="181">
        <v>4.0159349220903584E-2</v>
      </c>
      <c r="K157" s="180">
        <v>125.82059016652974</v>
      </c>
      <c r="L157" s="181">
        <v>-1.0904020334130396E-2</v>
      </c>
      <c r="M157" s="181">
        <v>1.0852519474100486E-3</v>
      </c>
      <c r="N157" s="180">
        <v>141.56197902148799</v>
      </c>
      <c r="O157" s="181">
        <v>-1.001703186117342E-2</v>
      </c>
      <c r="P157" s="181">
        <v>8.0568783120239962E-2</v>
      </c>
      <c r="Q157" s="180" t="s">
        <v>8</v>
      </c>
      <c r="R157" s="181" t="s">
        <v>8</v>
      </c>
      <c r="S157" s="182" t="s">
        <v>8</v>
      </c>
      <c r="T157" s="180" t="s">
        <v>8</v>
      </c>
      <c r="U157" s="181" t="s">
        <v>8</v>
      </c>
      <c r="V157" s="182" t="s">
        <v>8</v>
      </c>
      <c r="W157" s="180">
        <v>107.93527299811582</v>
      </c>
      <c r="X157" s="181">
        <v>-5.0064310000000004E-3</v>
      </c>
      <c r="Y157" s="181">
        <v>2.3257059125844082E-2</v>
      </c>
      <c r="Z157" s="180" t="s">
        <v>8</v>
      </c>
      <c r="AA157" s="181" t="s">
        <v>8</v>
      </c>
      <c r="AB157" s="181" t="s">
        <v>8</v>
      </c>
      <c r="AC157" s="180" t="s">
        <v>8</v>
      </c>
      <c r="AD157" s="181" t="s">
        <v>8</v>
      </c>
      <c r="AE157" s="181" t="s">
        <v>8</v>
      </c>
      <c r="AF157" s="180" t="s">
        <v>8</v>
      </c>
      <c r="AG157" s="181" t="s">
        <v>8</v>
      </c>
      <c r="AH157" s="181" t="s">
        <v>8</v>
      </c>
      <c r="AI157" s="180" t="s">
        <v>8</v>
      </c>
      <c r="AJ157" s="181" t="s">
        <v>8</v>
      </c>
      <c r="AK157" s="185" t="s">
        <v>8</v>
      </c>
    </row>
    <row r="158" spans="1:37" s="184" customFormat="1" ht="15.75" customHeight="1">
      <c r="A158" s="179">
        <v>39661</v>
      </c>
      <c r="B158" s="180">
        <v>130.26959713911177</v>
      </c>
      <c r="C158" s="181">
        <v>6.9188003638669842E-4</v>
      </c>
      <c r="D158" s="181">
        <v>5.5091635912275505E-2</v>
      </c>
      <c r="E158" s="180">
        <v>131.66839888595135</v>
      </c>
      <c r="F158" s="181">
        <v>1.0454184582784709E-3</v>
      </c>
      <c r="G158" s="181">
        <v>3.1209194662593864E-2</v>
      </c>
      <c r="H158" s="180">
        <v>126.18199720914446</v>
      </c>
      <c r="I158" s="181">
        <v>1.5013945199655997E-3</v>
      </c>
      <c r="J158" s="181">
        <v>4.6698546318781675E-2</v>
      </c>
      <c r="K158" s="180">
        <v>125.82080031345488</v>
      </c>
      <c r="L158" s="181">
        <v>1.6702109317101588E-6</v>
      </c>
      <c r="M158" s="181">
        <v>-7.2709843005362984E-3</v>
      </c>
      <c r="N158" s="180">
        <v>140.50464294332113</v>
      </c>
      <c r="O158" s="181">
        <v>-7.4690682164478914E-3</v>
      </c>
      <c r="P158" s="181">
        <v>6.741294127656805E-2</v>
      </c>
      <c r="Q158" s="180" t="s">
        <v>8</v>
      </c>
      <c r="R158" s="181" t="s">
        <v>8</v>
      </c>
      <c r="S158" s="182" t="s">
        <v>8</v>
      </c>
      <c r="T158" s="180">
        <v>100</v>
      </c>
      <c r="U158" s="181"/>
      <c r="V158" s="182"/>
      <c r="W158" s="180">
        <v>107.97511484321885</v>
      </c>
      <c r="X158" s="181">
        <v>3.6912720000000003E-4</v>
      </c>
      <c r="Y158" s="181">
        <v>1.9625556547837819E-2</v>
      </c>
      <c r="Z158" s="180" t="s">
        <v>8</v>
      </c>
      <c r="AA158" s="181" t="s">
        <v>8</v>
      </c>
      <c r="AB158" s="181" t="s">
        <v>8</v>
      </c>
      <c r="AC158" s="180" t="s">
        <v>8</v>
      </c>
      <c r="AD158" s="181" t="s">
        <v>8</v>
      </c>
      <c r="AE158" s="181" t="s">
        <v>8</v>
      </c>
      <c r="AF158" s="180" t="s">
        <v>8</v>
      </c>
      <c r="AG158" s="181" t="s">
        <v>8</v>
      </c>
      <c r="AH158" s="181" t="s">
        <v>8</v>
      </c>
      <c r="AI158" s="180" t="s">
        <v>8</v>
      </c>
      <c r="AJ158" s="181" t="s">
        <v>8</v>
      </c>
      <c r="AK158" s="185" t="s">
        <v>8</v>
      </c>
    </row>
    <row r="159" spans="1:37" s="184" customFormat="1" ht="15.75" customHeight="1">
      <c r="A159" s="179">
        <v>39692</v>
      </c>
      <c r="B159" s="180">
        <v>130.44529402202289</v>
      </c>
      <c r="C159" s="181">
        <v>1.3487174810521152E-3</v>
      </c>
      <c r="D159" s="181">
        <v>5.1468921521437894E-2</v>
      </c>
      <c r="E159" s="180">
        <v>131.79772780320923</v>
      </c>
      <c r="F159" s="181">
        <v>9.8223201886060273E-4</v>
      </c>
      <c r="G159" s="181">
        <v>2.4494537070224975E-2</v>
      </c>
      <c r="H159" s="180">
        <v>126.21657325443087</v>
      </c>
      <c r="I159" s="181">
        <v>2.7401726118746693E-4</v>
      </c>
      <c r="J159" s="181">
        <v>4.0762935334476946E-2</v>
      </c>
      <c r="K159" s="180">
        <v>127.00016955342997</v>
      </c>
      <c r="L159" s="181">
        <v>9.3734043738153121E-3</v>
      </c>
      <c r="M159" s="181">
        <v>6.7774038573213957E-3</v>
      </c>
      <c r="N159" s="180">
        <v>140.64437684763419</v>
      </c>
      <c r="O159" s="181">
        <v>9.9451449707198335E-4</v>
      </c>
      <c r="P159" s="181">
        <v>5.581428496462415E-2</v>
      </c>
      <c r="Q159" s="180" t="s">
        <v>8</v>
      </c>
      <c r="R159" s="181" t="s">
        <v>8</v>
      </c>
      <c r="S159" s="182" t="s">
        <v>8</v>
      </c>
      <c r="T159" s="180">
        <v>100.8793689330747</v>
      </c>
      <c r="U159" s="181">
        <v>8.7936893307470135E-3</v>
      </c>
      <c r="V159" s="182" t="s">
        <v>8</v>
      </c>
      <c r="W159" s="180">
        <v>106.96180056699946</v>
      </c>
      <c r="X159" s="181">
        <v>-9.384702E-3</v>
      </c>
      <c r="Y159" s="181">
        <v>2.0983441992683538E-3</v>
      </c>
      <c r="Z159" s="180" t="s">
        <v>8</v>
      </c>
      <c r="AA159" s="181" t="s">
        <v>8</v>
      </c>
      <c r="AB159" s="181" t="s">
        <v>8</v>
      </c>
      <c r="AC159" s="180" t="s">
        <v>8</v>
      </c>
      <c r="AD159" s="181" t="s">
        <v>8</v>
      </c>
      <c r="AE159" s="181" t="s">
        <v>8</v>
      </c>
      <c r="AF159" s="180" t="s">
        <v>8</v>
      </c>
      <c r="AG159" s="181" t="s">
        <v>8</v>
      </c>
      <c r="AH159" s="181" t="s">
        <v>8</v>
      </c>
      <c r="AI159" s="180" t="s">
        <v>8</v>
      </c>
      <c r="AJ159" s="181" t="s">
        <v>8</v>
      </c>
      <c r="AK159" s="185" t="s">
        <v>8</v>
      </c>
    </row>
    <row r="160" spans="1:37" s="184" customFormat="1" ht="15.75" customHeight="1">
      <c r="A160" s="179">
        <v>39722</v>
      </c>
      <c r="B160" s="180">
        <v>130.20973514517414</v>
      </c>
      <c r="C160" s="181">
        <v>-1.8058058637897599E-3</v>
      </c>
      <c r="D160" s="181">
        <v>4.2703461379969054E-2</v>
      </c>
      <c r="E160" s="180">
        <v>130.67276377275414</v>
      </c>
      <c r="F160" s="181">
        <v>-8.5355343313263214E-3</v>
      </c>
      <c r="G160" s="181">
        <v>-6.1379049566712141E-5</v>
      </c>
      <c r="H160" s="180">
        <v>125.58816783674175</v>
      </c>
      <c r="I160" s="181">
        <v>-4.9787868699490102E-3</v>
      </c>
      <c r="J160" s="181">
        <v>2.8200865168295453E-2</v>
      </c>
      <c r="K160" s="180">
        <v>127.995362870723</v>
      </c>
      <c r="L160" s="181">
        <v>7.8361573909106492E-3</v>
      </c>
      <c r="M160" s="181">
        <v>3.17737280884689E-3</v>
      </c>
      <c r="N160" s="180">
        <v>139.41325496672277</v>
      </c>
      <c r="O160" s="181">
        <v>-8.7534383421894769E-3</v>
      </c>
      <c r="P160" s="181">
        <v>3.767921475119107E-2</v>
      </c>
      <c r="Q160" s="180">
        <v>100</v>
      </c>
      <c r="R160" s="181" t="s">
        <v>8</v>
      </c>
      <c r="S160" s="181" t="s">
        <v>8</v>
      </c>
      <c r="T160" s="180">
        <v>102.3830966722232</v>
      </c>
      <c r="U160" s="181">
        <v>1.4906196926609555E-2</v>
      </c>
      <c r="V160" s="181" t="s">
        <v>8</v>
      </c>
      <c r="W160" s="180">
        <v>106.91940808639151</v>
      </c>
      <c r="X160" s="181">
        <v>-3.9633290000000004E-4</v>
      </c>
      <c r="Y160" s="181">
        <v>-1.7418993810628391E-3</v>
      </c>
      <c r="Z160" s="180" t="s">
        <v>8</v>
      </c>
      <c r="AA160" s="181" t="s">
        <v>8</v>
      </c>
      <c r="AB160" s="181" t="s">
        <v>8</v>
      </c>
      <c r="AC160" s="180" t="s">
        <v>8</v>
      </c>
      <c r="AD160" s="181" t="s">
        <v>8</v>
      </c>
      <c r="AE160" s="181" t="s">
        <v>8</v>
      </c>
      <c r="AF160" s="180" t="s">
        <v>8</v>
      </c>
      <c r="AG160" s="181" t="s">
        <v>8</v>
      </c>
      <c r="AH160" s="181" t="s">
        <v>8</v>
      </c>
      <c r="AI160" s="180" t="s">
        <v>8</v>
      </c>
      <c r="AJ160" s="181" t="s">
        <v>8</v>
      </c>
      <c r="AK160" s="185" t="s">
        <v>8</v>
      </c>
    </row>
    <row r="161" spans="1:37" s="184" customFormat="1" ht="15.75" customHeight="1">
      <c r="A161" s="179">
        <v>39753</v>
      </c>
      <c r="B161" s="180">
        <v>129.57385452835393</v>
      </c>
      <c r="C161" s="181">
        <v>-4.8835105617198197E-3</v>
      </c>
      <c r="D161" s="181">
        <v>2.8320656249671838E-2</v>
      </c>
      <c r="E161" s="180">
        <v>130.22936425999737</v>
      </c>
      <c r="F161" s="181">
        <v>-3.3932052858991601E-3</v>
      </c>
      <c r="G161" s="181">
        <v>-1.2095575766184807E-2</v>
      </c>
      <c r="H161" s="180">
        <v>125.26905875033147</v>
      </c>
      <c r="I161" s="181">
        <v>-2.5409168069488075E-3</v>
      </c>
      <c r="J161" s="181">
        <v>2.6425759665209991E-2</v>
      </c>
      <c r="K161" s="180">
        <v>128.30273694502918</v>
      </c>
      <c r="L161" s="181">
        <v>2.4014469541106731E-3</v>
      </c>
      <c r="M161" s="181">
        <v>-4.6943836038068065E-3</v>
      </c>
      <c r="N161" s="180">
        <v>138.43148212065887</v>
      </c>
      <c r="O161" s="181">
        <v>-7.0421772040130514E-3</v>
      </c>
      <c r="P161" s="181">
        <v>1.182970314844578E-2</v>
      </c>
      <c r="Q161" s="180">
        <v>100.17950739812136</v>
      </c>
      <c r="R161" s="181">
        <v>1.7950739812134929E-3</v>
      </c>
      <c r="S161" s="181" t="s">
        <v>8</v>
      </c>
      <c r="T161" s="180">
        <v>101.43968313241822</v>
      </c>
      <c r="U161" s="181">
        <v>-9.2145439087986877E-3</v>
      </c>
      <c r="V161" s="181" t="s">
        <v>8</v>
      </c>
      <c r="W161" s="180">
        <v>106.59899232499644</v>
      </c>
      <c r="X161" s="181">
        <v>-2.9967969999999998E-3</v>
      </c>
      <c r="Y161" s="181">
        <v>-7.4798301906144893E-3</v>
      </c>
      <c r="Z161" s="180" t="s">
        <v>8</v>
      </c>
      <c r="AA161" s="181" t="s">
        <v>8</v>
      </c>
      <c r="AB161" s="181" t="s">
        <v>8</v>
      </c>
      <c r="AC161" s="180" t="s">
        <v>8</v>
      </c>
      <c r="AD161" s="181" t="s">
        <v>8</v>
      </c>
      <c r="AE161" s="181" t="s">
        <v>8</v>
      </c>
      <c r="AF161" s="180" t="s">
        <v>8</v>
      </c>
      <c r="AG161" s="181" t="s">
        <v>8</v>
      </c>
      <c r="AH161" s="181" t="s">
        <v>8</v>
      </c>
      <c r="AI161" s="180" t="s">
        <v>8</v>
      </c>
      <c r="AJ161" s="181" t="s">
        <v>8</v>
      </c>
      <c r="AK161" s="185" t="s">
        <v>8</v>
      </c>
    </row>
    <row r="162" spans="1:37" s="184" customFormat="1" ht="15.75" customHeight="1">
      <c r="A162" s="179">
        <v>39783</v>
      </c>
      <c r="B162" s="180">
        <v>128.84184086701737</v>
      </c>
      <c r="C162" s="181">
        <v>-5.6493932668831136E-3</v>
      </c>
      <c r="D162" s="181">
        <v>2.4416494487453866E-2</v>
      </c>
      <c r="E162" s="180">
        <v>128.2655673573872</v>
      </c>
      <c r="F162" s="181">
        <v>-1.507952460467778E-2</v>
      </c>
      <c r="G162" s="181">
        <v>-2.9839709466260689E-2</v>
      </c>
      <c r="H162" s="180">
        <v>124.61626476865654</v>
      </c>
      <c r="I162" s="181">
        <v>-5.2111350415428113E-3</v>
      </c>
      <c r="J162" s="181">
        <v>2.1307998710061948E-2</v>
      </c>
      <c r="K162" s="180">
        <v>128.16146500373699</v>
      </c>
      <c r="L162" s="181">
        <v>-1.1010828346765544E-3</v>
      </c>
      <c r="M162" s="181">
        <v>2.7498722888887883E-3</v>
      </c>
      <c r="N162" s="180">
        <v>137.71448563163673</v>
      </c>
      <c r="O162" s="181">
        <v>-5.1794322941451669E-3</v>
      </c>
      <c r="P162" s="181">
        <v>-6.273044673806849E-4</v>
      </c>
      <c r="Q162" s="180">
        <v>99.633397903043189</v>
      </c>
      <c r="R162" s="181">
        <v>-5.4513094470297948E-3</v>
      </c>
      <c r="S162" s="181" t="s">
        <v>8</v>
      </c>
      <c r="T162" s="180">
        <v>95.145280242029301</v>
      </c>
      <c r="U162" s="181">
        <v>-6.2050695507124921E-2</v>
      </c>
      <c r="V162" s="181" t="s">
        <v>8</v>
      </c>
      <c r="W162" s="180">
        <v>106.58670006473457</v>
      </c>
      <c r="X162" s="181">
        <v>-1.1531309999999999E-4</v>
      </c>
      <c r="Y162" s="181">
        <v>-1.1644035521902518E-2</v>
      </c>
      <c r="Z162" s="180" t="s">
        <v>8</v>
      </c>
      <c r="AA162" s="181" t="s">
        <v>8</v>
      </c>
      <c r="AB162" s="181" t="s">
        <v>8</v>
      </c>
      <c r="AC162" s="180" t="s">
        <v>8</v>
      </c>
      <c r="AD162" s="181" t="s">
        <v>8</v>
      </c>
      <c r="AE162" s="181" t="s">
        <v>8</v>
      </c>
      <c r="AF162" s="180" t="s">
        <v>8</v>
      </c>
      <c r="AG162" s="181" t="s">
        <v>8</v>
      </c>
      <c r="AH162" s="181" t="s">
        <v>8</v>
      </c>
      <c r="AI162" s="180" t="s">
        <v>8</v>
      </c>
      <c r="AJ162" s="181" t="s">
        <v>8</v>
      </c>
      <c r="AK162" s="185" t="s">
        <v>8</v>
      </c>
    </row>
    <row r="163" spans="1:37" s="184" customFormat="1" ht="15.75" customHeight="1">
      <c r="A163" s="179">
        <v>39814</v>
      </c>
      <c r="B163" s="180">
        <v>128.09245334645084</v>
      </c>
      <c r="C163" s="181">
        <v>-5.8163366459504217E-3</v>
      </c>
      <c r="D163" s="181">
        <v>1.4753969838134484E-2</v>
      </c>
      <c r="E163" s="180">
        <v>128.98196345507429</v>
      </c>
      <c r="F163" s="181">
        <v>5.585256530234655E-3</v>
      </c>
      <c r="G163" s="181">
        <v>-1.8923448944668131E-2</v>
      </c>
      <c r="H163" s="180">
        <v>123.87102680425014</v>
      </c>
      <c r="I163" s="181">
        <v>-5.9802624142996016E-3</v>
      </c>
      <c r="J163" s="181">
        <v>7.9201550474412574E-3</v>
      </c>
      <c r="K163" s="180">
        <v>127.81019985416147</v>
      </c>
      <c r="L163" s="181">
        <v>-2.7408016096359101E-3</v>
      </c>
      <c r="M163" s="181">
        <v>7.6491797844413512E-5</v>
      </c>
      <c r="N163" s="180">
        <v>136.51912180562181</v>
      </c>
      <c r="O163" s="181">
        <v>-8.680015181644159E-3</v>
      </c>
      <c r="P163" s="181">
        <v>-7.970745151303138E-3</v>
      </c>
      <c r="Q163" s="180">
        <v>100.10062979807998</v>
      </c>
      <c r="R163" s="181">
        <v>4.6895107952804136E-3</v>
      </c>
      <c r="S163" s="181" t="s">
        <v>8</v>
      </c>
      <c r="T163" s="180">
        <v>100.12228897228448</v>
      </c>
      <c r="U163" s="181">
        <v>5.2309570349624489E-2</v>
      </c>
      <c r="V163" s="181" t="s">
        <v>8</v>
      </c>
      <c r="W163" s="180">
        <v>105.58839688104446</v>
      </c>
      <c r="X163" s="181">
        <v>-9.366114E-3</v>
      </c>
      <c r="Y163" s="181">
        <v>-2.2776967490988675E-2</v>
      </c>
      <c r="Z163" s="180" t="s">
        <v>8</v>
      </c>
      <c r="AA163" s="181" t="s">
        <v>8</v>
      </c>
      <c r="AB163" s="181" t="s">
        <v>8</v>
      </c>
      <c r="AC163" s="180" t="s">
        <v>8</v>
      </c>
      <c r="AD163" s="181" t="s">
        <v>8</v>
      </c>
      <c r="AE163" s="181" t="s">
        <v>8</v>
      </c>
      <c r="AF163" s="180" t="s">
        <v>8</v>
      </c>
      <c r="AG163" s="181" t="s">
        <v>8</v>
      </c>
      <c r="AH163" s="181" t="s">
        <v>8</v>
      </c>
      <c r="AI163" s="180" t="s">
        <v>8</v>
      </c>
      <c r="AJ163" s="181" t="s">
        <v>8</v>
      </c>
      <c r="AK163" s="185" t="s">
        <v>8</v>
      </c>
    </row>
    <row r="164" spans="1:37" s="184" customFormat="1" ht="15.75" customHeight="1">
      <c r="A164" s="179">
        <v>39845</v>
      </c>
      <c r="B164" s="180">
        <v>127.91556514987398</v>
      </c>
      <c r="C164" s="181">
        <v>-1.3809415930104007E-3</v>
      </c>
      <c r="D164" s="181">
        <v>9.4156584991116343E-3</v>
      </c>
      <c r="E164" s="180">
        <v>129.15387947724756</v>
      </c>
      <c r="F164" s="181">
        <v>1.3328687017013507E-3</v>
      </c>
      <c r="G164" s="181">
        <v>-1.2457844804928175E-2</v>
      </c>
      <c r="H164" s="180">
        <v>122.69771912379011</v>
      </c>
      <c r="I164" s="181">
        <v>-9.4720106124103146E-3</v>
      </c>
      <c r="J164" s="181">
        <v>-6.6652074720539023E-3</v>
      </c>
      <c r="K164" s="180">
        <v>126.48844643950149</v>
      </c>
      <c r="L164" s="181">
        <v>-1.0341533118390882E-2</v>
      </c>
      <c r="M164" s="181">
        <v>-3.568588225667102E-2</v>
      </c>
      <c r="N164" s="180">
        <v>135.58309011114079</v>
      </c>
      <c r="O164" s="181">
        <v>-6.8564145601064099E-3</v>
      </c>
      <c r="P164" s="181">
        <v>-5.0142297470232577E-2</v>
      </c>
      <c r="Q164" s="180">
        <v>99.152172755448902</v>
      </c>
      <c r="R164" s="181">
        <v>-9.475035717000653E-3</v>
      </c>
      <c r="S164" s="181" t="s">
        <v>8</v>
      </c>
      <c r="T164" s="180">
        <v>99.361962121046261</v>
      </c>
      <c r="U164" s="181">
        <v>-7.5939819099489813E-3</v>
      </c>
      <c r="V164" s="181" t="s">
        <v>8</v>
      </c>
      <c r="W164" s="180">
        <v>104.61034940517442</v>
      </c>
      <c r="X164" s="181">
        <v>-9.2628310000000009E-3</v>
      </c>
      <c r="Y164" s="181">
        <v>-3.6604852660154785E-2</v>
      </c>
      <c r="Z164" s="180" t="s">
        <v>8</v>
      </c>
      <c r="AA164" s="181" t="s">
        <v>8</v>
      </c>
      <c r="AB164" s="181" t="s">
        <v>8</v>
      </c>
      <c r="AC164" s="180" t="s">
        <v>8</v>
      </c>
      <c r="AD164" s="181" t="s">
        <v>8</v>
      </c>
      <c r="AE164" s="181" t="s">
        <v>8</v>
      </c>
      <c r="AF164" s="180" t="s">
        <v>8</v>
      </c>
      <c r="AG164" s="181" t="s">
        <v>8</v>
      </c>
      <c r="AH164" s="181" t="s">
        <v>8</v>
      </c>
      <c r="AI164" s="180" t="s">
        <v>8</v>
      </c>
      <c r="AJ164" s="181" t="s">
        <v>8</v>
      </c>
      <c r="AK164" s="185" t="s">
        <v>8</v>
      </c>
    </row>
    <row r="165" spans="1:37" s="184" customFormat="1" ht="15.75" customHeight="1">
      <c r="A165" s="179">
        <v>39873</v>
      </c>
      <c r="B165" s="180">
        <v>127.20837851815794</v>
      </c>
      <c r="C165" s="181">
        <v>-5.52854244819593E-3</v>
      </c>
      <c r="D165" s="181">
        <v>2.0108162346605951E-3</v>
      </c>
      <c r="E165" s="180">
        <v>129.3121818180737</v>
      </c>
      <c r="F165" s="181">
        <v>1.2256878497716439E-3</v>
      </c>
      <c r="G165" s="181">
        <v>-2.1832956890263544E-2</v>
      </c>
      <c r="H165" s="180">
        <v>121.55819787782032</v>
      </c>
      <c r="I165" s="181">
        <v>-9.2872243600561691E-3</v>
      </c>
      <c r="J165" s="181">
        <v>-1.8040278255822662E-2</v>
      </c>
      <c r="K165" s="180">
        <v>127.22579579429697</v>
      </c>
      <c r="L165" s="181">
        <v>5.8293810664214176E-3</v>
      </c>
      <c r="M165" s="181">
        <v>-3.3430640188065297E-2</v>
      </c>
      <c r="N165" s="180">
        <v>135.20105747606718</v>
      </c>
      <c r="O165" s="181">
        <v>-2.8177011953367036E-3</v>
      </c>
      <c r="P165" s="181">
        <v>-5.7149397355333864E-2</v>
      </c>
      <c r="Q165" s="180">
        <v>98.743278579962833</v>
      </c>
      <c r="R165" s="181">
        <v>-4.1239053479400203E-3</v>
      </c>
      <c r="S165" s="181" t="s">
        <v>8</v>
      </c>
      <c r="T165" s="180">
        <v>98.174163085535781</v>
      </c>
      <c r="U165" s="181">
        <v>-1.1954263081715851E-2</v>
      </c>
      <c r="V165" s="181" t="s">
        <v>8</v>
      </c>
      <c r="W165" s="180">
        <v>105.03755223338885</v>
      </c>
      <c r="X165" s="181">
        <v>4.0837529999999999E-3</v>
      </c>
      <c r="Y165" s="181">
        <v>-3.3411049388572311E-2</v>
      </c>
      <c r="Z165" s="180" t="s">
        <v>8</v>
      </c>
      <c r="AA165" s="181" t="s">
        <v>8</v>
      </c>
      <c r="AB165" s="181" t="s">
        <v>8</v>
      </c>
      <c r="AC165" s="180" t="s">
        <v>8</v>
      </c>
      <c r="AD165" s="181" t="s">
        <v>8</v>
      </c>
      <c r="AE165" s="181" t="s">
        <v>8</v>
      </c>
      <c r="AF165" s="180" t="s">
        <v>8</v>
      </c>
      <c r="AG165" s="181" t="s">
        <v>8</v>
      </c>
      <c r="AH165" s="181" t="s">
        <v>8</v>
      </c>
      <c r="AI165" s="180" t="s">
        <v>8</v>
      </c>
      <c r="AJ165" s="181" t="s">
        <v>8</v>
      </c>
      <c r="AK165" s="185" t="s">
        <v>8</v>
      </c>
    </row>
    <row r="166" spans="1:37" s="184" customFormat="1" ht="15.75" customHeight="1">
      <c r="A166" s="179">
        <v>39904</v>
      </c>
      <c r="B166" s="180">
        <v>127.02137207226417</v>
      </c>
      <c r="C166" s="181">
        <v>-1.4700796289694252E-3</v>
      </c>
      <c r="D166" s="181">
        <v>-9.3784781814163498E-3</v>
      </c>
      <c r="E166" s="180">
        <v>128.5467375110521</v>
      </c>
      <c r="F166" s="181">
        <v>-5.9193518836338256E-3</v>
      </c>
      <c r="G166" s="181">
        <v>-2.2319586838230765E-2</v>
      </c>
      <c r="H166" s="180">
        <v>120.91638445169596</v>
      </c>
      <c r="I166" s="181">
        <v>-5.2798859914775596E-3</v>
      </c>
      <c r="J166" s="181">
        <v>-2.6612100450722154E-2</v>
      </c>
      <c r="K166" s="180">
        <v>125.69342541101189</v>
      </c>
      <c r="L166" s="181">
        <v>-1.2044494386678227E-2</v>
      </c>
      <c r="M166" s="181">
        <v>-3.2376042886518963E-2</v>
      </c>
      <c r="N166" s="180">
        <v>135.99115784461998</v>
      </c>
      <c r="O166" s="181">
        <v>5.8438919288234907E-3</v>
      </c>
      <c r="P166" s="181">
        <v>-5.2789602415104109E-2</v>
      </c>
      <c r="Q166" s="180">
        <v>98.377663476774359</v>
      </c>
      <c r="R166" s="181">
        <v>-3.7026834478906491E-3</v>
      </c>
      <c r="S166" s="181" t="s">
        <v>8</v>
      </c>
      <c r="T166" s="180">
        <v>96.54999037194672</v>
      </c>
      <c r="U166" s="181">
        <v>-1.6543789756312769E-2</v>
      </c>
      <c r="V166" s="181" t="s">
        <v>8</v>
      </c>
      <c r="W166" s="180">
        <v>104.97865234194394</v>
      </c>
      <c r="X166" s="181">
        <v>-5.607508E-4</v>
      </c>
      <c r="Y166" s="181">
        <v>-3.9341721900258197E-2</v>
      </c>
      <c r="Z166" s="180" t="s">
        <v>8</v>
      </c>
      <c r="AA166" s="181" t="s">
        <v>8</v>
      </c>
      <c r="AB166" s="181" t="s">
        <v>8</v>
      </c>
      <c r="AC166" s="180" t="s">
        <v>8</v>
      </c>
      <c r="AD166" s="181" t="s">
        <v>8</v>
      </c>
      <c r="AE166" s="181" t="s">
        <v>8</v>
      </c>
      <c r="AF166" s="180" t="s">
        <v>8</v>
      </c>
      <c r="AG166" s="181" t="s">
        <v>8</v>
      </c>
      <c r="AH166" s="181" t="s">
        <v>8</v>
      </c>
      <c r="AI166" s="180" t="s">
        <v>8</v>
      </c>
      <c r="AJ166" s="181" t="s">
        <v>8</v>
      </c>
      <c r="AK166" s="185" t="s">
        <v>8</v>
      </c>
    </row>
    <row r="167" spans="1:37" s="184" customFormat="1" ht="15.75" customHeight="1">
      <c r="A167" s="179">
        <v>39934</v>
      </c>
      <c r="B167" s="180">
        <v>126.73269392865632</v>
      </c>
      <c r="C167" s="181">
        <v>-2.2726737941676498E-3</v>
      </c>
      <c r="D167" s="181">
        <v>-1.9395298433416808E-2</v>
      </c>
      <c r="E167" s="180">
        <v>127.77500027783086</v>
      </c>
      <c r="F167" s="181">
        <v>-6.0035536347617579E-3</v>
      </c>
      <c r="G167" s="181">
        <v>-2.8647965991007718E-2</v>
      </c>
      <c r="H167" s="180">
        <v>120.09160392787183</v>
      </c>
      <c r="I167" s="181">
        <v>-6.8210815892665424E-3</v>
      </c>
      <c r="J167" s="181">
        <v>-3.6525989383962898E-2</v>
      </c>
      <c r="K167" s="180">
        <v>125.25430080466643</v>
      </c>
      <c r="L167" s="181">
        <v>-3.4936163519256546E-3</v>
      </c>
      <c r="M167" s="181">
        <v>-1.9613943716833115E-2</v>
      </c>
      <c r="N167" s="180">
        <v>136.12707918005574</v>
      </c>
      <c r="O167" s="181">
        <v>9.9948656655378669E-4</v>
      </c>
      <c r="P167" s="181">
        <v>-4.6580804208484872E-2</v>
      </c>
      <c r="Q167" s="180">
        <v>97.994781347470152</v>
      </c>
      <c r="R167" s="181">
        <v>-3.8919620142696897E-3</v>
      </c>
      <c r="S167" s="181" t="s">
        <v>8</v>
      </c>
      <c r="T167" s="180">
        <v>95.794473046695487</v>
      </c>
      <c r="U167" s="181">
        <v>-7.8251413836572855E-3</v>
      </c>
      <c r="V167" s="181" t="s">
        <v>8</v>
      </c>
      <c r="W167" s="180">
        <v>103.82974917412933</v>
      </c>
      <c r="X167" s="181">
        <v>-1.0944160000000001E-2</v>
      </c>
      <c r="Y167" s="181">
        <v>-4.7249893154422296E-2</v>
      </c>
      <c r="Z167" s="180" t="s">
        <v>8</v>
      </c>
      <c r="AA167" s="181" t="s">
        <v>8</v>
      </c>
      <c r="AB167" s="181" t="s">
        <v>8</v>
      </c>
      <c r="AC167" s="180" t="s">
        <v>8</v>
      </c>
      <c r="AD167" s="181" t="s">
        <v>8</v>
      </c>
      <c r="AE167" s="181" t="s">
        <v>8</v>
      </c>
      <c r="AF167" s="180" t="s">
        <v>8</v>
      </c>
      <c r="AG167" s="181" t="s">
        <v>8</v>
      </c>
      <c r="AH167" s="181" t="s">
        <v>8</v>
      </c>
      <c r="AI167" s="180" t="s">
        <v>8</v>
      </c>
      <c r="AJ167" s="181" t="s">
        <v>8</v>
      </c>
      <c r="AK167" s="185" t="s">
        <v>8</v>
      </c>
    </row>
    <row r="168" spans="1:37" s="184" customFormat="1" ht="15.75" customHeight="1">
      <c r="A168" s="179">
        <v>39965</v>
      </c>
      <c r="B168" s="180">
        <v>126.63900409334533</v>
      </c>
      <c r="C168" s="181">
        <v>-7.3927123622675723E-4</v>
      </c>
      <c r="D168" s="181">
        <v>-2.2485387703125248E-2</v>
      </c>
      <c r="E168" s="180">
        <v>126.60157594532322</v>
      </c>
      <c r="F168" s="181">
        <v>-9.1835204848849522E-3</v>
      </c>
      <c r="G168" s="181">
        <v>-3.6158817728899506E-2</v>
      </c>
      <c r="H168" s="180">
        <v>120.31711409493451</v>
      </c>
      <c r="I168" s="181">
        <v>1.8778179297041931E-3</v>
      </c>
      <c r="J168" s="181">
        <v>-3.6066427287765879E-2</v>
      </c>
      <c r="K168" s="180">
        <v>125.03044684348443</v>
      </c>
      <c r="L168" s="181">
        <v>-1.7871958068018401E-3</v>
      </c>
      <c r="M168" s="181">
        <v>-1.7115464606880737E-2</v>
      </c>
      <c r="N168" s="180">
        <v>136.81626036354857</v>
      </c>
      <c r="O168" s="181">
        <v>5.0627780133386891E-3</v>
      </c>
      <c r="P168" s="181">
        <v>-4.3205185032057947E-2</v>
      </c>
      <c r="Q168" s="180">
        <v>97.16128808177416</v>
      </c>
      <c r="R168" s="181">
        <v>-8.5054862538096049E-3</v>
      </c>
      <c r="S168" s="181" t="s">
        <v>8</v>
      </c>
      <c r="T168" s="180">
        <v>95.72946599702496</v>
      </c>
      <c r="U168" s="181">
        <v>-6.7860960661935365E-4</v>
      </c>
      <c r="V168" s="181" t="s">
        <v>8</v>
      </c>
      <c r="W168" s="180">
        <v>104.55292150819166</v>
      </c>
      <c r="X168" s="181">
        <v>6.9649819999999998E-3</v>
      </c>
      <c r="Y168" s="181">
        <v>-3.6186395501788593E-2</v>
      </c>
      <c r="Z168" s="180" t="s">
        <v>8</v>
      </c>
      <c r="AA168" s="181" t="s">
        <v>8</v>
      </c>
      <c r="AB168" s="181" t="s">
        <v>8</v>
      </c>
      <c r="AC168" s="180" t="s">
        <v>8</v>
      </c>
      <c r="AD168" s="181" t="s">
        <v>8</v>
      </c>
      <c r="AE168" s="181" t="s">
        <v>8</v>
      </c>
      <c r="AF168" s="180" t="s">
        <v>8</v>
      </c>
      <c r="AG168" s="181" t="s">
        <v>8</v>
      </c>
      <c r="AH168" s="181" t="s">
        <v>8</v>
      </c>
      <c r="AI168" s="180" t="s">
        <v>8</v>
      </c>
      <c r="AJ168" s="181" t="s">
        <v>8</v>
      </c>
      <c r="AK168" s="185" t="s">
        <v>8</v>
      </c>
    </row>
    <row r="169" spans="1:37" s="184" customFormat="1" ht="15.75" customHeight="1">
      <c r="A169" s="179">
        <v>39995</v>
      </c>
      <c r="B169" s="180">
        <v>126.7303975247154</v>
      </c>
      <c r="C169" s="181">
        <v>7.2168469757298407E-4</v>
      </c>
      <c r="D169" s="181">
        <v>-2.6495187351043059E-2</v>
      </c>
      <c r="E169" s="180">
        <v>127.39072685736546</v>
      </c>
      <c r="F169" s="181">
        <v>6.2333419323552606E-3</v>
      </c>
      <c r="G169" s="181">
        <v>-3.1476766227753528E-2</v>
      </c>
      <c r="H169" s="180">
        <v>120.79020722788553</v>
      </c>
      <c r="I169" s="181">
        <v>3.932051865686694E-3</v>
      </c>
      <c r="J169" s="181">
        <v>-4.1293023896469716E-2</v>
      </c>
      <c r="K169" s="180">
        <v>125.55023753715287</v>
      </c>
      <c r="L169" s="181">
        <v>4.1573129328979471E-3</v>
      </c>
      <c r="M169" s="181">
        <v>-2.1487153177317531E-3</v>
      </c>
      <c r="N169" s="180">
        <v>136.58834112953772</v>
      </c>
      <c r="O169" s="181">
        <v>-1.6658782618763945E-3</v>
      </c>
      <c r="P169" s="181">
        <v>-3.5133995203580071E-2</v>
      </c>
      <c r="Q169" s="180">
        <v>96.95806670431044</v>
      </c>
      <c r="R169" s="181">
        <v>-2.0915879305004204E-3</v>
      </c>
      <c r="S169" s="181" t="s">
        <v>8</v>
      </c>
      <c r="T169" s="180">
        <v>94.38308214934051</v>
      </c>
      <c r="U169" s="181">
        <v>-1.4064466292189355E-2</v>
      </c>
      <c r="V169" s="181" t="s">
        <v>8</v>
      </c>
      <c r="W169" s="180">
        <v>104.82713663754805</v>
      </c>
      <c r="X169" s="181">
        <v>2.6227400000000001E-3</v>
      </c>
      <c r="Y169" s="181">
        <v>-2.8796298691179723E-2</v>
      </c>
      <c r="Z169" s="180" t="s">
        <v>8</v>
      </c>
      <c r="AA169" s="181" t="s">
        <v>8</v>
      </c>
      <c r="AB169" s="181" t="s">
        <v>8</v>
      </c>
      <c r="AC169" s="180" t="s">
        <v>8</v>
      </c>
      <c r="AD169" s="181" t="s">
        <v>8</v>
      </c>
      <c r="AE169" s="181" t="s">
        <v>8</v>
      </c>
      <c r="AF169" s="180" t="s">
        <v>8</v>
      </c>
      <c r="AG169" s="181" t="s">
        <v>8</v>
      </c>
      <c r="AH169" s="181" t="s">
        <v>8</v>
      </c>
      <c r="AI169" s="180" t="s">
        <v>8</v>
      </c>
      <c r="AJ169" s="181" t="s">
        <v>8</v>
      </c>
      <c r="AK169" s="185" t="s">
        <v>8</v>
      </c>
    </row>
    <row r="170" spans="1:37" s="184" customFormat="1" ht="15.75" customHeight="1">
      <c r="A170" s="179">
        <v>40026</v>
      </c>
      <c r="B170" s="180">
        <v>126.63505987046916</v>
      </c>
      <c r="C170" s="181">
        <v>-7.5228718688148178E-4</v>
      </c>
      <c r="D170" s="181">
        <v>-2.7900119048970162E-2</v>
      </c>
      <c r="E170" s="180">
        <v>127.19904174028679</v>
      </c>
      <c r="F170" s="181">
        <v>-1.5047022794155308E-3</v>
      </c>
      <c r="G170" s="181">
        <v>-3.3944038079599004E-2</v>
      </c>
      <c r="H170" s="180">
        <v>120.60116364199995</v>
      </c>
      <c r="I170" s="181">
        <v>-1.5650572196546975E-3</v>
      </c>
      <c r="J170" s="181">
        <v>-4.4228445345451117E-2</v>
      </c>
      <c r="K170" s="180">
        <v>125.23194201567938</v>
      </c>
      <c r="L170" s="181">
        <v>-2.535204454545914E-3</v>
      </c>
      <c r="M170" s="181">
        <v>-4.6801347337521726E-3</v>
      </c>
      <c r="N170" s="180">
        <v>136.38893398258662</v>
      </c>
      <c r="O170" s="181">
        <v>-1.4599133813476973E-3</v>
      </c>
      <c r="P170" s="181">
        <v>-2.9292334221259653E-2</v>
      </c>
      <c r="Q170" s="180">
        <v>96.650142933212464</v>
      </c>
      <c r="R170" s="181">
        <v>-3.1758447910997132E-3</v>
      </c>
      <c r="S170" s="181" t="s">
        <v>8</v>
      </c>
      <c r="T170" s="180">
        <v>93.631069261198249</v>
      </c>
      <c r="U170" s="181">
        <v>-7.9676661433069375E-3</v>
      </c>
      <c r="V170" s="181">
        <v>-6.368930738801748E-2</v>
      </c>
      <c r="W170" s="180">
        <v>105.21149424433624</v>
      </c>
      <c r="X170" s="181">
        <v>3.666585E-3</v>
      </c>
      <c r="Y170" s="181">
        <v>-2.5594977165760979E-2</v>
      </c>
      <c r="Z170" s="180" t="s">
        <v>8</v>
      </c>
      <c r="AA170" s="181" t="s">
        <v>8</v>
      </c>
      <c r="AB170" s="181" t="s">
        <v>8</v>
      </c>
      <c r="AC170" s="180" t="s">
        <v>8</v>
      </c>
      <c r="AD170" s="181" t="s">
        <v>8</v>
      </c>
      <c r="AE170" s="181" t="s">
        <v>8</v>
      </c>
      <c r="AF170" s="180" t="s">
        <v>8</v>
      </c>
      <c r="AG170" s="181" t="s">
        <v>8</v>
      </c>
      <c r="AH170" s="181" t="s">
        <v>8</v>
      </c>
      <c r="AI170" s="180" t="s">
        <v>8</v>
      </c>
      <c r="AJ170" s="181" t="s">
        <v>8</v>
      </c>
      <c r="AK170" s="185" t="s">
        <v>8</v>
      </c>
    </row>
    <row r="171" spans="1:37" s="184" customFormat="1" ht="15.75" customHeight="1">
      <c r="A171" s="179">
        <v>40057</v>
      </c>
      <c r="B171" s="180">
        <v>126.80122778621222</v>
      </c>
      <c r="C171" s="181">
        <v>1.3121793910236691E-3</v>
      </c>
      <c r="D171" s="181">
        <v>-2.7935589881804779E-2</v>
      </c>
      <c r="E171" s="180">
        <v>127.43209565426966</v>
      </c>
      <c r="F171" s="181">
        <v>1.8321986612031304E-3</v>
      </c>
      <c r="G171" s="181">
        <v>-3.3123728471692759E-2</v>
      </c>
      <c r="H171" s="180">
        <v>120.38652233865487</v>
      </c>
      <c r="I171" s="181">
        <v>-1.7797614621881163E-3</v>
      </c>
      <c r="J171" s="181">
        <v>-4.6190850895813984E-2</v>
      </c>
      <c r="K171" s="180">
        <v>124.0991970415317</v>
      </c>
      <c r="L171" s="181">
        <v>-9.045176142088893E-3</v>
      </c>
      <c r="M171" s="181">
        <v>-2.2842272747343184E-2</v>
      </c>
      <c r="N171" s="180">
        <v>136.29636946660386</v>
      </c>
      <c r="O171" s="181">
        <v>-6.7868054452697058E-4</v>
      </c>
      <c r="P171" s="181">
        <v>-3.0914903805508764E-2</v>
      </c>
      <c r="Q171" s="180">
        <v>97.330321010579027</v>
      </c>
      <c r="R171" s="181">
        <v>7.0375278993283601E-3</v>
      </c>
      <c r="S171" s="181" t="s">
        <v>8</v>
      </c>
      <c r="T171" s="180">
        <v>94.119756776020537</v>
      </c>
      <c r="U171" s="181">
        <v>5.2192879850491191E-3</v>
      </c>
      <c r="V171" s="181">
        <v>-6.7006883850935117E-2</v>
      </c>
      <c r="W171" s="180">
        <v>105.70316375951013</v>
      </c>
      <c r="X171" s="181">
        <v>4.6731539999999997E-3</v>
      </c>
      <c r="Y171" s="181">
        <v>-1.1767161742017751E-2</v>
      </c>
      <c r="Z171" s="180" t="s">
        <v>8</v>
      </c>
      <c r="AA171" s="181" t="s">
        <v>8</v>
      </c>
      <c r="AB171" s="181" t="s">
        <v>8</v>
      </c>
      <c r="AC171" s="180" t="s">
        <v>8</v>
      </c>
      <c r="AD171" s="181" t="s">
        <v>8</v>
      </c>
      <c r="AE171" s="181" t="s">
        <v>8</v>
      </c>
      <c r="AF171" s="180" t="s">
        <v>8</v>
      </c>
      <c r="AG171" s="181" t="s">
        <v>8</v>
      </c>
      <c r="AH171" s="181" t="s">
        <v>8</v>
      </c>
      <c r="AI171" s="180" t="s">
        <v>8</v>
      </c>
      <c r="AJ171" s="181" t="s">
        <v>8</v>
      </c>
      <c r="AK171" s="185" t="s">
        <v>8</v>
      </c>
    </row>
    <row r="172" spans="1:37" s="184" customFormat="1" ht="15.75" customHeight="1">
      <c r="A172" s="179">
        <v>40087</v>
      </c>
      <c r="B172" s="180">
        <v>127.21614191473223</v>
      </c>
      <c r="C172" s="181">
        <v>3.272161758713814E-3</v>
      </c>
      <c r="D172" s="181">
        <v>-2.2990548495504304E-2</v>
      </c>
      <c r="E172" s="180">
        <v>129.91815089196774</v>
      </c>
      <c r="F172" s="181">
        <v>1.9508862543098235E-2</v>
      </c>
      <c r="G172" s="181">
        <v>-5.7748291151069608E-3</v>
      </c>
      <c r="H172" s="180">
        <v>120.52157034789502</v>
      </c>
      <c r="I172" s="181">
        <v>1.1217867799208992E-3</v>
      </c>
      <c r="J172" s="181">
        <v>-4.0342952494004436E-2</v>
      </c>
      <c r="K172" s="180">
        <v>124.73592006307331</v>
      </c>
      <c r="L172" s="181">
        <v>5.1307585924872745E-3</v>
      </c>
      <c r="M172" s="181">
        <v>-2.546531948147035E-2</v>
      </c>
      <c r="N172" s="180">
        <v>136.41356306631982</v>
      </c>
      <c r="O172" s="181">
        <v>8.598438841371925E-4</v>
      </c>
      <c r="P172" s="181">
        <v>-2.151654734063102E-2</v>
      </c>
      <c r="Q172" s="180">
        <v>97.929583404726387</v>
      </c>
      <c r="R172" s="181">
        <v>6.1569959692441252E-3</v>
      </c>
      <c r="S172" s="181">
        <v>-2.0704165952736164E-2</v>
      </c>
      <c r="T172" s="180">
        <v>95.312167185009955</v>
      </c>
      <c r="U172" s="181">
        <v>1.2669076608719108E-2</v>
      </c>
      <c r="V172" s="181">
        <v>-6.9063446184389643E-2</v>
      </c>
      <c r="W172" s="180">
        <v>105.63391793404077</v>
      </c>
      <c r="X172" s="181">
        <v>-6.5509699999999999E-4</v>
      </c>
      <c r="Y172" s="181">
        <v>-1.2022982313108832E-2</v>
      </c>
      <c r="Z172" s="180" t="s">
        <v>8</v>
      </c>
      <c r="AA172" s="181" t="s">
        <v>8</v>
      </c>
      <c r="AB172" s="181" t="s">
        <v>8</v>
      </c>
      <c r="AC172" s="180" t="s">
        <v>8</v>
      </c>
      <c r="AD172" s="181" t="s">
        <v>8</v>
      </c>
      <c r="AE172" s="181" t="s">
        <v>8</v>
      </c>
      <c r="AF172" s="180" t="s">
        <v>8</v>
      </c>
      <c r="AG172" s="181" t="s">
        <v>8</v>
      </c>
      <c r="AH172" s="181" t="s">
        <v>8</v>
      </c>
      <c r="AI172" s="180" t="s">
        <v>8</v>
      </c>
      <c r="AJ172" s="181" t="s">
        <v>8</v>
      </c>
      <c r="AK172" s="185" t="s">
        <v>8</v>
      </c>
    </row>
    <row r="173" spans="1:37" s="184" customFormat="1" ht="15.75" customHeight="1">
      <c r="A173" s="179">
        <v>40118</v>
      </c>
      <c r="B173" s="180">
        <v>127.34518259912187</v>
      </c>
      <c r="C173" s="181">
        <v>1.0143420673464742E-3</v>
      </c>
      <c r="D173" s="181">
        <v>-1.7200012590073643E-2</v>
      </c>
      <c r="E173" s="180">
        <v>130.77142843060352</v>
      </c>
      <c r="F173" s="181">
        <v>6.5678085223466716E-3</v>
      </c>
      <c r="G173" s="181">
        <v>4.162380532887644E-3</v>
      </c>
      <c r="H173" s="180">
        <v>121.21905236858991</v>
      </c>
      <c r="I173" s="181">
        <v>5.7871965879763201E-3</v>
      </c>
      <c r="J173" s="181">
        <v>-3.233046070708856E-2</v>
      </c>
      <c r="K173" s="180">
        <v>126.04720607723229</v>
      </c>
      <c r="L173" s="181">
        <v>1.0512497230115568E-2</v>
      </c>
      <c r="M173" s="181">
        <v>-1.7579756453389384E-2</v>
      </c>
      <c r="N173" s="180">
        <v>135.04507683706063</v>
      </c>
      <c r="O173" s="181">
        <v>-1.0031892712852064E-2</v>
      </c>
      <c r="P173" s="181">
        <v>-2.4462681694374933E-2</v>
      </c>
      <c r="Q173" s="180">
        <v>98.312925176480803</v>
      </c>
      <c r="R173" s="181">
        <v>3.91446341776142E-3</v>
      </c>
      <c r="S173" s="181">
        <v>-1.8632375723536043E-2</v>
      </c>
      <c r="T173" s="180">
        <v>96.437729316608767</v>
      </c>
      <c r="U173" s="181">
        <v>1.1809217698449613E-2</v>
      </c>
      <c r="V173" s="181">
        <v>-4.9309635650970685E-2</v>
      </c>
      <c r="W173" s="180">
        <v>105.51903481588634</v>
      </c>
      <c r="X173" s="181">
        <v>-1.0875590000000001E-3</v>
      </c>
      <c r="Y173" s="181">
        <v>-1.0131029248546253E-2</v>
      </c>
      <c r="Z173" s="180" t="s">
        <v>8</v>
      </c>
      <c r="AA173" s="181" t="s">
        <v>8</v>
      </c>
      <c r="AB173" s="181" t="s">
        <v>8</v>
      </c>
      <c r="AC173" s="180" t="s">
        <v>8</v>
      </c>
      <c r="AD173" s="181" t="s">
        <v>8</v>
      </c>
      <c r="AE173" s="181" t="s">
        <v>8</v>
      </c>
      <c r="AF173" s="180" t="s">
        <v>8</v>
      </c>
      <c r="AG173" s="181" t="s">
        <v>8</v>
      </c>
      <c r="AH173" s="181" t="s">
        <v>8</v>
      </c>
      <c r="AI173" s="180" t="s">
        <v>8</v>
      </c>
      <c r="AJ173" s="181" t="s">
        <v>8</v>
      </c>
      <c r="AK173" s="185" t="s">
        <v>8</v>
      </c>
    </row>
    <row r="174" spans="1:37" s="184" customFormat="1" ht="15.75" customHeight="1">
      <c r="A174" s="179">
        <v>40148</v>
      </c>
      <c r="B174" s="180">
        <v>127.18122274662302</v>
      </c>
      <c r="C174" s="181">
        <v>-1.2875230075643485E-3</v>
      </c>
      <c r="D174" s="181">
        <v>-1.2888810880219648E-2</v>
      </c>
      <c r="E174" s="180">
        <v>131.38762019274503</v>
      </c>
      <c r="F174" s="181">
        <v>4.7119754638797499E-3</v>
      </c>
      <c r="G174" s="181">
        <v>2.434053736852726E-2</v>
      </c>
      <c r="H174" s="180">
        <v>122.27188962719218</v>
      </c>
      <c r="I174" s="181">
        <v>8.6854107339571843E-3</v>
      </c>
      <c r="J174" s="181">
        <v>-1.8812754063978421E-2</v>
      </c>
      <c r="K174" s="180">
        <v>127.66493848586138</v>
      </c>
      <c r="L174" s="181">
        <v>1.2834337697559621E-2</v>
      </c>
      <c r="M174" s="181">
        <v>-3.8742262961891649E-3</v>
      </c>
      <c r="N174" s="180">
        <v>131.04229307674993</v>
      </c>
      <c r="O174" s="181">
        <v>-2.9640353088474906E-2</v>
      </c>
      <c r="P174" s="181">
        <v>-4.8449460667004951E-2</v>
      </c>
      <c r="Q174" s="180">
        <v>97.773793444807978</v>
      </c>
      <c r="R174" s="181">
        <v>-5.4838336943492183E-3</v>
      </c>
      <c r="S174" s="181">
        <v>-1.8664468916786858E-2</v>
      </c>
      <c r="T174" s="180">
        <v>96.136341337999283</v>
      </c>
      <c r="U174" s="181">
        <v>-3.1252081601798199E-3</v>
      </c>
      <c r="V174" s="181">
        <v>1.0416292783508974E-2</v>
      </c>
      <c r="W174" s="180">
        <v>104.66374964607196</v>
      </c>
      <c r="X174" s="181">
        <v>-8.1055060000000002E-3</v>
      </c>
      <c r="Y174" s="181">
        <v>-1.8041185415203942E-2</v>
      </c>
      <c r="Z174" s="180" t="s">
        <v>8</v>
      </c>
      <c r="AA174" s="181" t="s">
        <v>8</v>
      </c>
      <c r="AB174" s="181" t="s">
        <v>8</v>
      </c>
      <c r="AC174" s="180" t="s">
        <v>8</v>
      </c>
      <c r="AD174" s="181" t="s">
        <v>8</v>
      </c>
      <c r="AE174" s="181" t="s">
        <v>8</v>
      </c>
      <c r="AF174" s="180" t="s">
        <v>8</v>
      </c>
      <c r="AG174" s="181" t="s">
        <v>8</v>
      </c>
      <c r="AH174" s="181" t="s">
        <v>8</v>
      </c>
      <c r="AI174" s="180" t="s">
        <v>8</v>
      </c>
      <c r="AJ174" s="181" t="s">
        <v>8</v>
      </c>
      <c r="AK174" s="185" t="s">
        <v>8</v>
      </c>
    </row>
    <row r="175" spans="1:37" s="184" customFormat="1" ht="15.75" customHeight="1">
      <c r="A175" s="179">
        <v>40179</v>
      </c>
      <c r="B175" s="180">
        <v>127.65239363654192</v>
      </c>
      <c r="C175" s="181">
        <v>3.7047205534229688E-3</v>
      </c>
      <c r="D175" s="181">
        <v>-3.435485061080823E-3</v>
      </c>
      <c r="E175" s="180">
        <v>132.66242116584729</v>
      </c>
      <c r="F175" s="181">
        <v>9.7025958094996909E-3</v>
      </c>
      <c r="G175" s="181">
        <v>2.8534669593977213E-2</v>
      </c>
      <c r="H175" s="180">
        <v>122.6158471574487</v>
      </c>
      <c r="I175" s="181">
        <v>2.8130548346415553E-3</v>
      </c>
      <c r="J175" s="181">
        <v>-1.0132955858878634E-2</v>
      </c>
      <c r="K175" s="180">
        <v>127.70337980161925</v>
      </c>
      <c r="L175" s="181">
        <v>3.0111098797984236E-4</v>
      </c>
      <c r="M175" s="181">
        <v>-8.3577095305464866E-4</v>
      </c>
      <c r="N175" s="180">
        <v>130.47048784497764</v>
      </c>
      <c r="O175" s="181">
        <v>-4.3635166811174988E-3</v>
      </c>
      <c r="P175" s="181">
        <v>-4.4306130017861656E-2</v>
      </c>
      <c r="Q175" s="180">
        <v>98.396266537529911</v>
      </c>
      <c r="R175" s="181">
        <v>6.3664615107043958E-3</v>
      </c>
      <c r="S175" s="181">
        <v>-1.70264988740636E-2</v>
      </c>
      <c r="T175" s="180">
        <v>97.48574377837096</v>
      </c>
      <c r="U175" s="181">
        <v>1.4036340696879691E-2</v>
      </c>
      <c r="V175" s="181">
        <v>-2.6333249279222537E-2</v>
      </c>
      <c r="W175" s="180">
        <v>103.63496119148463</v>
      </c>
      <c r="X175" s="181">
        <v>-9.8294630000000001E-3</v>
      </c>
      <c r="Y175" s="181">
        <v>-1.8500476825692891E-2</v>
      </c>
      <c r="Z175" s="180" t="s">
        <v>8</v>
      </c>
      <c r="AA175" s="181" t="s">
        <v>8</v>
      </c>
      <c r="AB175" s="181" t="s">
        <v>8</v>
      </c>
      <c r="AC175" s="180" t="s">
        <v>8</v>
      </c>
      <c r="AD175" s="181" t="s">
        <v>8</v>
      </c>
      <c r="AE175" s="181" t="s">
        <v>8</v>
      </c>
      <c r="AF175" s="180" t="s">
        <v>8</v>
      </c>
      <c r="AG175" s="181" t="s">
        <v>8</v>
      </c>
      <c r="AH175" s="181" t="s">
        <v>8</v>
      </c>
      <c r="AI175" s="180" t="s">
        <v>8</v>
      </c>
      <c r="AJ175" s="181" t="s">
        <v>8</v>
      </c>
      <c r="AK175" s="185" t="s">
        <v>8</v>
      </c>
    </row>
    <row r="176" spans="1:37" s="184" customFormat="1" ht="15.75" customHeight="1">
      <c r="A176" s="179">
        <v>40210</v>
      </c>
      <c r="B176" s="180">
        <v>128.28038173872685</v>
      </c>
      <c r="C176" s="181">
        <v>4.9195168558529324E-3</v>
      </c>
      <c r="D176" s="181">
        <v>2.8520109216216838E-3</v>
      </c>
      <c r="E176" s="180">
        <v>133.7960438368203</v>
      </c>
      <c r="F176" s="181">
        <v>8.5451679609843192E-3</v>
      </c>
      <c r="G176" s="181">
        <v>3.594289523754135E-2</v>
      </c>
      <c r="H176" s="180">
        <v>122.3821559786508</v>
      </c>
      <c r="I176" s="181">
        <v>-1.9058807178309921E-3</v>
      </c>
      <c r="J176" s="181">
        <v>-2.5718745824520051E-3</v>
      </c>
      <c r="K176" s="180">
        <v>127.70160854370668</v>
      </c>
      <c r="L176" s="181">
        <v>-1.3870094239640806E-5</v>
      </c>
      <c r="M176" s="181">
        <v>9.5910902406841636E-3</v>
      </c>
      <c r="N176" s="180">
        <v>131.43734172207434</v>
      </c>
      <c r="O176" s="181">
        <v>7.4105178348492949E-3</v>
      </c>
      <c r="P176" s="181">
        <v>-3.0577178803552041E-2</v>
      </c>
      <c r="Q176" s="180">
        <v>98.319520777164868</v>
      </c>
      <c r="R176" s="181">
        <v>-7.7996618231213728E-4</v>
      </c>
      <c r="S176" s="181">
        <v>-8.3977179233147847E-3</v>
      </c>
      <c r="T176" s="180">
        <v>97.485741603411327</v>
      </c>
      <c r="U176" s="181">
        <v>-2.2310540579439929E-8</v>
      </c>
      <c r="V176" s="181">
        <v>-1.8882683851887516E-2</v>
      </c>
      <c r="W176" s="180">
        <v>102.88700073147578</v>
      </c>
      <c r="X176" s="181">
        <v>-7.2172599999999996E-3</v>
      </c>
      <c r="Y176" s="181">
        <v>-1.6473978755426999E-2</v>
      </c>
      <c r="Z176" s="180" t="s">
        <v>8</v>
      </c>
      <c r="AA176" s="181" t="s">
        <v>8</v>
      </c>
      <c r="AB176" s="181" t="s">
        <v>8</v>
      </c>
      <c r="AC176" s="180" t="s">
        <v>8</v>
      </c>
      <c r="AD176" s="181" t="s">
        <v>8</v>
      </c>
      <c r="AE176" s="181" t="s">
        <v>8</v>
      </c>
      <c r="AF176" s="180" t="s">
        <v>8</v>
      </c>
      <c r="AG176" s="181" t="s">
        <v>8</v>
      </c>
      <c r="AH176" s="181" t="s">
        <v>8</v>
      </c>
      <c r="AI176" s="180" t="s">
        <v>8</v>
      </c>
      <c r="AJ176" s="181" t="s">
        <v>8</v>
      </c>
      <c r="AK176" s="185" t="s">
        <v>8</v>
      </c>
    </row>
    <row r="177" spans="1:37" s="184" customFormat="1" ht="15.75" customHeight="1">
      <c r="A177" s="179">
        <v>40238</v>
      </c>
      <c r="B177" s="180">
        <v>128.62432151326163</v>
      </c>
      <c r="C177" s="181">
        <v>2.6811564626874019E-3</v>
      </c>
      <c r="D177" s="181">
        <v>1.1130894140762626E-2</v>
      </c>
      <c r="E177" s="180">
        <v>134.64236654310668</v>
      </c>
      <c r="F177" s="181">
        <v>6.3254688406076511E-3</v>
      </c>
      <c r="G177" s="181">
        <v>4.1219509640104013E-2</v>
      </c>
      <c r="H177" s="180">
        <v>122.29036135128425</v>
      </c>
      <c r="I177" s="181">
        <v>-7.5006545384409757E-4</v>
      </c>
      <c r="J177" s="181">
        <v>6.0231517597837403E-3</v>
      </c>
      <c r="K177" s="180">
        <v>127.12431439362884</v>
      </c>
      <c r="L177" s="181">
        <v>-4.5206490087418725E-3</v>
      </c>
      <c r="M177" s="181">
        <v>-7.9764799296055955E-4</v>
      </c>
      <c r="N177" s="180">
        <v>132.43709859279147</v>
      </c>
      <c r="O177" s="181">
        <v>7.6063381807519367E-3</v>
      </c>
      <c r="P177" s="181">
        <v>-2.0443322965613464E-2</v>
      </c>
      <c r="Q177" s="180">
        <v>98.431764114454609</v>
      </c>
      <c r="R177" s="181">
        <v>1.141618026639364E-3</v>
      </c>
      <c r="S177" s="181">
        <v>-3.1547915968371809E-3</v>
      </c>
      <c r="T177" s="180">
        <v>95.550543269733112</v>
      </c>
      <c r="U177" s="181">
        <v>-1.9851091060587463E-2</v>
      </c>
      <c r="V177" s="181">
        <v>-2.6724137322329922E-2</v>
      </c>
      <c r="W177" s="180">
        <v>103.5626766416345</v>
      </c>
      <c r="X177" s="181">
        <v>6.5671650000000007E-3</v>
      </c>
      <c r="Y177" s="181">
        <v>-1.4041412431977096E-2</v>
      </c>
      <c r="Z177" s="180" t="s">
        <v>8</v>
      </c>
      <c r="AA177" s="181" t="s">
        <v>8</v>
      </c>
      <c r="AB177" s="181" t="s">
        <v>8</v>
      </c>
      <c r="AC177" s="180" t="s">
        <v>8</v>
      </c>
      <c r="AD177" s="181" t="s">
        <v>8</v>
      </c>
      <c r="AE177" s="181" t="s">
        <v>8</v>
      </c>
      <c r="AF177" s="180" t="s">
        <v>8</v>
      </c>
      <c r="AG177" s="181" t="s">
        <v>8</v>
      </c>
      <c r="AH177" s="181" t="s">
        <v>8</v>
      </c>
      <c r="AI177" s="180" t="s">
        <v>8</v>
      </c>
      <c r="AJ177" s="181" t="s">
        <v>8</v>
      </c>
      <c r="AK177" s="185" t="s">
        <v>8</v>
      </c>
    </row>
    <row r="178" spans="1:37" s="184" customFormat="1" ht="15.75" customHeight="1">
      <c r="A178" s="179">
        <v>40269</v>
      </c>
      <c r="B178" s="180">
        <v>129.21398528686873</v>
      </c>
      <c r="C178" s="181">
        <v>4.5843878254883388E-3</v>
      </c>
      <c r="D178" s="181">
        <v>1.7261766101511977E-2</v>
      </c>
      <c r="E178" s="180">
        <v>135.32811215622667</v>
      </c>
      <c r="F178" s="181">
        <v>5.0930894244229745E-3</v>
      </c>
      <c r="G178" s="181">
        <v>5.275415600953326E-2</v>
      </c>
      <c r="H178" s="180">
        <v>123.1747127601688</v>
      </c>
      <c r="I178" s="181">
        <v>7.2315708213848695E-3</v>
      </c>
      <c r="J178" s="181">
        <v>1.8676776672684969E-2</v>
      </c>
      <c r="K178" s="180">
        <v>126.30766889650236</v>
      </c>
      <c r="L178" s="181">
        <v>-6.4239913585516237E-3</v>
      </c>
      <c r="M178" s="181">
        <v>4.8868386192986168E-3</v>
      </c>
      <c r="N178" s="180">
        <v>132.67702224101433</v>
      </c>
      <c r="O178" s="181">
        <v>1.8116045335647213E-3</v>
      </c>
      <c r="P178" s="181">
        <v>-2.4370228595246624E-2</v>
      </c>
      <c r="Q178" s="180">
        <v>98.645110962953908</v>
      </c>
      <c r="R178" s="181">
        <v>2.1674593604888658E-3</v>
      </c>
      <c r="S178" s="181">
        <v>2.7185793677919623E-3</v>
      </c>
      <c r="T178" s="180">
        <v>95.795563429584817</v>
      </c>
      <c r="U178" s="181">
        <v>2.5642989716973654E-3</v>
      </c>
      <c r="V178" s="181">
        <v>-7.8138479295085661E-3</v>
      </c>
      <c r="W178" s="180">
        <v>103.40299987496938</v>
      </c>
      <c r="X178" s="181">
        <v>-1.5418370000000001E-3</v>
      </c>
      <c r="Y178" s="181">
        <v>-1.5009265520405379E-2</v>
      </c>
      <c r="Z178" s="180" t="s">
        <v>8</v>
      </c>
      <c r="AA178" s="181" t="s">
        <v>8</v>
      </c>
      <c r="AB178" s="181" t="s">
        <v>8</v>
      </c>
      <c r="AC178" s="180" t="s">
        <v>8</v>
      </c>
      <c r="AD178" s="181" t="s">
        <v>8</v>
      </c>
      <c r="AE178" s="181" t="s">
        <v>8</v>
      </c>
      <c r="AF178" s="180" t="s">
        <v>8</v>
      </c>
      <c r="AG178" s="181" t="s">
        <v>8</v>
      </c>
      <c r="AH178" s="181" t="s">
        <v>8</v>
      </c>
      <c r="AI178" s="180" t="s">
        <v>8</v>
      </c>
      <c r="AJ178" s="181" t="s">
        <v>8</v>
      </c>
      <c r="AK178" s="185" t="s">
        <v>8</v>
      </c>
    </row>
    <row r="179" spans="1:37" s="184" customFormat="1" ht="15.75" customHeight="1">
      <c r="A179" s="179">
        <v>40299</v>
      </c>
      <c r="B179" s="180">
        <v>129.34751041183912</v>
      </c>
      <c r="C179" s="181">
        <v>1.0333643426748962E-3</v>
      </c>
      <c r="D179" s="181">
        <v>2.0632532948875904E-2</v>
      </c>
      <c r="E179" s="180">
        <v>136.21720515007806</v>
      </c>
      <c r="F179" s="181">
        <v>6.5699061317353678E-3</v>
      </c>
      <c r="G179" s="181">
        <v>6.6070865614483942E-2</v>
      </c>
      <c r="H179" s="180">
        <v>123.13517807831913</v>
      </c>
      <c r="I179" s="181">
        <v>-3.2096427069938871E-4</v>
      </c>
      <c r="J179" s="181">
        <v>2.5343771345374799E-2</v>
      </c>
      <c r="K179" s="180">
        <v>124.75896015138447</v>
      </c>
      <c r="L179" s="181">
        <v>-1.2261399158485876E-2</v>
      </c>
      <c r="M179" s="181">
        <v>-3.9546798002124683E-3</v>
      </c>
      <c r="N179" s="180">
        <v>135.07356844158056</v>
      </c>
      <c r="O179" s="181">
        <v>1.8063008651285298E-2</v>
      </c>
      <c r="P179" s="181">
        <v>-7.7391709630506567E-3</v>
      </c>
      <c r="Q179" s="180">
        <v>99.517671343812893</v>
      </c>
      <c r="R179" s="181">
        <v>8.8454498387322399E-3</v>
      </c>
      <c r="S179" s="181">
        <v>1.5540521397184204E-2</v>
      </c>
      <c r="T179" s="180">
        <v>94.848036075057209</v>
      </c>
      <c r="U179" s="181">
        <v>-9.8911402637564278E-3</v>
      </c>
      <c r="V179" s="181">
        <v>-9.8798703258895504E-3</v>
      </c>
      <c r="W179" s="180">
        <v>103.50097532376302</v>
      </c>
      <c r="X179" s="181">
        <v>9.4751070000000006E-4</v>
      </c>
      <c r="Y179" s="181">
        <v>-3.1664706211987914E-3</v>
      </c>
      <c r="Z179" s="180" t="s">
        <v>8</v>
      </c>
      <c r="AA179" s="181" t="s">
        <v>8</v>
      </c>
      <c r="AB179" s="181" t="s">
        <v>8</v>
      </c>
      <c r="AC179" s="180" t="s">
        <v>8</v>
      </c>
      <c r="AD179" s="181" t="s">
        <v>8</v>
      </c>
      <c r="AE179" s="181" t="s">
        <v>8</v>
      </c>
      <c r="AF179" s="180" t="s">
        <v>8</v>
      </c>
      <c r="AG179" s="181" t="s">
        <v>8</v>
      </c>
      <c r="AH179" s="181" t="s">
        <v>8</v>
      </c>
      <c r="AI179" s="180" t="s">
        <v>8</v>
      </c>
      <c r="AJ179" s="181" t="s">
        <v>8</v>
      </c>
      <c r="AK179" s="185" t="s">
        <v>8</v>
      </c>
    </row>
    <row r="180" spans="1:37" s="184" customFormat="1" ht="15.75" customHeight="1">
      <c r="A180" s="179">
        <v>40330</v>
      </c>
      <c r="B180" s="180">
        <v>130.05712232500653</v>
      </c>
      <c r="C180" s="181">
        <v>5.4860886839494458E-3</v>
      </c>
      <c r="D180" s="181">
        <v>2.6991038472963025E-2</v>
      </c>
      <c r="E180" s="180">
        <v>135.87003452798726</v>
      </c>
      <c r="F180" s="181">
        <v>-2.5486547144195982E-3</v>
      </c>
      <c r="G180" s="181">
        <v>7.3209661992413855E-2</v>
      </c>
      <c r="H180" s="180">
        <v>123.99898263578</v>
      </c>
      <c r="I180" s="181">
        <v>7.0150916329650044E-3</v>
      </c>
      <c r="J180" s="181">
        <v>3.0601370125453276E-2</v>
      </c>
      <c r="K180" s="180">
        <v>125.55802366201432</v>
      </c>
      <c r="L180" s="181">
        <v>6.4048586943997151E-3</v>
      </c>
      <c r="M180" s="181">
        <v>4.2195867634571282E-3</v>
      </c>
      <c r="N180" s="180">
        <v>135.2409366583791</v>
      </c>
      <c r="O180" s="181">
        <v>1.2390893253917444E-3</v>
      </c>
      <c r="P180" s="181">
        <v>-1.1514155561506478E-2</v>
      </c>
      <c r="Q180" s="180">
        <v>99.93876346207557</v>
      </c>
      <c r="R180" s="181">
        <v>4.2313301002380628E-3</v>
      </c>
      <c r="S180" s="181">
        <v>2.8586234653083187E-2</v>
      </c>
      <c r="T180" s="180">
        <v>95.30667603783985</v>
      </c>
      <c r="U180" s="181">
        <v>4.8355240842277315E-3</v>
      </c>
      <c r="V180" s="181">
        <v>-4.416508070756886E-3</v>
      </c>
      <c r="W180" s="180">
        <v>103.27054861837631</v>
      </c>
      <c r="X180" s="181">
        <v>-2.226324E-3</v>
      </c>
      <c r="Y180" s="181">
        <v>-1.2265299441822641E-2</v>
      </c>
      <c r="Z180" s="180" t="s">
        <v>8</v>
      </c>
      <c r="AA180" s="181" t="s">
        <v>8</v>
      </c>
      <c r="AB180" s="181" t="s">
        <v>8</v>
      </c>
      <c r="AC180" s="180" t="s">
        <v>8</v>
      </c>
      <c r="AD180" s="181" t="s">
        <v>8</v>
      </c>
      <c r="AE180" s="181" t="s">
        <v>8</v>
      </c>
      <c r="AF180" s="180" t="s">
        <v>8</v>
      </c>
      <c r="AG180" s="181" t="s">
        <v>8</v>
      </c>
      <c r="AH180" s="181" t="s">
        <v>8</v>
      </c>
      <c r="AI180" s="180" t="s">
        <v>8</v>
      </c>
      <c r="AJ180" s="181" t="s">
        <v>8</v>
      </c>
      <c r="AK180" s="185" t="s">
        <v>8</v>
      </c>
    </row>
    <row r="181" spans="1:37" s="184" customFormat="1" ht="15.75" customHeight="1">
      <c r="A181" s="179">
        <v>40360</v>
      </c>
      <c r="B181" s="180">
        <v>130.12627650171748</v>
      </c>
      <c r="C181" s="181">
        <v>5.3172156568338737E-4</v>
      </c>
      <c r="D181" s="181">
        <v>2.6796088731117607E-2</v>
      </c>
      <c r="E181" s="180">
        <v>135.25875942837257</v>
      </c>
      <c r="F181" s="181">
        <v>-4.4989691931575674E-3</v>
      </c>
      <c r="G181" s="181">
        <v>6.1762992998828148E-2</v>
      </c>
      <c r="H181" s="180">
        <v>125.00286986206221</v>
      </c>
      <c r="I181" s="181">
        <v>8.0959311515556281E-3</v>
      </c>
      <c r="J181" s="181">
        <v>3.4875862297586657E-2</v>
      </c>
      <c r="K181" s="180">
        <v>125.3060465364707</v>
      </c>
      <c r="L181" s="181">
        <v>-2.0068580103004894E-3</v>
      </c>
      <c r="M181" s="181">
        <v>-1.9449664570320158E-3</v>
      </c>
      <c r="N181" s="180">
        <v>135.04060144157822</v>
      </c>
      <c r="O181" s="181">
        <v>-1.4813208319233362E-3</v>
      </c>
      <c r="P181" s="181">
        <v>-1.1331418737208776E-2</v>
      </c>
      <c r="Q181" s="180">
        <v>100.39591025210359</v>
      </c>
      <c r="R181" s="181">
        <v>4.5742690242661557E-3</v>
      </c>
      <c r="S181" s="181">
        <v>3.5457014198492898E-2</v>
      </c>
      <c r="T181" s="180">
        <v>95.162209293492168</v>
      </c>
      <c r="U181" s="181">
        <v>-1.5158092838146574E-3</v>
      </c>
      <c r="V181" s="181">
        <v>8.2549449160693733E-3</v>
      </c>
      <c r="W181" s="180">
        <v>103.26008189009747</v>
      </c>
      <c r="X181" s="181">
        <v>-1.013525E-4</v>
      </c>
      <c r="Y181" s="181">
        <v>-1.4948941635874902E-2</v>
      </c>
      <c r="Z181" s="180" t="s">
        <v>8</v>
      </c>
      <c r="AA181" s="181" t="s">
        <v>8</v>
      </c>
      <c r="AB181" s="181" t="s">
        <v>8</v>
      </c>
      <c r="AC181" s="180" t="s">
        <v>8</v>
      </c>
      <c r="AD181" s="181" t="s">
        <v>8</v>
      </c>
      <c r="AE181" s="181" t="s">
        <v>8</v>
      </c>
      <c r="AF181" s="180" t="s">
        <v>8</v>
      </c>
      <c r="AG181" s="181" t="s">
        <v>8</v>
      </c>
      <c r="AH181" s="181" t="s">
        <v>8</v>
      </c>
      <c r="AI181" s="180" t="s">
        <v>8</v>
      </c>
      <c r="AJ181" s="181" t="s">
        <v>8</v>
      </c>
      <c r="AK181" s="185" t="s">
        <v>8</v>
      </c>
    </row>
    <row r="182" spans="1:37" s="184" customFormat="1" ht="15.75" customHeight="1">
      <c r="A182" s="179">
        <v>40391</v>
      </c>
      <c r="B182" s="180">
        <v>130.61259082118784</v>
      </c>
      <c r="C182" s="181">
        <v>3.7372491747578217E-3</v>
      </c>
      <c r="D182" s="181">
        <v>3.1409397640646652E-2</v>
      </c>
      <c r="E182" s="180">
        <v>135.67981460634337</v>
      </c>
      <c r="F182" s="181">
        <v>3.1129605191579169E-3</v>
      </c>
      <c r="G182" s="181">
        <v>6.6673244939788878E-2</v>
      </c>
      <c r="H182" s="180">
        <v>124.72392189065437</v>
      </c>
      <c r="I182" s="181">
        <v>-2.2315325377382676E-3</v>
      </c>
      <c r="J182" s="181">
        <v>3.4185061935991579E-2</v>
      </c>
      <c r="K182" s="180">
        <v>125.68227251117172</v>
      </c>
      <c r="L182" s="181">
        <v>3.0024566659001108E-3</v>
      </c>
      <c r="M182" s="181">
        <v>3.5959715088980104E-3</v>
      </c>
      <c r="N182" s="180">
        <v>135.75873055745197</v>
      </c>
      <c r="O182" s="181">
        <v>5.3178755737727989E-3</v>
      </c>
      <c r="P182" s="181">
        <v>-4.6206345832654483E-3</v>
      </c>
      <c r="Q182" s="180">
        <v>100.34467120101769</v>
      </c>
      <c r="R182" s="181">
        <v>-5.103699040850773E-4</v>
      </c>
      <c r="S182" s="181">
        <v>3.8225792075219589E-2</v>
      </c>
      <c r="T182" s="180">
        <v>96.823047023047522</v>
      </c>
      <c r="U182" s="181">
        <v>1.7452702515902332E-2</v>
      </c>
      <c r="V182" s="181">
        <v>3.4091010463041416E-2</v>
      </c>
      <c r="W182" s="180">
        <v>102.96231006913042</v>
      </c>
      <c r="X182" s="181">
        <v>-2.8837069999999997E-3</v>
      </c>
      <c r="Y182" s="181">
        <v>-2.1377741960231567E-2</v>
      </c>
      <c r="Z182" s="180" t="s">
        <v>8</v>
      </c>
      <c r="AA182" s="181" t="s">
        <v>8</v>
      </c>
      <c r="AB182" s="181" t="s">
        <v>8</v>
      </c>
      <c r="AC182" s="180" t="s">
        <v>8</v>
      </c>
      <c r="AD182" s="181" t="s">
        <v>8</v>
      </c>
      <c r="AE182" s="181" t="s">
        <v>8</v>
      </c>
      <c r="AF182" s="180" t="s">
        <v>8</v>
      </c>
      <c r="AG182" s="181" t="s">
        <v>8</v>
      </c>
      <c r="AH182" s="181" t="s">
        <v>8</v>
      </c>
      <c r="AI182" s="180" t="s">
        <v>8</v>
      </c>
      <c r="AJ182" s="181" t="s">
        <v>8</v>
      </c>
      <c r="AK182" s="185" t="s">
        <v>8</v>
      </c>
    </row>
    <row r="183" spans="1:37" s="184" customFormat="1" ht="15.75" customHeight="1">
      <c r="A183" s="179">
        <v>40422</v>
      </c>
      <c r="B183" s="180">
        <v>131.18154297811373</v>
      </c>
      <c r="C183" s="181">
        <v>4.3560284146326109E-3</v>
      </c>
      <c r="D183" s="181">
        <v>3.4544737999593789E-2</v>
      </c>
      <c r="E183" s="180">
        <v>135.77844138334692</v>
      </c>
      <c r="F183" s="181">
        <v>7.269082530051385E-4</v>
      </c>
      <c r="G183" s="181">
        <v>6.5496417415290331E-2</v>
      </c>
      <c r="H183" s="180">
        <v>126.04216660322743</v>
      </c>
      <c r="I183" s="181">
        <v>1.0569301322393962E-2</v>
      </c>
      <c r="J183" s="181">
        <v>4.6979048440845217E-2</v>
      </c>
      <c r="K183" s="180">
        <v>126.6574446388226</v>
      </c>
      <c r="L183" s="181">
        <v>7.7590268553124724E-3</v>
      </c>
      <c r="M183" s="181">
        <v>2.0614537871947336E-2</v>
      </c>
      <c r="N183" s="180">
        <v>137.04825038546534</v>
      </c>
      <c r="O183" s="181">
        <v>9.4986143632778287E-3</v>
      </c>
      <c r="P183" s="181">
        <v>5.516514649685611E-3</v>
      </c>
      <c r="Q183" s="180">
        <v>100.44592521333827</v>
      </c>
      <c r="R183" s="181">
        <v>1.009062176483001E-3</v>
      </c>
      <c r="S183" s="181">
        <v>3.2010622901578634E-2</v>
      </c>
      <c r="T183" s="180">
        <v>97.068720371766432</v>
      </c>
      <c r="U183" s="181">
        <v>2.5373437035135192E-3</v>
      </c>
      <c r="V183" s="181">
        <v>3.1332035873866904E-2</v>
      </c>
      <c r="W183" s="180">
        <v>103.3916537384731</v>
      </c>
      <c r="X183" s="181">
        <v>4.1699110000000001E-3</v>
      </c>
      <c r="Y183" s="181">
        <v>-2.1867936008954758E-2</v>
      </c>
      <c r="Z183" s="180" t="s">
        <v>8</v>
      </c>
      <c r="AA183" s="181" t="s">
        <v>8</v>
      </c>
      <c r="AB183" s="181" t="s">
        <v>8</v>
      </c>
      <c r="AC183" s="180" t="s">
        <v>8</v>
      </c>
      <c r="AD183" s="181" t="s">
        <v>8</v>
      </c>
      <c r="AE183" s="181" t="s">
        <v>8</v>
      </c>
      <c r="AF183" s="180" t="s">
        <v>8</v>
      </c>
      <c r="AG183" s="181" t="s">
        <v>8</v>
      </c>
      <c r="AH183" s="181" t="s">
        <v>8</v>
      </c>
      <c r="AI183" s="180" t="s">
        <v>8</v>
      </c>
      <c r="AJ183" s="181" t="s">
        <v>8</v>
      </c>
      <c r="AK183" s="185" t="s">
        <v>8</v>
      </c>
    </row>
    <row r="184" spans="1:37" s="184" customFormat="1" ht="15.75" customHeight="1">
      <c r="A184" s="179">
        <v>40452</v>
      </c>
      <c r="B184" s="180">
        <v>131.44859526055359</v>
      </c>
      <c r="C184" s="181">
        <v>2.035745855531177E-3</v>
      </c>
      <c r="D184" s="181">
        <v>3.3269782294279793E-2</v>
      </c>
      <c r="E184" s="180">
        <v>135.73455214978969</v>
      </c>
      <c r="F184" s="181">
        <v>-3.2324154784872048E-4</v>
      </c>
      <c r="G184" s="181">
        <v>4.4769735544177625E-2</v>
      </c>
      <c r="H184" s="180">
        <v>126.59647992881875</v>
      </c>
      <c r="I184" s="181">
        <v>4.3978403460507654E-3</v>
      </c>
      <c r="J184" s="181">
        <v>5.0405164514435219E-2</v>
      </c>
      <c r="K184" s="180">
        <v>127.68807924340395</v>
      </c>
      <c r="L184" s="181">
        <v>8.1371814149599417E-3</v>
      </c>
      <c r="M184" s="181">
        <v>2.3667273860150884E-2</v>
      </c>
      <c r="N184" s="180">
        <v>138.67677333773162</v>
      </c>
      <c r="O184" s="181">
        <v>1.1882843799069707E-2</v>
      </c>
      <c r="P184" s="181">
        <v>1.6590800947787754E-2</v>
      </c>
      <c r="Q184" s="180">
        <v>100.74207035163684</v>
      </c>
      <c r="R184" s="181">
        <v>2.9483041514086939E-3</v>
      </c>
      <c r="S184" s="181">
        <v>2.8719482398765317E-2</v>
      </c>
      <c r="T184" s="180">
        <v>98.704525037906791</v>
      </c>
      <c r="U184" s="181">
        <v>1.6852026686612728E-2</v>
      </c>
      <c r="V184" s="181">
        <v>3.5592075524963684E-2</v>
      </c>
      <c r="W184" s="180">
        <v>103.71612766200889</v>
      </c>
      <c r="X184" s="181">
        <v>3.1382989999999998E-3</v>
      </c>
      <c r="Y184" s="181">
        <v>-1.815506145695911E-2</v>
      </c>
      <c r="Z184" s="180" t="s">
        <v>8</v>
      </c>
      <c r="AA184" s="181" t="s">
        <v>8</v>
      </c>
      <c r="AB184" s="181" t="s">
        <v>8</v>
      </c>
      <c r="AC184" s="180" t="s">
        <v>8</v>
      </c>
      <c r="AD184" s="181" t="s">
        <v>8</v>
      </c>
      <c r="AE184" s="181" t="s">
        <v>8</v>
      </c>
      <c r="AF184" s="180" t="s">
        <v>8</v>
      </c>
      <c r="AG184" s="181" t="s">
        <v>8</v>
      </c>
      <c r="AH184" s="181" t="s">
        <v>8</v>
      </c>
      <c r="AI184" s="180" t="s">
        <v>8</v>
      </c>
      <c r="AJ184" s="181" t="s">
        <v>8</v>
      </c>
      <c r="AK184" s="185" t="s">
        <v>8</v>
      </c>
    </row>
    <row r="185" spans="1:37" s="184" customFormat="1" ht="15.75" customHeight="1">
      <c r="A185" s="179">
        <v>40483</v>
      </c>
      <c r="B185" s="180">
        <v>132.05798688869046</v>
      </c>
      <c r="C185" s="181">
        <v>4.6359691172732373E-3</v>
      </c>
      <c r="D185" s="181">
        <v>3.7008108146535434E-2</v>
      </c>
      <c r="E185" s="180">
        <v>135.8823394372821</v>
      </c>
      <c r="F185" s="181">
        <v>1.088796368733731E-3</v>
      </c>
      <c r="G185" s="181">
        <v>3.9082780298532738E-2</v>
      </c>
      <c r="H185" s="180">
        <v>127.639162248744</v>
      </c>
      <c r="I185" s="181">
        <v>8.2362662888534714E-3</v>
      </c>
      <c r="J185" s="181">
        <v>5.296287798581778E-2</v>
      </c>
      <c r="K185" s="180">
        <v>129.02978310365702</v>
      </c>
      <c r="L185" s="181">
        <v>1.0507667342191471E-2</v>
      </c>
      <c r="M185" s="181">
        <v>2.366238109710439E-2</v>
      </c>
      <c r="N185" s="180">
        <v>138.98159371393788</v>
      </c>
      <c r="O185" s="181">
        <v>2.1980636617776718E-3</v>
      </c>
      <c r="P185" s="181">
        <v>2.9149651131872512E-2</v>
      </c>
      <c r="Q185" s="180">
        <v>101.47502285010258</v>
      </c>
      <c r="R185" s="181">
        <v>7.2755353935786311E-3</v>
      </c>
      <c r="S185" s="181">
        <v>3.2163600746753396E-2</v>
      </c>
      <c r="T185" s="180">
        <v>99.314973624864336</v>
      </c>
      <c r="U185" s="181">
        <v>6.1846058903896007E-3</v>
      </c>
      <c r="V185" s="181">
        <v>2.9835255647812531E-2</v>
      </c>
      <c r="W185" s="180">
        <v>103.95925994191931</v>
      </c>
      <c r="X185" s="181">
        <v>2.3442089999999999E-3</v>
      </c>
      <c r="Y185" s="181">
        <v>-1.478192893527297E-2</v>
      </c>
      <c r="Z185" s="180" t="s">
        <v>8</v>
      </c>
      <c r="AA185" s="181" t="s">
        <v>8</v>
      </c>
      <c r="AB185" s="181" t="s">
        <v>8</v>
      </c>
      <c r="AC185" s="180" t="s">
        <v>8</v>
      </c>
      <c r="AD185" s="181" t="s">
        <v>8</v>
      </c>
      <c r="AE185" s="181" t="s">
        <v>8</v>
      </c>
      <c r="AF185" s="180" t="s">
        <v>8</v>
      </c>
      <c r="AG185" s="181" t="s">
        <v>8</v>
      </c>
      <c r="AH185" s="181" t="s">
        <v>8</v>
      </c>
      <c r="AI185" s="180" t="s">
        <v>8</v>
      </c>
      <c r="AJ185" s="181" t="s">
        <v>8</v>
      </c>
      <c r="AK185" s="185" t="s">
        <v>8</v>
      </c>
    </row>
    <row r="186" spans="1:37" s="184" customFormat="1" ht="15.75" customHeight="1">
      <c r="A186" s="179">
        <v>40513</v>
      </c>
      <c r="B186" s="180">
        <v>132.06039313509498</v>
      </c>
      <c r="C186" s="181">
        <v>1.8221134981710739E-5</v>
      </c>
      <c r="D186" s="181">
        <v>3.8363921049827443E-2</v>
      </c>
      <c r="E186" s="180">
        <v>135.94630222010323</v>
      </c>
      <c r="F186" s="181">
        <v>4.7072182511740833E-4</v>
      </c>
      <c r="G186" s="181">
        <v>3.4696435026912331E-2</v>
      </c>
      <c r="H186" s="180">
        <v>127.53376180981356</v>
      </c>
      <c r="I186" s="181">
        <v>-8.2576880851849667E-4</v>
      </c>
      <c r="J186" s="181">
        <v>4.3034193702778722E-2</v>
      </c>
      <c r="K186" s="180">
        <v>129.95574047366412</v>
      </c>
      <c r="L186" s="181">
        <v>7.1763072659218443E-3</v>
      </c>
      <c r="M186" s="181">
        <v>1.7943861603445965E-2</v>
      </c>
      <c r="N186" s="180">
        <v>138.64417324020056</v>
      </c>
      <c r="O186" s="181">
        <v>-2.4278069111212373E-3</v>
      </c>
      <c r="P186" s="181">
        <v>5.8010890873210652E-2</v>
      </c>
      <c r="Q186" s="180">
        <v>101.52098767835132</v>
      </c>
      <c r="R186" s="181">
        <v>4.5296691695874582E-4</v>
      </c>
      <c r="S186" s="181">
        <v>3.8325139094235627E-2</v>
      </c>
      <c r="T186" s="180">
        <v>99.243595991750382</v>
      </c>
      <c r="U186" s="181">
        <v>-7.1869961304692252E-4</v>
      </c>
      <c r="V186" s="181">
        <v>3.2321332500334199E-2</v>
      </c>
      <c r="W186" s="180">
        <v>102.81580788344775</v>
      </c>
      <c r="X186" s="181">
        <v>-1.099904E-2</v>
      </c>
      <c r="Y186" s="181">
        <v>-1.7655986613064889E-2</v>
      </c>
      <c r="Z186" s="180" t="s">
        <v>8</v>
      </c>
      <c r="AA186" s="181" t="s">
        <v>8</v>
      </c>
      <c r="AB186" s="181" t="s">
        <v>8</v>
      </c>
      <c r="AC186" s="180" t="s">
        <v>8</v>
      </c>
      <c r="AD186" s="181" t="s">
        <v>8</v>
      </c>
      <c r="AE186" s="181" t="s">
        <v>8</v>
      </c>
      <c r="AF186" s="180" t="s">
        <v>8</v>
      </c>
      <c r="AG186" s="181" t="s">
        <v>8</v>
      </c>
      <c r="AH186" s="181" t="s">
        <v>8</v>
      </c>
      <c r="AI186" s="180" t="s">
        <v>8</v>
      </c>
      <c r="AJ186" s="181" t="s">
        <v>8</v>
      </c>
      <c r="AK186" s="185" t="s">
        <v>8</v>
      </c>
    </row>
    <row r="187" spans="1:37" s="184" customFormat="1" ht="15.75" customHeight="1">
      <c r="A187" s="179">
        <v>40544</v>
      </c>
      <c r="B187" s="180">
        <v>132.24339260219918</v>
      </c>
      <c r="C187" s="181">
        <v>1.3857255969015859E-3</v>
      </c>
      <c r="D187" s="181">
        <v>3.5964848248196457E-2</v>
      </c>
      <c r="E187" s="180">
        <v>136.34659523745836</v>
      </c>
      <c r="F187" s="181">
        <v>2.9444936038571967E-3</v>
      </c>
      <c r="G187" s="181">
        <v>2.7771045027177088E-2</v>
      </c>
      <c r="H187" s="180">
        <v>128.27255901533988</v>
      </c>
      <c r="I187" s="181">
        <v>5.7929539209239152E-3</v>
      </c>
      <c r="J187" s="181">
        <v>4.6133611511304018E-2</v>
      </c>
      <c r="K187" s="180">
        <v>131.1745250631007</v>
      </c>
      <c r="L187" s="181">
        <v>9.3784590430122314E-3</v>
      </c>
      <c r="M187" s="181">
        <v>2.7181310838238604E-2</v>
      </c>
      <c r="N187" s="180">
        <v>138.77480101347743</v>
      </c>
      <c r="O187" s="181">
        <v>9.4218004423865629E-4</v>
      </c>
      <c r="P187" s="181">
        <v>6.3648977678130603E-2</v>
      </c>
      <c r="Q187" s="180">
        <v>102.5539762926864</v>
      </c>
      <c r="R187" s="181">
        <v>1.0175123764633642E-2</v>
      </c>
      <c r="S187" s="181">
        <v>4.2254751135000435E-2</v>
      </c>
      <c r="T187" s="180">
        <v>101.65750740178801</v>
      </c>
      <c r="U187" s="181">
        <v>2.4323094965626638E-2</v>
      </c>
      <c r="V187" s="181">
        <v>4.2793576391039867E-2</v>
      </c>
      <c r="W187" s="180">
        <v>102.90430321772493</v>
      </c>
      <c r="X187" s="181">
        <v>8.6071720000000006E-4</v>
      </c>
      <c r="Y187" s="181">
        <v>-7.0503039260050304E-3</v>
      </c>
      <c r="Z187" s="180" t="s">
        <v>8</v>
      </c>
      <c r="AA187" s="181" t="s">
        <v>8</v>
      </c>
      <c r="AB187" s="181" t="s">
        <v>8</v>
      </c>
      <c r="AC187" s="180" t="s">
        <v>8</v>
      </c>
      <c r="AD187" s="181" t="s">
        <v>8</v>
      </c>
      <c r="AE187" s="181" t="s">
        <v>8</v>
      </c>
      <c r="AF187" s="180" t="s">
        <v>8</v>
      </c>
      <c r="AG187" s="181" t="s">
        <v>8</v>
      </c>
      <c r="AH187" s="181" t="s">
        <v>8</v>
      </c>
      <c r="AI187" s="180" t="s">
        <v>8</v>
      </c>
      <c r="AJ187" s="181" t="s">
        <v>8</v>
      </c>
      <c r="AK187" s="185" t="s">
        <v>8</v>
      </c>
    </row>
    <row r="188" spans="1:37" s="184" customFormat="1" ht="15.75" customHeight="1">
      <c r="A188" s="179">
        <v>40575</v>
      </c>
      <c r="B188" s="180">
        <v>132.99502569895211</v>
      </c>
      <c r="C188" s="181">
        <v>5.6837100286281084E-3</v>
      </c>
      <c r="D188" s="181">
        <v>3.6752649908913915E-2</v>
      </c>
      <c r="E188" s="180">
        <v>137.95136186136997</v>
      </c>
      <c r="F188" s="181">
        <v>1.1769759421691416E-2</v>
      </c>
      <c r="G188" s="181">
        <v>3.1057106812646618E-2</v>
      </c>
      <c r="H188" s="180">
        <v>128.73437908106672</v>
      </c>
      <c r="I188" s="181">
        <v>3.6003028962072435E-3</v>
      </c>
      <c r="J188" s="181">
        <v>5.1904814485569606E-2</v>
      </c>
      <c r="K188" s="180">
        <v>131.87774924343864</v>
      </c>
      <c r="L188" s="181">
        <v>5.3609813338348685E-3</v>
      </c>
      <c r="M188" s="181">
        <v>3.2702334350805273E-2</v>
      </c>
      <c r="N188" s="180">
        <v>140.25524674027818</v>
      </c>
      <c r="O188" s="181">
        <v>1.0667972254249385E-2</v>
      </c>
      <c r="P188" s="181">
        <v>6.7088278739305229E-2</v>
      </c>
      <c r="Q188" s="180">
        <v>103.24122354777778</v>
      </c>
      <c r="R188" s="181">
        <v>6.701322366379949E-3</v>
      </c>
      <c r="S188" s="181">
        <v>5.0058246131687856E-2</v>
      </c>
      <c r="T188" s="180">
        <v>102.46475107928823</v>
      </c>
      <c r="U188" s="181">
        <v>7.9408171430930315E-3</v>
      </c>
      <c r="V188" s="181">
        <v>5.1074232949187337E-2</v>
      </c>
      <c r="W188" s="180">
        <v>104.76352259993905</v>
      </c>
      <c r="X188" s="181">
        <v>1.806746E-2</v>
      </c>
      <c r="Y188" s="181">
        <v>1.8238668200279307E-2</v>
      </c>
      <c r="Z188" s="180" t="s">
        <v>8</v>
      </c>
      <c r="AA188" s="181" t="s">
        <v>8</v>
      </c>
      <c r="AB188" s="181" t="s">
        <v>8</v>
      </c>
      <c r="AC188" s="180" t="s">
        <v>8</v>
      </c>
      <c r="AD188" s="181" t="s">
        <v>8</v>
      </c>
      <c r="AE188" s="181" t="s">
        <v>8</v>
      </c>
      <c r="AF188" s="180" t="s">
        <v>8</v>
      </c>
      <c r="AG188" s="181" t="s">
        <v>8</v>
      </c>
      <c r="AH188" s="181" t="s">
        <v>8</v>
      </c>
      <c r="AI188" s="180" t="s">
        <v>8</v>
      </c>
      <c r="AJ188" s="181" t="s">
        <v>8</v>
      </c>
      <c r="AK188" s="185" t="s">
        <v>8</v>
      </c>
    </row>
    <row r="189" spans="1:37" s="184" customFormat="1" ht="15.75" customHeight="1">
      <c r="A189" s="179">
        <v>40603</v>
      </c>
      <c r="B189" s="180">
        <v>133.19332646955763</v>
      </c>
      <c r="C189" s="181">
        <v>1.4910390036271392E-3</v>
      </c>
      <c r="D189" s="181">
        <v>3.5522091798361188E-2</v>
      </c>
      <c r="E189" s="180">
        <v>138.55586868253505</v>
      </c>
      <c r="F189" s="181">
        <v>4.382028658568413E-3</v>
      </c>
      <c r="G189" s="181">
        <v>2.9065904290797251E-2</v>
      </c>
      <c r="H189" s="180">
        <v>128.01896890462586</v>
      </c>
      <c r="I189" s="181">
        <v>-5.5572581430664543E-3</v>
      </c>
      <c r="J189" s="181">
        <v>4.6844309641754567E-2</v>
      </c>
      <c r="K189" s="180">
        <v>131.1080254957165</v>
      </c>
      <c r="L189" s="181">
        <v>-5.8366460766727177E-3</v>
      </c>
      <c r="M189" s="181">
        <v>3.1337129494775295E-2</v>
      </c>
      <c r="N189" s="180">
        <v>139.50846523793135</v>
      </c>
      <c r="O189" s="181">
        <v>-5.3244461059607315E-3</v>
      </c>
      <c r="P189" s="181">
        <v>5.3394152546956786E-2</v>
      </c>
      <c r="Q189" s="180">
        <v>104.38901313654229</v>
      </c>
      <c r="R189" s="181">
        <v>1.1117551200207696E-2</v>
      </c>
      <c r="S189" s="181">
        <v>6.0521611856521274E-2</v>
      </c>
      <c r="T189" s="180">
        <v>104.43696835205864</v>
      </c>
      <c r="U189" s="181">
        <v>1.9247763274653287E-2</v>
      </c>
      <c r="V189" s="181">
        <v>9.3002350151371926E-2</v>
      </c>
      <c r="W189" s="180">
        <v>105.60126052433132</v>
      </c>
      <c r="X189" s="181">
        <v>7.9964657888734296E-3</v>
      </c>
      <c r="Y189" s="181">
        <v>1.9684542238620262E-2</v>
      </c>
      <c r="Z189" s="180" t="s">
        <v>8</v>
      </c>
      <c r="AA189" s="181" t="s">
        <v>8</v>
      </c>
      <c r="AB189" s="181" t="s">
        <v>8</v>
      </c>
      <c r="AC189" s="180" t="s">
        <v>8</v>
      </c>
      <c r="AD189" s="181" t="s">
        <v>8</v>
      </c>
      <c r="AE189" s="181" t="s">
        <v>8</v>
      </c>
      <c r="AF189" s="180" t="s">
        <v>8</v>
      </c>
      <c r="AG189" s="181" t="s">
        <v>8</v>
      </c>
      <c r="AH189" s="181" t="s">
        <v>8</v>
      </c>
      <c r="AI189" s="180" t="s">
        <v>8</v>
      </c>
      <c r="AJ189" s="181" t="s">
        <v>8</v>
      </c>
      <c r="AK189" s="185" t="s">
        <v>8</v>
      </c>
    </row>
    <row r="190" spans="1:37" s="184" customFormat="1" ht="15.75" customHeight="1">
      <c r="A190" s="179">
        <v>40634</v>
      </c>
      <c r="B190" s="180">
        <v>133.30049729130423</v>
      </c>
      <c r="C190" s="181">
        <v>8.0462606188524965E-4</v>
      </c>
      <c r="D190" s="181">
        <v>3.1625926523069392E-2</v>
      </c>
      <c r="E190" s="180">
        <v>139.40306883567899</v>
      </c>
      <c r="F190" s="181">
        <v>6.1145021224982129E-3</v>
      </c>
      <c r="G190" s="181">
        <v>3.0111679048238527E-2</v>
      </c>
      <c r="H190" s="180">
        <v>128.05715007070768</v>
      </c>
      <c r="I190" s="181">
        <v>2.9824616155325499E-4</v>
      </c>
      <c r="J190" s="181">
        <v>3.9638308879561768E-2</v>
      </c>
      <c r="K190" s="180">
        <v>129.78112551654365</v>
      </c>
      <c r="L190" s="181">
        <v>-1.0120661753206042E-2</v>
      </c>
      <c r="M190" s="181">
        <v>2.7499966157141786E-2</v>
      </c>
      <c r="N190" s="180">
        <v>140.62616706681013</v>
      </c>
      <c r="O190" s="181">
        <v>8.0117133177010878E-3</v>
      </c>
      <c r="P190" s="181">
        <v>5.9913500405185394E-2</v>
      </c>
      <c r="Q190" s="180">
        <v>104.74401033365385</v>
      </c>
      <c r="R190" s="181">
        <v>3.4007141790603512E-3</v>
      </c>
      <c r="S190" s="181">
        <v>6.1826676569813666E-2</v>
      </c>
      <c r="T190" s="180">
        <v>104.30312221158995</v>
      </c>
      <c r="U190" s="181">
        <v>-1.2815973364669953E-3</v>
      </c>
      <c r="V190" s="181">
        <v>8.8809528097391288E-2</v>
      </c>
      <c r="W190" s="180">
        <v>106.06875507589081</v>
      </c>
      <c r="X190" s="181">
        <v>4.4269788943643402E-3</v>
      </c>
      <c r="Y190" s="181">
        <v>2.5780250129539217E-2</v>
      </c>
      <c r="Z190" s="180" t="s">
        <v>8</v>
      </c>
      <c r="AA190" s="181" t="s">
        <v>8</v>
      </c>
      <c r="AB190" s="181" t="s">
        <v>8</v>
      </c>
      <c r="AC190" s="180" t="s">
        <v>8</v>
      </c>
      <c r="AD190" s="181" t="s">
        <v>8</v>
      </c>
      <c r="AE190" s="181" t="s">
        <v>8</v>
      </c>
      <c r="AF190" s="180" t="s">
        <v>8</v>
      </c>
      <c r="AG190" s="181" t="s">
        <v>8</v>
      </c>
      <c r="AH190" s="181" t="s">
        <v>8</v>
      </c>
      <c r="AI190" s="180" t="s">
        <v>8</v>
      </c>
      <c r="AJ190" s="181" t="s">
        <v>8</v>
      </c>
      <c r="AK190" s="185" t="s">
        <v>8</v>
      </c>
    </row>
    <row r="191" spans="1:37" s="184" customFormat="1" ht="15.75" customHeight="1">
      <c r="A191" s="179">
        <v>40664</v>
      </c>
      <c r="B191" s="180">
        <v>133.65692147893165</v>
      </c>
      <c r="C191" s="181">
        <v>2.673839894599319E-3</v>
      </c>
      <c r="D191" s="181">
        <v>3.3316536618072323E-2</v>
      </c>
      <c r="E191" s="180">
        <v>140.11587686602854</v>
      </c>
      <c r="F191" s="181">
        <v>5.1132879376549843E-3</v>
      </c>
      <c r="G191" s="181">
        <v>2.8620993300039421E-2</v>
      </c>
      <c r="H191" s="180">
        <v>128.34379425753934</v>
      </c>
      <c r="I191" s="181">
        <v>2.2384082940575876E-3</v>
      </c>
      <c r="J191" s="181">
        <v>4.2299984947496538E-2</v>
      </c>
      <c r="K191" s="180">
        <v>130.55172990492807</v>
      </c>
      <c r="L191" s="181">
        <v>5.9377231112560883E-3</v>
      </c>
      <c r="M191" s="181">
        <v>4.643169313462181E-2</v>
      </c>
      <c r="N191" s="180">
        <v>141.14682732458257</v>
      </c>
      <c r="O191" s="181">
        <v>3.7024422170669037E-3</v>
      </c>
      <c r="P191" s="181">
        <v>4.4962600404154562E-2</v>
      </c>
      <c r="Q191" s="180">
        <v>105.27897032550686</v>
      </c>
      <c r="R191" s="181">
        <v>5.1073086675691125E-3</v>
      </c>
      <c r="S191" s="181">
        <v>5.789222058653154E-2</v>
      </c>
      <c r="T191" s="180">
        <v>104.8917884697744</v>
      </c>
      <c r="U191" s="181">
        <v>5.6438028479174097E-3</v>
      </c>
      <c r="V191" s="181">
        <v>0.10589309816356285</v>
      </c>
      <c r="W191" s="180">
        <v>105.79125818822807</v>
      </c>
      <c r="X191" s="181">
        <v>-2.6161982146787497E-3</v>
      </c>
      <c r="Y191" s="181">
        <v>2.2128128332131958E-2</v>
      </c>
      <c r="Z191" s="180" t="s">
        <v>8</v>
      </c>
      <c r="AA191" s="181" t="s">
        <v>8</v>
      </c>
      <c r="AB191" s="181" t="s">
        <v>8</v>
      </c>
      <c r="AC191" s="180" t="s">
        <v>8</v>
      </c>
      <c r="AD191" s="181" t="s">
        <v>8</v>
      </c>
      <c r="AE191" s="181" t="s">
        <v>8</v>
      </c>
      <c r="AF191" s="180" t="s">
        <v>8</v>
      </c>
      <c r="AG191" s="181" t="s">
        <v>8</v>
      </c>
      <c r="AH191" s="181" t="s">
        <v>8</v>
      </c>
      <c r="AI191" s="180" t="s">
        <v>8</v>
      </c>
      <c r="AJ191" s="181" t="s">
        <v>8</v>
      </c>
      <c r="AK191" s="185" t="s">
        <v>8</v>
      </c>
    </row>
    <row r="192" spans="1:37" s="184" customFormat="1" ht="15.75" customHeight="1">
      <c r="A192" s="179">
        <v>40695</v>
      </c>
      <c r="B192" s="180">
        <v>134.00592632729595</v>
      </c>
      <c r="C192" s="181">
        <v>2.6111992143955519E-3</v>
      </c>
      <c r="D192" s="181">
        <v>3.0362074230902536E-2</v>
      </c>
      <c r="E192" s="180">
        <v>140.27002769975604</v>
      </c>
      <c r="F192" s="181">
        <v>1.1001667846312602E-3</v>
      </c>
      <c r="G192" s="181">
        <v>3.2383837886362343E-2</v>
      </c>
      <c r="H192" s="180">
        <v>129.24464603239642</v>
      </c>
      <c r="I192" s="181">
        <v>7.0190520707950239E-3</v>
      </c>
      <c r="J192" s="181">
        <v>4.2304084155467825E-2</v>
      </c>
      <c r="K192" s="180">
        <v>130.3696791698581</v>
      </c>
      <c r="L192" s="181">
        <v>-1.3944720242506569E-3</v>
      </c>
      <c r="M192" s="181">
        <v>3.8322166656558077E-2</v>
      </c>
      <c r="N192" s="180">
        <v>141.7439859822573</v>
      </c>
      <c r="O192" s="181">
        <v>4.230762171518767E-3</v>
      </c>
      <c r="P192" s="181">
        <v>4.8084917810832684E-2</v>
      </c>
      <c r="Q192" s="180">
        <v>106.11861803738961</v>
      </c>
      <c r="R192" s="181">
        <v>7.975455205219785E-3</v>
      </c>
      <c r="S192" s="181">
        <v>6.1836412231167426E-2</v>
      </c>
      <c r="T192" s="180">
        <v>104.33653899441036</v>
      </c>
      <c r="U192" s="181">
        <v>-5.2935456956579394E-3</v>
      </c>
      <c r="V192" s="181">
        <v>9.4745335080045789E-2</v>
      </c>
      <c r="W192" s="180">
        <v>106.31356076200056</v>
      </c>
      <c r="X192" s="181">
        <v>4.9371052270047299E-3</v>
      </c>
      <c r="Y192" s="181">
        <v>2.9466408229023022E-2</v>
      </c>
      <c r="Z192" s="180" t="s">
        <v>8</v>
      </c>
      <c r="AA192" s="181" t="s">
        <v>8</v>
      </c>
      <c r="AB192" s="181" t="s">
        <v>8</v>
      </c>
      <c r="AC192" s="180" t="s">
        <v>8</v>
      </c>
      <c r="AD192" s="181" t="s">
        <v>8</v>
      </c>
      <c r="AE192" s="181" t="s">
        <v>8</v>
      </c>
      <c r="AF192" s="180" t="s">
        <v>8</v>
      </c>
      <c r="AG192" s="181" t="s">
        <v>8</v>
      </c>
      <c r="AH192" s="181" t="s">
        <v>8</v>
      </c>
      <c r="AI192" s="180" t="s">
        <v>8</v>
      </c>
      <c r="AJ192" s="181" t="s">
        <v>8</v>
      </c>
      <c r="AK192" s="185" t="s">
        <v>8</v>
      </c>
    </row>
    <row r="193" spans="1:37" s="184" customFormat="1" ht="15.75" customHeight="1">
      <c r="A193" s="179">
        <v>40725</v>
      </c>
      <c r="B193" s="180">
        <v>134.65248562718162</v>
      </c>
      <c r="C193" s="181">
        <v>4.8248560164908354E-3</v>
      </c>
      <c r="D193" s="181">
        <v>3.4783206337302586E-2</v>
      </c>
      <c r="E193" s="180">
        <v>140.11218934709467</v>
      </c>
      <c r="F193" s="181">
        <v>-1.1252464639076498E-3</v>
      </c>
      <c r="G193" s="181">
        <v>3.5882555327533261E-2</v>
      </c>
      <c r="H193" s="180">
        <v>129.62030283731545</v>
      </c>
      <c r="I193" s="181">
        <v>2.9065560272791345E-3</v>
      </c>
      <c r="J193" s="181">
        <v>3.6938615732170499E-2</v>
      </c>
      <c r="K193" s="180">
        <v>129.98001751690282</v>
      </c>
      <c r="L193" s="181">
        <v>-2.988897843704934E-3</v>
      </c>
      <c r="M193" s="181">
        <v>3.7300442473633844E-2</v>
      </c>
      <c r="N193" s="180">
        <v>141.83112147299258</v>
      </c>
      <c r="O193" s="181">
        <v>6.1473853815698922E-4</v>
      </c>
      <c r="P193" s="181">
        <v>5.0285025088192548E-2</v>
      </c>
      <c r="Q193" s="180">
        <v>106.56460868186134</v>
      </c>
      <c r="R193" s="181">
        <v>4.2027558662195005E-3</v>
      </c>
      <c r="S193" s="181">
        <v>6.1443722301711023E-2</v>
      </c>
      <c r="T193" s="180">
        <v>104.91815234984125</v>
      </c>
      <c r="U193" s="181">
        <v>5.5743976274892472E-3</v>
      </c>
      <c r="V193" s="181">
        <v>0.10251908955014422</v>
      </c>
      <c r="W193" s="180">
        <v>107.52889326704941</v>
      </c>
      <c r="X193" s="181">
        <v>1.14315849863175E-2</v>
      </c>
      <c r="Y193" s="181">
        <v>4.1340383416462512E-2</v>
      </c>
      <c r="Z193" s="180" t="s">
        <v>8</v>
      </c>
      <c r="AA193" s="181" t="s">
        <v>8</v>
      </c>
      <c r="AB193" s="181" t="s">
        <v>8</v>
      </c>
      <c r="AC193" s="180" t="s">
        <v>8</v>
      </c>
      <c r="AD193" s="181" t="s">
        <v>8</v>
      </c>
      <c r="AE193" s="181" t="s">
        <v>8</v>
      </c>
      <c r="AF193" s="180" t="s">
        <v>8</v>
      </c>
      <c r="AG193" s="181" t="s">
        <v>8</v>
      </c>
      <c r="AH193" s="181" t="s">
        <v>8</v>
      </c>
      <c r="AI193" s="180" t="s">
        <v>8</v>
      </c>
      <c r="AJ193" s="181" t="s">
        <v>8</v>
      </c>
      <c r="AK193" s="185" t="s">
        <v>8</v>
      </c>
    </row>
    <row r="194" spans="1:37" s="184" customFormat="1" ht="15.75" customHeight="1">
      <c r="A194" s="179">
        <v>40756</v>
      </c>
      <c r="B194" s="180">
        <v>134.90377471220506</v>
      </c>
      <c r="C194" s="181">
        <v>1.8662045773087811E-3</v>
      </c>
      <c r="D194" s="181">
        <v>3.2854289651845114E-2</v>
      </c>
      <c r="E194" s="180">
        <v>140.5153995447323</v>
      </c>
      <c r="F194" s="181">
        <v>2.8777667347613532E-3</v>
      </c>
      <c r="G194" s="181">
        <v>3.5639678255890317E-2</v>
      </c>
      <c r="H194" s="180">
        <v>130.62904429674853</v>
      </c>
      <c r="I194" s="181">
        <v>7.7822797613668858E-3</v>
      </c>
      <c r="J194" s="181">
        <v>4.7345547803341104E-2</v>
      </c>
      <c r="K194" s="180">
        <v>129.4721433792964</v>
      </c>
      <c r="L194" s="181">
        <v>-3.9073247358223503E-3</v>
      </c>
      <c r="M194" s="181">
        <v>3.0154378914399427E-2</v>
      </c>
      <c r="N194" s="180">
        <v>141.44503914189536</v>
      </c>
      <c r="O194" s="181">
        <v>-2.7221270415655964E-3</v>
      </c>
      <c r="P194" s="181">
        <v>4.1885398906532867E-2</v>
      </c>
      <c r="Q194" s="180">
        <v>106.56635403042362</v>
      </c>
      <c r="R194" s="181">
        <v>1.6378313437037662E-5</v>
      </c>
      <c r="S194" s="181">
        <v>6.2003121390892924E-2</v>
      </c>
      <c r="T194" s="180">
        <v>105.46941510578</v>
      </c>
      <c r="U194" s="181">
        <v>5.2542171549172867E-3</v>
      </c>
      <c r="V194" s="181">
        <v>8.9300722798718812E-2</v>
      </c>
      <c r="W194" s="180">
        <v>107.0957053101439</v>
      </c>
      <c r="X194" s="181">
        <v>-4.0285726351677997E-3</v>
      </c>
      <c r="Y194" s="181">
        <v>4.0144740713745186E-2</v>
      </c>
      <c r="Z194" s="180" t="s">
        <v>8</v>
      </c>
      <c r="AA194" s="181" t="s">
        <v>8</v>
      </c>
      <c r="AB194" s="181" t="s">
        <v>8</v>
      </c>
      <c r="AC194" s="180" t="s">
        <v>8</v>
      </c>
      <c r="AD194" s="181" t="s">
        <v>8</v>
      </c>
      <c r="AE194" s="181" t="s">
        <v>8</v>
      </c>
      <c r="AF194" s="180" t="s">
        <v>8</v>
      </c>
      <c r="AG194" s="181" t="s">
        <v>8</v>
      </c>
      <c r="AH194" s="181" t="s">
        <v>8</v>
      </c>
      <c r="AI194" s="180" t="s">
        <v>8</v>
      </c>
      <c r="AJ194" s="181" t="s">
        <v>8</v>
      </c>
      <c r="AK194" s="185" t="s">
        <v>8</v>
      </c>
    </row>
    <row r="195" spans="1:37" s="184" customFormat="1" ht="15.75" customHeight="1">
      <c r="A195" s="179">
        <v>40787</v>
      </c>
      <c r="B195" s="180">
        <v>135.41903071625504</v>
      </c>
      <c r="C195" s="181">
        <v>3.819433556616101E-3</v>
      </c>
      <c r="D195" s="181">
        <v>3.2302469096954445E-2</v>
      </c>
      <c r="E195" s="180">
        <v>140.80938924391987</v>
      </c>
      <c r="F195" s="181">
        <v>2.0922240561538265E-3</v>
      </c>
      <c r="G195" s="181">
        <v>3.7052626391320453E-2</v>
      </c>
      <c r="H195" s="180">
        <v>131.20012968957144</v>
      </c>
      <c r="I195" s="181">
        <v>4.3718102348325513E-3</v>
      </c>
      <c r="J195" s="181">
        <v>4.0922520021263509E-2</v>
      </c>
      <c r="K195" s="180">
        <v>129.92486578576046</v>
      </c>
      <c r="L195" s="181">
        <v>3.4966780857081446E-3</v>
      </c>
      <c r="M195" s="181">
        <v>2.579730829289395E-2</v>
      </c>
      <c r="N195" s="180">
        <v>142.01411718739959</v>
      </c>
      <c r="O195" s="181">
        <v>4.0233156917815682E-3</v>
      </c>
      <c r="P195" s="181">
        <v>3.6234441431883591E-2</v>
      </c>
      <c r="Q195" s="180">
        <v>106.69284063206445</v>
      </c>
      <c r="R195" s="181">
        <v>1.1869281143344834E-3</v>
      </c>
      <c r="S195" s="181">
        <v>6.2191825158245839E-2</v>
      </c>
      <c r="T195" s="180">
        <v>105.50189141989352</v>
      </c>
      <c r="U195" s="181">
        <v>3.0792162904244911E-4</v>
      </c>
      <c r="V195" s="181">
        <v>8.6878358093406716E-2</v>
      </c>
      <c r="W195" s="180">
        <v>107.42839491718487</v>
      </c>
      <c r="X195" s="181">
        <v>3.106470106130983E-3</v>
      </c>
      <c r="Y195" s="181">
        <v>3.9043201581073772E-2</v>
      </c>
      <c r="Z195" s="180" t="s">
        <v>8</v>
      </c>
      <c r="AA195" s="181" t="s">
        <v>8</v>
      </c>
      <c r="AB195" s="181" t="s">
        <v>8</v>
      </c>
      <c r="AC195" s="180" t="s">
        <v>8</v>
      </c>
      <c r="AD195" s="181" t="s">
        <v>8</v>
      </c>
      <c r="AE195" s="181" t="s">
        <v>8</v>
      </c>
      <c r="AF195" s="180" t="s">
        <v>8</v>
      </c>
      <c r="AG195" s="181" t="s">
        <v>8</v>
      </c>
      <c r="AH195" s="181" t="s">
        <v>8</v>
      </c>
      <c r="AI195" s="180" t="s">
        <v>8</v>
      </c>
      <c r="AJ195" s="181" t="s">
        <v>8</v>
      </c>
      <c r="AK195" s="185" t="s">
        <v>8</v>
      </c>
    </row>
    <row r="196" spans="1:37" s="184" customFormat="1" ht="15.75" customHeight="1">
      <c r="A196" s="179">
        <v>40817</v>
      </c>
      <c r="B196" s="180">
        <v>135.81254113399132</v>
      </c>
      <c r="C196" s="181">
        <v>2.9058723552732825E-3</v>
      </c>
      <c r="D196" s="181">
        <v>3.3198877970415985E-2</v>
      </c>
      <c r="E196" s="180">
        <v>141.31779010073484</v>
      </c>
      <c r="F196" s="181">
        <v>3.6105607697387797E-3</v>
      </c>
      <c r="G196" s="181">
        <v>4.1133505526166791E-2</v>
      </c>
      <c r="H196" s="180">
        <v>130.75135044392536</v>
      </c>
      <c r="I196" s="181">
        <v>-3.4205701374526677E-3</v>
      </c>
      <c r="J196" s="181">
        <v>3.2819794969360716E-2</v>
      </c>
      <c r="K196" s="180">
        <v>130.46087062555117</v>
      </c>
      <c r="L196" s="181">
        <v>4.1254985067641714E-3</v>
      </c>
      <c r="M196" s="181">
        <v>2.1715350395878463E-2</v>
      </c>
      <c r="N196" s="180">
        <v>141.50916497813805</v>
      </c>
      <c r="O196" s="181">
        <v>-3.555647982483505E-3</v>
      </c>
      <c r="P196" s="181">
        <v>2.0424412626824484E-2</v>
      </c>
      <c r="Q196" s="180">
        <v>107.81149248915247</v>
      </c>
      <c r="R196" s="181">
        <v>1.0484788393119544E-2</v>
      </c>
      <c r="S196" s="181">
        <v>7.01734847501152E-2</v>
      </c>
      <c r="T196" s="180">
        <v>105.6840076009394</v>
      </c>
      <c r="U196" s="181">
        <v>1.7261887781807573E-3</v>
      </c>
      <c r="V196" s="181">
        <v>7.0710867210517225E-2</v>
      </c>
      <c r="W196" s="180">
        <v>107.43670963949931</v>
      </c>
      <c r="X196" s="181">
        <v>7.7397808287567036E-5</v>
      </c>
      <c r="Y196" s="181">
        <v>3.5872742854564432E-2</v>
      </c>
      <c r="Z196" s="180" t="s">
        <v>8</v>
      </c>
      <c r="AA196" s="181" t="s">
        <v>8</v>
      </c>
      <c r="AB196" s="181" t="s">
        <v>8</v>
      </c>
      <c r="AC196" s="180" t="s">
        <v>8</v>
      </c>
      <c r="AD196" s="181" t="s">
        <v>8</v>
      </c>
      <c r="AE196" s="181" t="s">
        <v>8</v>
      </c>
      <c r="AF196" s="180" t="s">
        <v>8</v>
      </c>
      <c r="AG196" s="181" t="s">
        <v>8</v>
      </c>
      <c r="AH196" s="181" t="s">
        <v>8</v>
      </c>
      <c r="AI196" s="180" t="s">
        <v>8</v>
      </c>
      <c r="AJ196" s="181" t="s">
        <v>8</v>
      </c>
      <c r="AK196" s="185" t="s">
        <v>8</v>
      </c>
    </row>
    <row r="197" spans="1:37" s="184" customFormat="1" ht="15.75" customHeight="1">
      <c r="A197" s="179">
        <v>40848</v>
      </c>
      <c r="B197" s="180">
        <v>136.25453414778315</v>
      </c>
      <c r="C197" s="181">
        <v>3.2544344587128069E-3</v>
      </c>
      <c r="D197" s="181">
        <v>3.1778064757490787E-2</v>
      </c>
      <c r="E197" s="180">
        <v>141.63800149463842</v>
      </c>
      <c r="F197" s="181">
        <v>2.2658958484655135E-3</v>
      </c>
      <c r="G197" s="181">
        <v>4.235769034586645E-2</v>
      </c>
      <c r="H197" s="180">
        <v>131.87943128290303</v>
      </c>
      <c r="I197" s="181">
        <v>8.627680212461462E-3</v>
      </c>
      <c r="J197" s="181">
        <v>3.3220752623678074E-2</v>
      </c>
      <c r="K197" s="180">
        <v>131.71546857075595</v>
      </c>
      <c r="L197" s="181">
        <v>9.6166608362267467E-3</v>
      </c>
      <c r="M197" s="181">
        <v>2.081446161109457E-2</v>
      </c>
      <c r="N197" s="180">
        <v>143.80051598412808</v>
      </c>
      <c r="O197" s="181">
        <v>1.6192244554223988E-2</v>
      </c>
      <c r="P197" s="181">
        <v>3.4673096928999447E-2</v>
      </c>
      <c r="Q197" s="180">
        <v>108.25750349501753</v>
      </c>
      <c r="R197" s="181">
        <v>4.1369523375250107E-3</v>
      </c>
      <c r="S197" s="181">
        <v>6.6838917148448695E-2</v>
      </c>
      <c r="T197" s="180">
        <v>104.52849397835891</v>
      </c>
      <c r="U197" s="181">
        <v>-1.0933665829021945E-2</v>
      </c>
      <c r="V197" s="181">
        <v>5.2494806807151129E-2</v>
      </c>
      <c r="W197" s="180">
        <v>107.68160228864704</v>
      </c>
      <c r="X197" s="181">
        <v>2.2794131537485331E-3</v>
      </c>
      <c r="Y197" s="181">
        <v>3.5805779579494379E-2</v>
      </c>
      <c r="Z197" s="180" t="s">
        <v>8</v>
      </c>
      <c r="AA197" s="181" t="s">
        <v>8</v>
      </c>
      <c r="AB197" s="181" t="s">
        <v>8</v>
      </c>
      <c r="AC197" s="180" t="s">
        <v>8</v>
      </c>
      <c r="AD197" s="181" t="s">
        <v>8</v>
      </c>
      <c r="AE197" s="181" t="s">
        <v>8</v>
      </c>
      <c r="AF197" s="180" t="s">
        <v>8</v>
      </c>
      <c r="AG197" s="181" t="s">
        <v>8</v>
      </c>
      <c r="AH197" s="181" t="s">
        <v>8</v>
      </c>
      <c r="AI197" s="180" t="s">
        <v>8</v>
      </c>
      <c r="AJ197" s="181" t="s">
        <v>8</v>
      </c>
      <c r="AK197" s="185" t="s">
        <v>8</v>
      </c>
    </row>
    <row r="198" spans="1:37" s="184" customFormat="1" ht="15.75" customHeight="1">
      <c r="A198" s="179">
        <v>40878</v>
      </c>
      <c r="B198" s="180">
        <v>136.34526119202903</v>
      </c>
      <c r="C198" s="181">
        <v>6.6586440453755282E-4</v>
      </c>
      <c r="D198" s="181">
        <v>3.2446276701226573E-2</v>
      </c>
      <c r="E198" s="180">
        <v>142.45160623615973</v>
      </c>
      <c r="F198" s="181">
        <v>5.7442545993004225E-3</v>
      </c>
      <c r="G198" s="181">
        <v>4.7852011491449797E-2</v>
      </c>
      <c r="H198" s="180">
        <v>128.8195552042796</v>
      </c>
      <c r="I198" s="181">
        <v>-2.3202072141632848E-2</v>
      </c>
      <c r="J198" s="181">
        <v>1.0081984379818554E-2</v>
      </c>
      <c r="K198" s="180">
        <v>132.3095333352143</v>
      </c>
      <c r="L198" s="181">
        <v>4.5102125885785726E-3</v>
      </c>
      <c r="M198" s="181">
        <v>1.811226539875066E-2</v>
      </c>
      <c r="N198" s="180">
        <v>144.11939335161111</v>
      </c>
      <c r="O198" s="181">
        <v>2.217498075724811E-3</v>
      </c>
      <c r="P198" s="181">
        <v>3.9491166368201824E-2</v>
      </c>
      <c r="Q198" s="180">
        <v>110.2724111577032</v>
      </c>
      <c r="R198" s="181">
        <v>1.8612175578004164E-2</v>
      </c>
      <c r="S198" s="181">
        <v>8.6203096320132344E-2</v>
      </c>
      <c r="T198" s="180">
        <v>103.64823347199668</v>
      </c>
      <c r="U198" s="181">
        <v>-8.4212492963351877E-3</v>
      </c>
      <c r="V198" s="181">
        <v>4.438208265460708E-2</v>
      </c>
      <c r="W198" s="180">
        <v>107.40525986458327</v>
      </c>
      <c r="X198" s="181">
        <v>-2.5662919030775022E-3</v>
      </c>
      <c r="Y198" s="181">
        <v>4.4637610457120891E-2</v>
      </c>
      <c r="Z198" s="180" t="s">
        <v>8</v>
      </c>
      <c r="AA198" s="181" t="s">
        <v>8</v>
      </c>
      <c r="AB198" s="181" t="s">
        <v>8</v>
      </c>
      <c r="AC198" s="180" t="s">
        <v>8</v>
      </c>
      <c r="AD198" s="181" t="s">
        <v>8</v>
      </c>
      <c r="AE198" s="181" t="s">
        <v>8</v>
      </c>
      <c r="AF198" s="180" t="s">
        <v>8</v>
      </c>
      <c r="AG198" s="181" t="s">
        <v>8</v>
      </c>
      <c r="AH198" s="181" t="s">
        <v>8</v>
      </c>
      <c r="AI198" s="180" t="s">
        <v>8</v>
      </c>
      <c r="AJ198" s="181" t="s">
        <v>8</v>
      </c>
      <c r="AK198" s="185" t="s">
        <v>8</v>
      </c>
    </row>
    <row r="199" spans="1:37" s="184" customFormat="1" ht="15.75" customHeight="1">
      <c r="A199" s="179">
        <v>40909</v>
      </c>
      <c r="B199" s="180">
        <v>135.90777780122002</v>
      </c>
      <c r="C199" s="181">
        <v>-3.2086439014029854E-3</v>
      </c>
      <c r="D199" s="181">
        <v>2.7709401028780833E-2</v>
      </c>
      <c r="E199" s="180">
        <v>140.65098651530081</v>
      </c>
      <c r="F199" s="181">
        <v>-1.2640220552331232E-2</v>
      </c>
      <c r="G199" s="181">
        <v>3.1569481220605544E-2</v>
      </c>
      <c r="H199" s="180">
        <v>129.20972092663908</v>
      </c>
      <c r="I199" s="181">
        <v>3.0287771273605248E-3</v>
      </c>
      <c r="J199" s="181">
        <v>7.3060202313974809E-3</v>
      </c>
      <c r="K199" s="180">
        <v>133.51134789169069</v>
      </c>
      <c r="L199" s="181">
        <v>9.0833557203432707E-3</v>
      </c>
      <c r="M199" s="181">
        <v>1.7814608648027308E-2</v>
      </c>
      <c r="N199" s="180">
        <v>143.28271084089798</v>
      </c>
      <c r="O199" s="181">
        <v>-5.8054817693539863E-3</v>
      </c>
      <c r="P199" s="181">
        <v>3.2483633876605245E-2</v>
      </c>
      <c r="Q199" s="180">
        <v>111.18726533255354</v>
      </c>
      <c r="R199" s="181">
        <v>8.2963106115635007E-3</v>
      </c>
      <c r="S199" s="181">
        <v>8.418287961090809E-2</v>
      </c>
      <c r="T199" s="180">
        <v>102.78408898029119</v>
      </c>
      <c r="U199" s="181">
        <v>-8.3372814254375083E-3</v>
      </c>
      <c r="V199" s="181">
        <v>1.108212868185432E-2</v>
      </c>
      <c r="W199" s="180">
        <v>109.661977999752</v>
      </c>
      <c r="X199" s="181">
        <v>2.1011244123555987E-2</v>
      </c>
      <c r="Y199" s="181">
        <v>6.5669506237549413E-2</v>
      </c>
      <c r="Z199" s="180" t="s">
        <v>8</v>
      </c>
      <c r="AA199" s="181" t="s">
        <v>8</v>
      </c>
      <c r="AB199" s="181" t="s">
        <v>8</v>
      </c>
      <c r="AC199" s="180" t="s">
        <v>8</v>
      </c>
      <c r="AD199" s="181" t="s">
        <v>8</v>
      </c>
      <c r="AE199" s="181" t="s">
        <v>8</v>
      </c>
      <c r="AF199" s="180" t="s">
        <v>8</v>
      </c>
      <c r="AG199" s="181" t="s">
        <v>8</v>
      </c>
      <c r="AH199" s="181" t="s">
        <v>8</v>
      </c>
      <c r="AI199" s="180" t="s">
        <v>8</v>
      </c>
      <c r="AJ199" s="181" t="s">
        <v>8</v>
      </c>
      <c r="AK199" s="185" t="s">
        <v>8</v>
      </c>
    </row>
    <row r="200" spans="1:37" s="184" customFormat="1" ht="15.75" customHeight="1">
      <c r="A200" s="179">
        <v>40940</v>
      </c>
      <c r="B200" s="180">
        <v>135.73098373268269</v>
      </c>
      <c r="C200" s="181">
        <v>-1.3008384906118087E-3</v>
      </c>
      <c r="D200" s="181">
        <v>2.0571882439601286E-2</v>
      </c>
      <c r="E200" s="180">
        <v>140.27655406012809</v>
      </c>
      <c r="F200" s="181">
        <v>-2.662138847721365E-3</v>
      </c>
      <c r="G200" s="181">
        <v>1.6855159437242362E-2</v>
      </c>
      <c r="H200" s="180">
        <v>129.49524029958062</v>
      </c>
      <c r="I200" s="181">
        <v>2.2097360082036534E-3</v>
      </c>
      <c r="J200" s="181">
        <v>5.9103187815492397E-3</v>
      </c>
      <c r="K200" s="180">
        <v>133.71989855570692</v>
      </c>
      <c r="L200" s="181">
        <v>1.562044480184821E-3</v>
      </c>
      <c r="M200" s="181">
        <v>1.3968613529093288E-2</v>
      </c>
      <c r="N200" s="180">
        <v>144.58147090029951</v>
      </c>
      <c r="O200" s="181">
        <v>9.0643180309709411E-3</v>
      </c>
      <c r="P200" s="181">
        <v>3.0845364152633392E-2</v>
      </c>
      <c r="Q200" s="180">
        <v>111.68205707571764</v>
      </c>
      <c r="R200" s="181">
        <v>4.4500756600515737E-3</v>
      </c>
      <c r="S200" s="181">
        <v>8.1758363935251266E-2</v>
      </c>
      <c r="T200" s="180">
        <v>103.88307337767613</v>
      </c>
      <c r="U200" s="181">
        <v>1.0692164597534802E-2</v>
      </c>
      <c r="V200" s="181">
        <v>1.3842050885288115E-2</v>
      </c>
      <c r="W200" s="180">
        <v>109.24037633224972</v>
      </c>
      <c r="X200" s="181">
        <v>-3.8445564742889717E-3</v>
      </c>
      <c r="Y200" s="181">
        <v>4.2732943883592611E-2</v>
      </c>
      <c r="Z200" s="180" t="s">
        <v>8</v>
      </c>
      <c r="AA200" s="181" t="s">
        <v>8</v>
      </c>
      <c r="AB200" s="181" t="s">
        <v>8</v>
      </c>
      <c r="AC200" s="180" t="s">
        <v>8</v>
      </c>
      <c r="AD200" s="181" t="s">
        <v>8</v>
      </c>
      <c r="AE200" s="181" t="s">
        <v>8</v>
      </c>
      <c r="AF200" s="180" t="s">
        <v>8</v>
      </c>
      <c r="AG200" s="181" t="s">
        <v>8</v>
      </c>
      <c r="AH200" s="181" t="s">
        <v>8</v>
      </c>
      <c r="AI200" s="180" t="s">
        <v>8</v>
      </c>
      <c r="AJ200" s="181" t="s">
        <v>8</v>
      </c>
      <c r="AK200" s="185" t="s">
        <v>8</v>
      </c>
    </row>
    <row r="201" spans="1:37" s="184" customFormat="1" ht="15.75" customHeight="1">
      <c r="A201" s="179">
        <v>40969</v>
      </c>
      <c r="B201" s="180">
        <v>135.97816682168607</v>
      </c>
      <c r="C201" s="181">
        <v>1.8211250092331267E-3</v>
      </c>
      <c r="D201" s="181">
        <v>2.0908257387542095E-2</v>
      </c>
      <c r="E201" s="180">
        <v>139.49213444443922</v>
      </c>
      <c r="F201" s="181">
        <v>-5.5919509924133946E-3</v>
      </c>
      <c r="G201" s="181">
        <v>6.7573158091871477E-3</v>
      </c>
      <c r="H201" s="180">
        <v>128.56253993980354</v>
      </c>
      <c r="I201" s="181">
        <v>-7.2025841074878551E-3</v>
      </c>
      <c r="J201" s="181">
        <v>4.2460194753062286E-3</v>
      </c>
      <c r="K201" s="180">
        <v>132.95334724566476</v>
      </c>
      <c r="L201" s="181">
        <v>-5.7325148936065683E-3</v>
      </c>
      <c r="M201" s="181">
        <v>1.4074819165120767E-2</v>
      </c>
      <c r="N201" s="180">
        <v>146.64180501308266</v>
      </c>
      <c r="O201" s="181">
        <v>1.4250333047198908E-2</v>
      </c>
      <c r="P201" s="181">
        <v>5.1131949326411297E-2</v>
      </c>
      <c r="Q201" s="180">
        <v>110.8899662857313</v>
      </c>
      <c r="R201" s="181">
        <v>-7.0923728549278798E-3</v>
      </c>
      <c r="S201" s="181">
        <v>6.2276220014511274E-2</v>
      </c>
      <c r="T201" s="180">
        <v>104.64140592227176</v>
      </c>
      <c r="U201" s="181">
        <v>7.2998662817631765E-3</v>
      </c>
      <c r="V201" s="181">
        <v>1.9575211099958079E-3</v>
      </c>
      <c r="W201" s="180">
        <v>108.46783267736532</v>
      </c>
      <c r="X201" s="181">
        <v>-7.0719607605044211E-3</v>
      </c>
      <c r="Y201" s="181">
        <v>2.7145245604085488E-2</v>
      </c>
      <c r="Z201" s="180" t="s">
        <v>8</v>
      </c>
      <c r="AA201" s="181" t="s">
        <v>8</v>
      </c>
      <c r="AB201" s="181" t="s">
        <v>8</v>
      </c>
      <c r="AC201" s="180" t="s">
        <v>8</v>
      </c>
      <c r="AD201" s="181" t="s">
        <v>8</v>
      </c>
      <c r="AE201" s="181" t="s">
        <v>8</v>
      </c>
      <c r="AF201" s="180" t="s">
        <v>8</v>
      </c>
      <c r="AG201" s="181" t="s">
        <v>8</v>
      </c>
      <c r="AH201" s="181" t="s">
        <v>8</v>
      </c>
      <c r="AI201" s="180" t="s">
        <v>8</v>
      </c>
      <c r="AJ201" s="181" t="s">
        <v>8</v>
      </c>
      <c r="AK201" s="185" t="s">
        <v>8</v>
      </c>
    </row>
    <row r="202" spans="1:37" s="184" customFormat="1" ht="15.75" customHeight="1">
      <c r="A202" s="179">
        <v>41000</v>
      </c>
      <c r="B202" s="180">
        <v>135.71456085248786</v>
      </c>
      <c r="C202" s="181">
        <v>-1.9385904028541257E-3</v>
      </c>
      <c r="D202" s="181">
        <v>1.8109936648684322E-2</v>
      </c>
      <c r="E202" s="180">
        <v>138.7710269648677</v>
      </c>
      <c r="F202" s="181">
        <v>-5.1695207220355368E-3</v>
      </c>
      <c r="G202" s="181">
        <v>-4.5339164775225482E-3</v>
      </c>
      <c r="H202" s="180">
        <v>128.85571146569106</v>
      </c>
      <c r="I202" s="181">
        <v>2.2803806305070483E-3</v>
      </c>
      <c r="J202" s="181">
        <v>6.235976628735207E-3</v>
      </c>
      <c r="K202" s="180">
        <v>132.65832314692122</v>
      </c>
      <c r="L202" s="181">
        <v>-2.2190046723563751E-3</v>
      </c>
      <c r="M202" s="181">
        <v>2.2169615334479476E-2</v>
      </c>
      <c r="N202" s="180">
        <v>145.80583910190779</v>
      </c>
      <c r="O202" s="181">
        <v>-5.7007339148633408E-3</v>
      </c>
      <c r="P202" s="181">
        <v>3.6832917679089139E-2</v>
      </c>
      <c r="Q202" s="180">
        <v>110.36797361613145</v>
      </c>
      <c r="R202" s="181">
        <v>-4.7073029876736469E-3</v>
      </c>
      <c r="S202" s="181">
        <v>5.3692457111035763E-2</v>
      </c>
      <c r="T202" s="180">
        <v>104.28561919123659</v>
      </c>
      <c r="U202" s="181">
        <v>-3.4000568694523546E-3</v>
      </c>
      <c r="V202" s="181">
        <v>-1.6780916987180206E-4</v>
      </c>
      <c r="W202" s="180">
        <v>108.91500275164634</v>
      </c>
      <c r="X202" s="181">
        <v>4.1226054143730061E-3</v>
      </c>
      <c r="Y202" s="181">
        <v>2.6833987763117184E-2</v>
      </c>
      <c r="Z202" s="180" t="s">
        <v>8</v>
      </c>
      <c r="AA202" s="181" t="s">
        <v>8</v>
      </c>
      <c r="AB202" s="181" t="s">
        <v>8</v>
      </c>
      <c r="AC202" s="180" t="s">
        <v>8</v>
      </c>
      <c r="AD202" s="181" t="s">
        <v>8</v>
      </c>
      <c r="AE202" s="181" t="s">
        <v>8</v>
      </c>
      <c r="AF202" s="180" t="s">
        <v>8</v>
      </c>
      <c r="AG202" s="181" t="s">
        <v>8</v>
      </c>
      <c r="AH202" s="181" t="s">
        <v>8</v>
      </c>
      <c r="AI202" s="180" t="s">
        <v>8</v>
      </c>
      <c r="AJ202" s="181" t="s">
        <v>8</v>
      </c>
      <c r="AK202" s="185" t="s">
        <v>8</v>
      </c>
    </row>
    <row r="203" spans="1:37" s="184" customFormat="1" ht="15.75" customHeight="1">
      <c r="A203" s="179">
        <v>41030</v>
      </c>
      <c r="B203" s="180">
        <v>135.4331147710881</v>
      </c>
      <c r="C203" s="181">
        <v>-2.0738090270628761E-3</v>
      </c>
      <c r="D203" s="181">
        <v>1.3289197989169832E-2</v>
      </c>
      <c r="E203" s="180">
        <v>138.29153182015264</v>
      </c>
      <c r="F203" s="181">
        <v>-3.4552972273993632E-3</v>
      </c>
      <c r="G203" s="181">
        <v>-1.3020259278827107E-2</v>
      </c>
      <c r="H203" s="180">
        <v>128.18401290830425</v>
      </c>
      <c r="I203" s="181">
        <v>-5.2127961558432337E-3</v>
      </c>
      <c r="J203" s="181">
        <v>-1.2449479942479025E-3</v>
      </c>
      <c r="K203" s="180">
        <v>131.11824489988592</v>
      </c>
      <c r="L203" s="181">
        <v>-1.1609360125332049E-2</v>
      </c>
      <c r="M203" s="181">
        <v>4.3393909477140724E-3</v>
      </c>
      <c r="N203" s="180">
        <v>145.40705253039283</v>
      </c>
      <c r="O203" s="181">
        <v>-2.7350521348890756E-3</v>
      </c>
      <c r="P203" s="181">
        <v>3.0182932812321761E-2</v>
      </c>
      <c r="Q203" s="180">
        <v>110.76832371245486</v>
      </c>
      <c r="R203" s="181">
        <v>3.6274118587683634E-3</v>
      </c>
      <c r="S203" s="181">
        <v>5.2141024650751655E-2</v>
      </c>
      <c r="T203" s="180">
        <v>103.1999088519251</v>
      </c>
      <c r="U203" s="181">
        <v>-1.0410930555252667E-2</v>
      </c>
      <c r="V203" s="181">
        <v>-1.6129762324882391E-2</v>
      </c>
      <c r="W203" s="180">
        <v>109.06025255656513</v>
      </c>
      <c r="X203" s="181">
        <v>1.3336069526620298E-3</v>
      </c>
      <c r="Y203" s="181">
        <v>3.0900420548177321E-2</v>
      </c>
      <c r="Z203" s="180" t="s">
        <v>8</v>
      </c>
      <c r="AA203" s="181" t="s">
        <v>8</v>
      </c>
      <c r="AB203" s="181" t="s">
        <v>8</v>
      </c>
      <c r="AC203" s="180" t="s">
        <v>8</v>
      </c>
      <c r="AD203" s="181" t="s">
        <v>8</v>
      </c>
      <c r="AE203" s="181" t="s">
        <v>8</v>
      </c>
      <c r="AF203" s="180" t="s">
        <v>8</v>
      </c>
      <c r="AG203" s="181" t="s">
        <v>8</v>
      </c>
      <c r="AH203" s="181" t="s">
        <v>8</v>
      </c>
      <c r="AI203" s="180" t="s">
        <v>8</v>
      </c>
      <c r="AJ203" s="181" t="s">
        <v>8</v>
      </c>
      <c r="AK203" s="185" t="s">
        <v>8</v>
      </c>
    </row>
    <row r="204" spans="1:37" s="184" customFormat="1" ht="15.75" customHeight="1">
      <c r="A204" s="179">
        <v>41061</v>
      </c>
      <c r="B204" s="180">
        <v>135.42458809006072</v>
      </c>
      <c r="C204" s="181">
        <v>-6.29586127571713E-5</v>
      </c>
      <c r="D204" s="181">
        <v>1.0586559875716439E-2</v>
      </c>
      <c r="E204" s="180">
        <v>138.25976255151951</v>
      </c>
      <c r="F204" s="181">
        <v>-2.2972678236322876E-4</v>
      </c>
      <c r="G204" s="181">
        <v>-1.4331394818994703E-2</v>
      </c>
      <c r="H204" s="180">
        <v>127.77619402901034</v>
      </c>
      <c r="I204" s="181">
        <v>-3.1815112512169909E-3</v>
      </c>
      <c r="J204" s="181">
        <v>-1.1361801424393247E-2</v>
      </c>
      <c r="K204" s="180">
        <v>130.67226432546869</v>
      </c>
      <c r="L204" s="181">
        <v>-3.4013616850786699E-3</v>
      </c>
      <c r="M204" s="181">
        <v>2.3209779876527392E-3</v>
      </c>
      <c r="N204" s="180">
        <v>146.41144311370692</v>
      </c>
      <c r="O204" s="181">
        <v>6.9074406353445026E-3</v>
      </c>
      <c r="P204" s="181">
        <v>3.2928784238040798E-2</v>
      </c>
      <c r="Q204" s="180">
        <v>111.08621517023245</v>
      </c>
      <c r="R204" s="181">
        <v>2.8698769388512879E-3</v>
      </c>
      <c r="S204" s="181">
        <v>4.6811739774942795E-2</v>
      </c>
      <c r="T204" s="180">
        <v>103.01119297242293</v>
      </c>
      <c r="U204" s="181">
        <v>-1.8286438583288223E-3</v>
      </c>
      <c r="V204" s="181">
        <v>-1.2702606725899068E-2</v>
      </c>
      <c r="W204" s="180">
        <v>108.78861811702299</v>
      </c>
      <c r="X204" s="181">
        <v>-2.4906822896018067E-3</v>
      </c>
      <c r="Y204" s="181">
        <v>2.3280730485203405E-2</v>
      </c>
      <c r="Z204" s="180" t="s">
        <v>8</v>
      </c>
      <c r="AA204" s="181" t="s">
        <v>8</v>
      </c>
      <c r="AB204" s="181" t="s">
        <v>8</v>
      </c>
      <c r="AC204" s="180" t="s">
        <v>8</v>
      </c>
      <c r="AD204" s="181" t="s">
        <v>8</v>
      </c>
      <c r="AE204" s="181" t="s">
        <v>8</v>
      </c>
      <c r="AF204" s="180" t="s">
        <v>8</v>
      </c>
      <c r="AG204" s="181" t="s">
        <v>8</v>
      </c>
      <c r="AH204" s="181" t="s">
        <v>8</v>
      </c>
      <c r="AI204" s="180" t="s">
        <v>8</v>
      </c>
      <c r="AJ204" s="181" t="s">
        <v>8</v>
      </c>
      <c r="AK204" s="185" t="s">
        <v>8</v>
      </c>
    </row>
    <row r="205" spans="1:37" s="184" customFormat="1" ht="15.75" customHeight="1">
      <c r="A205" s="179">
        <v>41091</v>
      </c>
      <c r="B205" s="180">
        <v>135.09129902359544</v>
      </c>
      <c r="C205" s="181">
        <v>-2.461067603496354E-3</v>
      </c>
      <c r="D205" s="181">
        <v>3.2588584931791953E-3</v>
      </c>
      <c r="E205" s="180">
        <v>137.89133821398042</v>
      </c>
      <c r="F205" s="181">
        <v>-2.6647256637795393E-3</v>
      </c>
      <c r="G205" s="181">
        <v>-1.5850520525467093E-2</v>
      </c>
      <c r="H205" s="180">
        <v>127.10945072858465</v>
      </c>
      <c r="I205" s="181">
        <v>-5.2180557222914412E-3</v>
      </c>
      <c r="J205" s="181">
        <v>-1.937082427497594E-2</v>
      </c>
      <c r="K205" s="180">
        <v>129.2407686039171</v>
      </c>
      <c r="L205" s="181">
        <v>-1.0954855102121215E-2</v>
      </c>
      <c r="M205" s="181">
        <v>-5.6874043188183121E-3</v>
      </c>
      <c r="N205" s="180">
        <v>146.94909968731127</v>
      </c>
      <c r="O205" s="181">
        <v>3.6722305454417749E-3</v>
      </c>
      <c r="P205" s="181">
        <v>3.608501548296128E-2</v>
      </c>
      <c r="Q205" s="180">
        <v>110.40555027365093</v>
      </c>
      <c r="R205" s="181">
        <v>-6.1273569860890078E-3</v>
      </c>
      <c r="S205" s="181">
        <v>3.6043313434916735E-2</v>
      </c>
      <c r="T205" s="180">
        <v>102.66467241520755</v>
      </c>
      <c r="U205" s="181">
        <v>-3.3639116994611173E-3</v>
      </c>
      <c r="V205" s="181">
        <v>-2.1478456150463399E-2</v>
      </c>
      <c r="W205" s="180">
        <v>108.86089715080735</v>
      </c>
      <c r="X205" s="181">
        <v>6.6439885932368715E-4</v>
      </c>
      <c r="Y205" s="181">
        <v>1.2387404383023659E-2</v>
      </c>
      <c r="Z205" s="180" t="s">
        <v>8</v>
      </c>
      <c r="AA205" s="181" t="s">
        <v>8</v>
      </c>
      <c r="AB205" s="181" t="s">
        <v>8</v>
      </c>
      <c r="AC205" s="180" t="s">
        <v>8</v>
      </c>
      <c r="AD205" s="181" t="s">
        <v>8</v>
      </c>
      <c r="AE205" s="181" t="s">
        <v>8</v>
      </c>
      <c r="AF205" s="180" t="s">
        <v>8</v>
      </c>
      <c r="AG205" s="181" t="s">
        <v>8</v>
      </c>
      <c r="AH205" s="181" t="s">
        <v>8</v>
      </c>
      <c r="AI205" s="180" t="s">
        <v>8</v>
      </c>
      <c r="AJ205" s="181" t="s">
        <v>8</v>
      </c>
      <c r="AK205" s="185" t="s">
        <v>8</v>
      </c>
    </row>
    <row r="206" spans="1:37" s="184" customFormat="1" ht="15.75" customHeight="1">
      <c r="A206" s="179">
        <v>41122</v>
      </c>
      <c r="B206" s="180">
        <v>134.96768570791039</v>
      </c>
      <c r="C206" s="181">
        <v>-9.1503536185146841E-4</v>
      </c>
      <c r="D206" s="181">
        <v>4.7375246424108397E-4</v>
      </c>
      <c r="E206" s="180">
        <v>136.59707799543978</v>
      </c>
      <c r="F206" s="181">
        <v>-9.3860878812576636E-3</v>
      </c>
      <c r="G206" s="181">
        <v>-2.7885353220983844E-2</v>
      </c>
      <c r="H206" s="180">
        <v>125.26781189595016</v>
      </c>
      <c r="I206" s="181">
        <v>-1.4488606646306145E-2</v>
      </c>
      <c r="J206" s="181">
        <v>-4.1041656774425506E-2</v>
      </c>
      <c r="K206" s="180">
        <v>128.47800448560571</v>
      </c>
      <c r="L206" s="181">
        <v>-5.9018847268621326E-3</v>
      </c>
      <c r="M206" s="181">
        <v>-7.6783999070618725E-3</v>
      </c>
      <c r="N206" s="180">
        <v>144.49680091330347</v>
      </c>
      <c r="O206" s="181">
        <v>-1.6688083011233038E-2</v>
      </c>
      <c r="P206" s="181">
        <v>2.1575601307209036E-2</v>
      </c>
      <c r="Q206" s="180">
        <v>110.7222780109087</v>
      </c>
      <c r="R206" s="181">
        <v>2.86876643857777E-3</v>
      </c>
      <c r="S206" s="181">
        <v>3.899846267892948E-2</v>
      </c>
      <c r="T206" s="180">
        <v>101.22539808095434</v>
      </c>
      <c r="U206" s="181">
        <v>-1.4019178169023403E-2</v>
      </c>
      <c r="V206" s="181">
        <v>-4.023931507128542E-2</v>
      </c>
      <c r="W206" s="180">
        <v>108.40414568376059</v>
      </c>
      <c r="X206" s="181">
        <v>-4.195734914934606E-3</v>
      </c>
      <c r="Y206" s="181">
        <v>1.2217486871462402E-2</v>
      </c>
      <c r="Z206" s="180" t="s">
        <v>8</v>
      </c>
      <c r="AA206" s="181" t="s">
        <v>8</v>
      </c>
      <c r="AB206" s="181" t="s">
        <v>8</v>
      </c>
      <c r="AC206" s="180" t="s">
        <v>8</v>
      </c>
      <c r="AD206" s="181" t="s">
        <v>8</v>
      </c>
      <c r="AE206" s="181" t="s">
        <v>8</v>
      </c>
      <c r="AF206" s="180" t="s">
        <v>8</v>
      </c>
      <c r="AG206" s="181" t="s">
        <v>8</v>
      </c>
      <c r="AH206" s="181" t="s">
        <v>8</v>
      </c>
      <c r="AI206" s="180" t="s">
        <v>8</v>
      </c>
      <c r="AJ206" s="181" t="s">
        <v>8</v>
      </c>
      <c r="AK206" s="185" t="s">
        <v>8</v>
      </c>
    </row>
    <row r="207" spans="1:37" s="184" customFormat="1" ht="15.75" customHeight="1">
      <c r="A207" s="179">
        <v>41153</v>
      </c>
      <c r="B207" s="180">
        <v>135.1698975480293</v>
      </c>
      <c r="C207" s="181">
        <v>1.4982241049649049E-3</v>
      </c>
      <c r="D207" s="181">
        <v>-1.8397205097986369E-3</v>
      </c>
      <c r="E207" s="180">
        <v>136.23137450169651</v>
      </c>
      <c r="F207" s="181">
        <v>-2.6772424352699753E-3</v>
      </c>
      <c r="G207" s="181">
        <v>-3.2512141177553189E-2</v>
      </c>
      <c r="H207" s="180">
        <v>124.98179159071718</v>
      </c>
      <c r="I207" s="181">
        <v>-2.2832705457532933E-3</v>
      </c>
      <c r="J207" s="181">
        <v>-4.7395822805718857E-2</v>
      </c>
      <c r="K207" s="180">
        <v>127.93010871428739</v>
      </c>
      <c r="L207" s="181">
        <v>-4.2645102833902306E-3</v>
      </c>
      <c r="M207" s="181">
        <v>-1.5353158607547268E-2</v>
      </c>
      <c r="N207" s="180">
        <v>143.53022784553283</v>
      </c>
      <c r="O207" s="181">
        <v>-6.6892350672218262E-3</v>
      </c>
      <c r="P207" s="181">
        <v>1.0675774269206073E-2</v>
      </c>
      <c r="Q207" s="180">
        <v>111.21401088293909</v>
      </c>
      <c r="R207" s="181">
        <v>4.4411375999863379E-3</v>
      </c>
      <c r="S207" s="181">
        <v>4.2375572944637563E-2</v>
      </c>
      <c r="T207" s="180">
        <v>101.99273842661491</v>
      </c>
      <c r="U207" s="181">
        <v>7.5805120079339193E-3</v>
      </c>
      <c r="V207" s="181">
        <v>-3.3261517362871973E-2</v>
      </c>
      <c r="W207" s="180">
        <v>108.46588520808112</v>
      </c>
      <c r="X207" s="181">
        <v>5.6953102606099209E-4</v>
      </c>
      <c r="Y207" s="181">
        <v>9.6575052777809756E-3</v>
      </c>
      <c r="Z207" s="180" t="s">
        <v>8</v>
      </c>
      <c r="AA207" s="181" t="s">
        <v>8</v>
      </c>
      <c r="AB207" s="181" t="s">
        <v>8</v>
      </c>
      <c r="AC207" s="180" t="s">
        <v>8</v>
      </c>
      <c r="AD207" s="181" t="s">
        <v>8</v>
      </c>
      <c r="AE207" s="181" t="s">
        <v>8</v>
      </c>
      <c r="AF207" s="180" t="s">
        <v>8</v>
      </c>
      <c r="AG207" s="181" t="s">
        <v>8</v>
      </c>
      <c r="AH207" s="181" t="s">
        <v>8</v>
      </c>
      <c r="AI207" s="180" t="s">
        <v>8</v>
      </c>
      <c r="AJ207" s="181" t="s">
        <v>8</v>
      </c>
      <c r="AK207" s="185" t="s">
        <v>8</v>
      </c>
    </row>
    <row r="208" spans="1:37" s="184" customFormat="1" ht="15.75" customHeight="1">
      <c r="A208" s="179">
        <v>41183</v>
      </c>
      <c r="B208" s="180">
        <v>135.07812688867884</v>
      </c>
      <c r="C208" s="181">
        <v>-6.7892823043569361E-4</v>
      </c>
      <c r="D208" s="181">
        <v>-5.4075583829030771E-3</v>
      </c>
      <c r="E208" s="180">
        <v>136.33698733250785</v>
      </c>
      <c r="F208" s="181">
        <v>7.7524601948451453E-4</v>
      </c>
      <c r="G208" s="181">
        <v>-3.5245405158660925E-2</v>
      </c>
      <c r="H208" s="180">
        <v>124.81343488594518</v>
      </c>
      <c r="I208" s="181">
        <v>-1.3470498592572744E-3</v>
      </c>
      <c r="J208" s="181">
        <v>-4.5413799076031269E-2</v>
      </c>
      <c r="K208" s="180">
        <v>127.88486071769459</v>
      </c>
      <c r="L208" s="181">
        <v>-3.5369309889230036E-4</v>
      </c>
      <c r="M208" s="181">
        <v>-1.9745460041043605E-2</v>
      </c>
      <c r="N208" s="180">
        <v>143.19381011356538</v>
      </c>
      <c r="O208" s="181">
        <v>-2.3438807073414502E-3</v>
      </c>
      <c r="P208" s="181">
        <v>1.1904848252674016E-2</v>
      </c>
      <c r="Q208" s="180">
        <v>111.08834615933588</v>
      </c>
      <c r="R208" s="181">
        <v>-1.1299360809446802E-3</v>
      </c>
      <c r="S208" s="181">
        <v>3.0394289092260829E-2</v>
      </c>
      <c r="T208" s="180">
        <v>102.84237561697879</v>
      </c>
      <c r="U208" s="181">
        <v>8.3303694309101225E-3</v>
      </c>
      <c r="V208" s="181">
        <v>-2.6888003667409621E-2</v>
      </c>
      <c r="W208" s="180">
        <v>108.93806236634981</v>
      </c>
      <c r="X208" s="181">
        <v>4.3532319619469639E-3</v>
      </c>
      <c r="Y208" s="181">
        <v>1.397429921195692E-2</v>
      </c>
      <c r="Z208" s="180" t="s">
        <v>8</v>
      </c>
      <c r="AA208" s="181" t="s">
        <v>8</v>
      </c>
      <c r="AB208" s="181" t="s">
        <v>8</v>
      </c>
      <c r="AC208" s="180" t="s">
        <v>8</v>
      </c>
      <c r="AD208" s="181" t="s">
        <v>8</v>
      </c>
      <c r="AE208" s="181" t="s">
        <v>8</v>
      </c>
      <c r="AF208" s="180" t="s">
        <v>8</v>
      </c>
      <c r="AG208" s="181" t="s">
        <v>8</v>
      </c>
      <c r="AH208" s="181" t="s">
        <v>8</v>
      </c>
      <c r="AI208" s="180" t="s">
        <v>8</v>
      </c>
      <c r="AJ208" s="181" t="s">
        <v>8</v>
      </c>
      <c r="AK208" s="185" t="s">
        <v>8</v>
      </c>
    </row>
    <row r="209" spans="1:37" s="184" customFormat="1" ht="15.75" customHeight="1">
      <c r="A209" s="179">
        <v>41214</v>
      </c>
      <c r="B209" s="180">
        <v>135.425074622697</v>
      </c>
      <c r="C209" s="181">
        <v>2.5684967804158855E-3</v>
      </c>
      <c r="D209" s="181">
        <v>-6.0875737477220637E-3</v>
      </c>
      <c r="E209" s="180">
        <v>137.16994710321381</v>
      </c>
      <c r="F209" s="181">
        <v>6.109565621209634E-3</v>
      </c>
      <c r="G209" s="181">
        <v>-3.1545590479075902E-2</v>
      </c>
      <c r="H209" s="180">
        <v>125.41857822741281</v>
      </c>
      <c r="I209" s="181">
        <v>4.8483830448269542E-3</v>
      </c>
      <c r="J209" s="181">
        <v>-4.8990604468339138E-2</v>
      </c>
      <c r="K209" s="180">
        <v>127.57647527250545</v>
      </c>
      <c r="L209" s="181">
        <v>-2.4114304340520131E-3</v>
      </c>
      <c r="M209" s="181">
        <v>-3.1423745010078941E-2</v>
      </c>
      <c r="N209" s="180">
        <v>142.46294879222694</v>
      </c>
      <c r="O209" s="181">
        <v>-5.1040007997469041E-3</v>
      </c>
      <c r="P209" s="181">
        <v>-9.3015465399913788E-3</v>
      </c>
      <c r="Q209" s="180">
        <v>111.67454056659977</v>
      </c>
      <c r="R209" s="181">
        <v>5.2768308065644096E-3</v>
      </c>
      <c r="S209" s="181">
        <v>3.1563974424548835E-2</v>
      </c>
      <c r="T209" s="180">
        <v>105.32913743977441</v>
      </c>
      <c r="U209" s="181">
        <v>2.418032263331997E-2</v>
      </c>
      <c r="V209" s="181">
        <v>7.6595713852078973E-3</v>
      </c>
      <c r="W209" s="180">
        <v>110.19975233478084</v>
      </c>
      <c r="X209" s="181">
        <v>1.1581718464828765E-2</v>
      </c>
      <c r="Y209" s="181">
        <v>2.3385146511692323E-2</v>
      </c>
      <c r="Z209" s="180" t="s">
        <v>8</v>
      </c>
      <c r="AA209" s="181" t="s">
        <v>8</v>
      </c>
      <c r="AB209" s="181" t="s">
        <v>8</v>
      </c>
      <c r="AC209" s="180" t="s">
        <v>8</v>
      </c>
      <c r="AD209" s="181" t="s">
        <v>8</v>
      </c>
      <c r="AE209" s="181" t="s">
        <v>8</v>
      </c>
      <c r="AF209" s="180" t="s">
        <v>8</v>
      </c>
      <c r="AG209" s="181" t="s">
        <v>8</v>
      </c>
      <c r="AH209" s="181" t="s">
        <v>8</v>
      </c>
      <c r="AI209" s="180" t="s">
        <v>8</v>
      </c>
      <c r="AJ209" s="181" t="s">
        <v>8</v>
      </c>
      <c r="AK209" s="185" t="s">
        <v>8</v>
      </c>
    </row>
    <row r="210" spans="1:37" s="184" customFormat="1" ht="15.75" customHeight="1">
      <c r="A210" s="179">
        <v>41244</v>
      </c>
      <c r="B210" s="180">
        <v>135.13199541646037</v>
      </c>
      <c r="C210" s="181">
        <v>-2.164142844692205E-3</v>
      </c>
      <c r="D210" s="181">
        <v>-8.8984814357419006E-3</v>
      </c>
      <c r="E210" s="180">
        <v>136.725033858882</v>
      </c>
      <c r="F210" s="181">
        <v>-3.2435183779508936E-3</v>
      </c>
      <c r="G210" s="181">
        <v>-4.0200125000935949E-2</v>
      </c>
      <c r="H210" s="180">
        <v>124.47721837839219</v>
      </c>
      <c r="I210" s="181">
        <v>-7.5057448611298662E-3</v>
      </c>
      <c r="J210" s="181">
        <v>-3.3708677374342799E-2</v>
      </c>
      <c r="K210" s="180">
        <v>126.6191056258214</v>
      </c>
      <c r="L210" s="181">
        <v>-7.5042804297506781E-3</v>
      </c>
      <c r="M210" s="181">
        <v>-4.3008448189261195E-2</v>
      </c>
      <c r="N210" s="180">
        <v>142.93850520079556</v>
      </c>
      <c r="O210" s="181">
        <v>3.3381058906916806E-3</v>
      </c>
      <c r="P210" s="181">
        <v>-8.1938184955754334E-3</v>
      </c>
      <c r="Q210" s="180">
        <v>111.21217773233514</v>
      </c>
      <c r="R210" s="181">
        <v>-4.1402707539136508E-3</v>
      </c>
      <c r="S210" s="181">
        <v>8.5222274979364077E-3</v>
      </c>
      <c r="T210" s="180">
        <v>104.48010758210816</v>
      </c>
      <c r="U210" s="181">
        <v>-8.0607311357857488E-3</v>
      </c>
      <c r="V210" s="181">
        <v>8.0259362098653586E-3</v>
      </c>
      <c r="W210" s="180">
        <v>108.90735703747636</v>
      </c>
      <c r="X210" s="181">
        <v>-1.1727751378045265E-2</v>
      </c>
      <c r="Y210" s="181">
        <v>1.3985322271804268E-2</v>
      </c>
      <c r="Z210" s="180" t="s">
        <v>8</v>
      </c>
      <c r="AA210" s="181" t="s">
        <v>8</v>
      </c>
      <c r="AB210" s="181" t="s">
        <v>8</v>
      </c>
      <c r="AC210" s="180" t="s">
        <v>8</v>
      </c>
      <c r="AD210" s="181" t="s">
        <v>8</v>
      </c>
      <c r="AE210" s="181" t="s">
        <v>8</v>
      </c>
      <c r="AF210" s="180" t="s">
        <v>8</v>
      </c>
      <c r="AG210" s="181" t="s">
        <v>8</v>
      </c>
      <c r="AH210" s="181" t="s">
        <v>8</v>
      </c>
      <c r="AI210" s="180" t="s">
        <v>8</v>
      </c>
      <c r="AJ210" s="181" t="s">
        <v>8</v>
      </c>
      <c r="AK210" s="185" t="s">
        <v>8</v>
      </c>
    </row>
    <row r="211" spans="1:37" s="184" customFormat="1" ht="15.75" customHeight="1">
      <c r="A211" s="179">
        <v>41275</v>
      </c>
      <c r="B211" s="180">
        <v>135.20547858591891</v>
      </c>
      <c r="C211" s="181">
        <v>5.437880883213264E-4</v>
      </c>
      <c r="D211" s="181">
        <v>-5.1674689018040842E-3</v>
      </c>
      <c r="E211" s="180">
        <v>138.17263665028244</v>
      </c>
      <c r="F211" s="181">
        <v>1.058769378616173E-2</v>
      </c>
      <c r="G211" s="181">
        <v>-1.7620565105305963E-2</v>
      </c>
      <c r="H211" s="180">
        <v>125.26271474014605</v>
      </c>
      <c r="I211" s="181">
        <v>6.3103624260469537E-3</v>
      </c>
      <c r="J211" s="181">
        <v>-3.0547285128291635E-2</v>
      </c>
      <c r="K211" s="180">
        <v>127.69877841266619</v>
      </c>
      <c r="L211" s="181">
        <v>8.5269342372024954E-3</v>
      </c>
      <c r="M211" s="181">
        <v>-4.3536145584717412E-2</v>
      </c>
      <c r="N211" s="180">
        <v>142.64880117426344</v>
      </c>
      <c r="O211" s="181">
        <v>-2.0267738642232459E-3</v>
      </c>
      <c r="P211" s="181">
        <v>-4.4241881167256247E-3</v>
      </c>
      <c r="Q211" s="180">
        <v>111.72401368679014</v>
      </c>
      <c r="R211" s="181">
        <v>4.6023373059638391E-3</v>
      </c>
      <c r="S211" s="181">
        <v>4.8274265279502071E-3</v>
      </c>
      <c r="T211" s="180">
        <v>104.96309758822035</v>
      </c>
      <c r="U211" s="181">
        <v>4.6227939201978563E-3</v>
      </c>
      <c r="V211" s="181">
        <v>2.1199863028868116E-2</v>
      </c>
      <c r="W211" s="180">
        <v>109.33750686905201</v>
      </c>
      <c r="X211" s="181">
        <v>3.9496857078960487E-3</v>
      </c>
      <c r="Y211" s="181">
        <v>-2.9588298206760788E-3</v>
      </c>
      <c r="Z211" s="180" t="s">
        <v>8</v>
      </c>
      <c r="AA211" s="181" t="s">
        <v>8</v>
      </c>
      <c r="AB211" s="181" t="s">
        <v>8</v>
      </c>
      <c r="AC211" s="180" t="s">
        <v>8</v>
      </c>
      <c r="AD211" s="181" t="s">
        <v>8</v>
      </c>
      <c r="AE211" s="181" t="s">
        <v>8</v>
      </c>
      <c r="AF211" s="180" t="s">
        <v>8</v>
      </c>
      <c r="AG211" s="181" t="s">
        <v>8</v>
      </c>
      <c r="AH211" s="181" t="s">
        <v>8</v>
      </c>
      <c r="AI211" s="180" t="s">
        <v>8</v>
      </c>
      <c r="AJ211" s="181" t="s">
        <v>8</v>
      </c>
      <c r="AK211" s="185" t="s">
        <v>8</v>
      </c>
    </row>
    <row r="212" spans="1:37" s="184" customFormat="1" ht="15.75" customHeight="1">
      <c r="A212" s="179">
        <v>41306</v>
      </c>
      <c r="B212" s="180">
        <v>135.39220672609059</v>
      </c>
      <c r="C212" s="181">
        <v>1.3810693333187053E-3</v>
      </c>
      <c r="D212" s="181">
        <v>-2.4959445314218787E-3</v>
      </c>
      <c r="E212" s="180">
        <v>139.01576345687539</v>
      </c>
      <c r="F212" s="181">
        <v>6.1019810219509595E-3</v>
      </c>
      <c r="G212" s="181">
        <v>-8.9878926075720456E-3</v>
      </c>
      <c r="H212" s="180">
        <v>123.03075037243913</v>
      </c>
      <c r="I212" s="181">
        <v>-1.7818265972736291E-2</v>
      </c>
      <c r="J212" s="181">
        <v>-4.9920675942885739E-2</v>
      </c>
      <c r="K212" s="180">
        <v>129.47269376588144</v>
      </c>
      <c r="L212" s="181">
        <v>1.389140425042072E-2</v>
      </c>
      <c r="M212" s="181">
        <v>-3.1761950432950048E-2</v>
      </c>
      <c r="N212" s="180">
        <v>141.58813381156614</v>
      </c>
      <c r="O212" s="181">
        <v>-7.4355154334704654E-3</v>
      </c>
      <c r="P212" s="181">
        <v>-2.0703462691962216E-2</v>
      </c>
      <c r="Q212" s="180">
        <v>111.95819562773676</v>
      </c>
      <c r="R212" s="181">
        <v>2.0960752591929689E-3</v>
      </c>
      <c r="S212" s="181">
        <v>2.4725417784157155E-3</v>
      </c>
      <c r="T212" s="180">
        <v>107.39359182096086</v>
      </c>
      <c r="U212" s="181">
        <v>2.3155702228563887E-2</v>
      </c>
      <c r="V212" s="181">
        <v>3.3792978289369113E-2</v>
      </c>
      <c r="W212" s="180">
        <v>110.0052594512351</v>
      </c>
      <c r="X212" s="181">
        <v>6.1072599998355723E-3</v>
      </c>
      <c r="Y212" s="181">
        <v>7.0018352615248691E-3</v>
      </c>
      <c r="Z212" s="180" t="s">
        <v>8</v>
      </c>
      <c r="AA212" s="181" t="s">
        <v>8</v>
      </c>
      <c r="AB212" s="181" t="s">
        <v>8</v>
      </c>
      <c r="AC212" s="180" t="s">
        <v>8</v>
      </c>
      <c r="AD212" s="181" t="s">
        <v>8</v>
      </c>
      <c r="AE212" s="181" t="s">
        <v>8</v>
      </c>
      <c r="AF212" s="180" t="s">
        <v>8</v>
      </c>
      <c r="AG212" s="181" t="s">
        <v>8</v>
      </c>
      <c r="AH212" s="181" t="s">
        <v>8</v>
      </c>
      <c r="AI212" s="180" t="s">
        <v>8</v>
      </c>
      <c r="AJ212" s="181" t="s">
        <v>8</v>
      </c>
      <c r="AK212" s="185" t="s">
        <v>8</v>
      </c>
    </row>
    <row r="213" spans="1:37" s="184" customFormat="1" ht="15.75" customHeight="1">
      <c r="A213" s="179">
        <v>41334</v>
      </c>
      <c r="B213" s="180">
        <v>135.26105665146824</v>
      </c>
      <c r="C213" s="181">
        <v>-9.686678265587689E-4</v>
      </c>
      <c r="D213" s="181">
        <v>-5.2737155308043571E-3</v>
      </c>
      <c r="E213" s="180">
        <v>139.21436341796485</v>
      </c>
      <c r="F213" s="181">
        <v>1.4286146847732883E-3</v>
      </c>
      <c r="G213" s="181">
        <v>-1.9913024313568117E-3</v>
      </c>
      <c r="H213" s="180">
        <v>121.94072949435835</v>
      </c>
      <c r="I213" s="181">
        <v>-8.8597433957044239E-3</v>
      </c>
      <c r="J213" s="181">
        <v>-5.1506530973530085E-2</v>
      </c>
      <c r="K213" s="180">
        <v>129.38847889628647</v>
      </c>
      <c r="L213" s="181">
        <v>-6.5044502547574547E-4</v>
      </c>
      <c r="M213" s="181">
        <v>-2.6812926663601022E-2</v>
      </c>
      <c r="N213" s="180">
        <v>139.62172845245573</v>
      </c>
      <c r="O213" s="181">
        <v>-1.3888207338952747E-2</v>
      </c>
      <c r="P213" s="181">
        <v>-4.7872273257961062E-2</v>
      </c>
      <c r="Q213" s="180">
        <v>111.69452180193559</v>
      </c>
      <c r="R213" s="181">
        <v>-2.3551096400113679E-3</v>
      </c>
      <c r="S213" s="181">
        <v>7.2554401732902729E-3</v>
      </c>
      <c r="T213" s="180">
        <v>107.79505420124913</v>
      </c>
      <c r="U213" s="181">
        <v>3.7382340368832569E-3</v>
      </c>
      <c r="V213" s="181">
        <v>3.0137671136795774E-2</v>
      </c>
      <c r="W213" s="180">
        <v>109.7835278586696</v>
      </c>
      <c r="X213" s="181">
        <v>-2.0156453761539872E-3</v>
      </c>
      <c r="Y213" s="181">
        <v>1.2129819033240841E-2</v>
      </c>
      <c r="Z213" s="180" t="s">
        <v>8</v>
      </c>
      <c r="AA213" s="181" t="s">
        <v>8</v>
      </c>
      <c r="AB213" s="181" t="s">
        <v>8</v>
      </c>
      <c r="AC213" s="180" t="s">
        <v>8</v>
      </c>
      <c r="AD213" s="181" t="s">
        <v>8</v>
      </c>
      <c r="AE213" s="181" t="s">
        <v>8</v>
      </c>
      <c r="AF213" s="180" t="s">
        <v>8</v>
      </c>
      <c r="AG213" s="181" t="s">
        <v>8</v>
      </c>
      <c r="AH213" s="181" t="s">
        <v>8</v>
      </c>
      <c r="AI213" s="180" t="s">
        <v>8</v>
      </c>
      <c r="AJ213" s="181" t="s">
        <v>8</v>
      </c>
      <c r="AK213" s="185" t="s">
        <v>8</v>
      </c>
    </row>
    <row r="214" spans="1:37" s="184" customFormat="1" ht="15.75" customHeight="1">
      <c r="A214" s="179">
        <v>41365</v>
      </c>
      <c r="B214" s="180">
        <v>135.31566535080736</v>
      </c>
      <c r="C214" s="181">
        <v>4.0372817343741651E-4</v>
      </c>
      <c r="D214" s="181">
        <v>-2.93922405359337E-3</v>
      </c>
      <c r="E214" s="180">
        <v>139.50618066337378</v>
      </c>
      <c r="F214" s="181">
        <v>2.0961719627508256E-3</v>
      </c>
      <c r="G214" s="181">
        <v>5.2976022054820326E-3</v>
      </c>
      <c r="H214" s="180">
        <v>121.16211077259933</v>
      </c>
      <c r="I214" s="181">
        <v>-6.3852227634495669E-3</v>
      </c>
      <c r="J214" s="181">
        <v>-5.9707098781882184E-2</v>
      </c>
      <c r="K214" s="180">
        <v>128.33895868869718</v>
      </c>
      <c r="L214" s="181">
        <v>-8.1113884059997917E-3</v>
      </c>
      <c r="M214" s="181">
        <v>-3.2560071285088421E-2</v>
      </c>
      <c r="N214" s="180">
        <v>139.51564255108016</v>
      </c>
      <c r="O214" s="181">
        <v>-7.598093975156317E-4</v>
      </c>
      <c r="P214" s="181">
        <v>-4.3140909785041148E-2</v>
      </c>
      <c r="Q214" s="180">
        <v>112.00888970824987</v>
      </c>
      <c r="R214" s="181">
        <v>2.8145328995788301E-3</v>
      </c>
      <c r="S214" s="181">
        <v>1.4867683426223355E-2</v>
      </c>
      <c r="T214" s="180">
        <v>107.87446217709814</v>
      </c>
      <c r="U214" s="181">
        <v>7.3665694996309932E-4</v>
      </c>
      <c r="V214" s="181">
        <v>3.4413594258671631E-2</v>
      </c>
      <c r="W214" s="180">
        <v>110.34819451572535</v>
      </c>
      <c r="X214" s="181">
        <v>5.1434551983307979E-3</v>
      </c>
      <c r="Y214" s="181">
        <v>1.3158809419002271E-2</v>
      </c>
      <c r="Z214" s="180" t="s">
        <v>8</v>
      </c>
      <c r="AA214" s="181" t="s">
        <v>8</v>
      </c>
      <c r="AB214" s="181" t="s">
        <v>8</v>
      </c>
      <c r="AC214" s="180" t="s">
        <v>8</v>
      </c>
      <c r="AD214" s="181" t="s">
        <v>8</v>
      </c>
      <c r="AE214" s="181" t="s">
        <v>8</v>
      </c>
      <c r="AF214" s="180" t="s">
        <v>8</v>
      </c>
      <c r="AG214" s="181" t="s">
        <v>8</v>
      </c>
      <c r="AH214" s="181" t="s">
        <v>8</v>
      </c>
      <c r="AI214" s="180" t="s">
        <v>8</v>
      </c>
      <c r="AJ214" s="181" t="s">
        <v>8</v>
      </c>
      <c r="AK214" s="185" t="s">
        <v>8</v>
      </c>
    </row>
    <row r="215" spans="1:37" s="184" customFormat="1" ht="15.75" customHeight="1">
      <c r="A215" s="179">
        <v>41395</v>
      </c>
      <c r="B215" s="180">
        <v>135.05773894552772</v>
      </c>
      <c r="C215" s="181">
        <v>-1.9061089831024257E-3</v>
      </c>
      <c r="D215" s="181">
        <v>-2.7716694413685294E-3</v>
      </c>
      <c r="E215" s="180">
        <v>139.11553026324034</v>
      </c>
      <c r="F215" s="181">
        <v>-2.8002372244429054E-3</v>
      </c>
      <c r="G215" s="181">
        <v>5.9584157630079293E-3</v>
      </c>
      <c r="H215" s="180">
        <v>120.79553262933119</v>
      </c>
      <c r="I215" s="181">
        <v>-3.0255179687002001E-3</v>
      </c>
      <c r="J215" s="181">
        <v>-5.7639639385126507E-2</v>
      </c>
      <c r="K215" s="180">
        <v>124.80846977391066</v>
      </c>
      <c r="L215" s="181">
        <v>-2.7509097400035615E-2</v>
      </c>
      <c r="M215" s="181">
        <v>-4.8122785130269463E-2</v>
      </c>
      <c r="N215" s="180">
        <v>139.10883835856512</v>
      </c>
      <c r="O215" s="181">
        <v>-2.9158321251761743E-3</v>
      </c>
      <c r="P215" s="181">
        <v>-4.3314365171601699E-2</v>
      </c>
      <c r="Q215" s="180">
        <v>112.13546748492203</v>
      </c>
      <c r="R215" s="181">
        <v>1.1300690240021605E-3</v>
      </c>
      <c r="S215" s="181">
        <v>1.2342371236168326E-2</v>
      </c>
      <c r="T215" s="180">
        <v>107.93149360324</v>
      </c>
      <c r="U215" s="181">
        <v>5.2868329529403906E-4</v>
      </c>
      <c r="V215" s="181">
        <v>4.5848729945139333E-2</v>
      </c>
      <c r="W215" s="180">
        <v>110.29240671062038</v>
      </c>
      <c r="X215" s="181">
        <v>-5.0556155766563022E-4</v>
      </c>
      <c r="Y215" s="181">
        <v>1.1297921334045835E-2</v>
      </c>
      <c r="Z215" s="180" t="s">
        <v>8</v>
      </c>
      <c r="AA215" s="181" t="s">
        <v>8</v>
      </c>
      <c r="AB215" s="181" t="s">
        <v>8</v>
      </c>
      <c r="AC215" s="180" t="s">
        <v>8</v>
      </c>
      <c r="AD215" s="181" t="s">
        <v>8</v>
      </c>
      <c r="AE215" s="181" t="s">
        <v>8</v>
      </c>
      <c r="AF215" s="180" t="s">
        <v>8</v>
      </c>
      <c r="AG215" s="181" t="s">
        <v>8</v>
      </c>
      <c r="AH215" s="181" t="s">
        <v>8</v>
      </c>
      <c r="AI215" s="180" t="s">
        <v>8</v>
      </c>
      <c r="AJ215" s="181" t="s">
        <v>8</v>
      </c>
      <c r="AK215" s="185" t="s">
        <v>8</v>
      </c>
    </row>
    <row r="216" spans="1:37" s="184" customFormat="1" ht="15.75" customHeight="1">
      <c r="A216" s="179">
        <v>41426</v>
      </c>
      <c r="B216" s="180">
        <v>135.1717121938012</v>
      </c>
      <c r="C216" s="181">
        <v>8.4388535720588906E-4</v>
      </c>
      <c r="D216" s="181">
        <v>-1.8672820041465421E-3</v>
      </c>
      <c r="E216" s="180">
        <v>139.58623269888719</v>
      </c>
      <c r="F216" s="181">
        <v>3.3835362217010802E-3</v>
      </c>
      <c r="G216" s="181">
        <v>9.5940432913255158E-3</v>
      </c>
      <c r="H216" s="180">
        <v>120.48076142022447</v>
      </c>
      <c r="I216" s="181">
        <v>-2.6058182968787501E-3</v>
      </c>
      <c r="J216" s="181">
        <v>-5.7095397653881608E-2</v>
      </c>
      <c r="K216" s="180">
        <v>124.62541739651742</v>
      </c>
      <c r="L216" s="181">
        <v>-1.4666663065803088E-3</v>
      </c>
      <c r="M216" s="181">
        <v>-4.6274907381188668E-2</v>
      </c>
      <c r="N216" s="180">
        <v>139.19703882792749</v>
      </c>
      <c r="O216" s="181">
        <v>6.3403929184576932E-4</v>
      </c>
      <c r="P216" s="181">
        <v>-4.9274866310665022E-2</v>
      </c>
      <c r="Q216" s="180">
        <v>112.70681237792962</v>
      </c>
      <c r="R216" s="181">
        <v>5.0951309681248171E-3</v>
      </c>
      <c r="S216" s="181">
        <v>1.4588643651363142E-2</v>
      </c>
      <c r="T216" s="180">
        <v>108.412719772817</v>
      </c>
      <c r="U216" s="181">
        <v>4.4586260553939857E-3</v>
      </c>
      <c r="V216" s="181">
        <v>5.2436309536189052E-2</v>
      </c>
      <c r="W216" s="180">
        <v>110.5884141701752</v>
      </c>
      <c r="X216" s="181">
        <v>2.6838425997128402E-3</v>
      </c>
      <c r="Y216" s="181">
        <v>1.65439738485893E-2</v>
      </c>
      <c r="Z216" s="180" t="s">
        <v>8</v>
      </c>
      <c r="AA216" s="181" t="s">
        <v>8</v>
      </c>
      <c r="AB216" s="181" t="s">
        <v>8</v>
      </c>
      <c r="AC216" s="180" t="s">
        <v>8</v>
      </c>
      <c r="AD216" s="181" t="s">
        <v>8</v>
      </c>
      <c r="AE216" s="181" t="s">
        <v>8</v>
      </c>
      <c r="AF216" s="180" t="s">
        <v>8</v>
      </c>
      <c r="AG216" s="181" t="s">
        <v>8</v>
      </c>
      <c r="AH216" s="181" t="s">
        <v>8</v>
      </c>
      <c r="AI216" s="180" t="s">
        <v>8</v>
      </c>
      <c r="AJ216" s="181" t="s">
        <v>8</v>
      </c>
      <c r="AK216" s="185" t="s">
        <v>8</v>
      </c>
    </row>
    <row r="217" spans="1:37" s="184" customFormat="1" ht="15.75" customHeight="1">
      <c r="A217" s="179">
        <v>41456</v>
      </c>
      <c r="B217" s="180">
        <v>136.09047385843161</v>
      </c>
      <c r="C217" s="181">
        <v>6.7969965736110758E-3</v>
      </c>
      <c r="D217" s="181">
        <v>7.3962930407653893E-3</v>
      </c>
      <c r="E217" s="180">
        <v>140.53860770518446</v>
      </c>
      <c r="F217" s="181">
        <v>6.8228433985442075E-3</v>
      </c>
      <c r="G217" s="181">
        <v>1.9198229022159508E-2</v>
      </c>
      <c r="H217" s="180">
        <v>119.89507084596205</v>
      </c>
      <c r="I217" s="181">
        <v>-4.8612788245882884E-3</v>
      </c>
      <c r="J217" s="181">
        <v>-5.6757226478992284E-2</v>
      </c>
      <c r="K217" s="180">
        <v>125.14607084070984</v>
      </c>
      <c r="L217" s="181">
        <v>4.1777468438550435E-3</v>
      </c>
      <c r="M217" s="181">
        <v>-3.1682709778338203E-2</v>
      </c>
      <c r="N217" s="180">
        <v>140.13915136214345</v>
      </c>
      <c r="O217" s="181">
        <v>6.7681937931207917E-3</v>
      </c>
      <c r="P217" s="181">
        <v>-4.6342225571020967E-2</v>
      </c>
      <c r="Q217" s="180">
        <v>113.01986445090935</v>
      </c>
      <c r="R217" s="181">
        <v>2.7775789801418615E-3</v>
      </c>
      <c r="S217" s="181">
        <v>2.3679191587547832E-2</v>
      </c>
      <c r="T217" s="180">
        <v>110.49264452258961</v>
      </c>
      <c r="U217" s="181">
        <v>1.9185246474133156E-2</v>
      </c>
      <c r="V217" s="181">
        <v>7.6247962646033951E-2</v>
      </c>
      <c r="W217" s="180">
        <v>110.91551774442425</v>
      </c>
      <c r="X217" s="181">
        <v>2.9578466849673581E-3</v>
      </c>
      <c r="Y217" s="181">
        <v>1.8873816470303284E-2</v>
      </c>
      <c r="Z217" s="180" t="s">
        <v>8</v>
      </c>
      <c r="AA217" s="181" t="s">
        <v>8</v>
      </c>
      <c r="AB217" s="181" t="s">
        <v>8</v>
      </c>
      <c r="AC217" s="180" t="s">
        <v>8</v>
      </c>
      <c r="AD217" s="181" t="s">
        <v>8</v>
      </c>
      <c r="AE217" s="181" t="s">
        <v>8</v>
      </c>
      <c r="AF217" s="180" t="s">
        <v>8</v>
      </c>
      <c r="AG217" s="181" t="s">
        <v>8</v>
      </c>
      <c r="AH217" s="181" t="s">
        <v>8</v>
      </c>
      <c r="AI217" s="180" t="s">
        <v>8</v>
      </c>
      <c r="AJ217" s="181" t="s">
        <v>8</v>
      </c>
      <c r="AK217" s="185" t="s">
        <v>8</v>
      </c>
    </row>
    <row r="218" spans="1:37" s="184" customFormat="1" ht="15.75" customHeight="1">
      <c r="A218" s="179">
        <v>41487</v>
      </c>
      <c r="B218" s="180">
        <v>135.66110204654004</v>
      </c>
      <c r="C218" s="181">
        <v>-3.1550467840845498E-3</v>
      </c>
      <c r="D218" s="181">
        <v>5.1376470967301469E-3</v>
      </c>
      <c r="E218" s="180">
        <v>140.26861126839381</v>
      </c>
      <c r="F218" s="181">
        <v>-1.9211549139367002E-3</v>
      </c>
      <c r="G218" s="181">
        <v>2.6878563779209053E-2</v>
      </c>
      <c r="H218" s="180">
        <v>119.4836296758823</v>
      </c>
      <c r="I218" s="181">
        <v>-3.4316771087975219E-3</v>
      </c>
      <c r="J218" s="181">
        <v>-4.6174529055175939E-2</v>
      </c>
      <c r="K218" s="180">
        <v>125.29859996447135</v>
      </c>
      <c r="L218" s="181">
        <v>1.2188087307642181E-3</v>
      </c>
      <c r="M218" s="181">
        <v>-2.4746683557733573E-2</v>
      </c>
      <c r="N218" s="180">
        <v>140.72124778262642</v>
      </c>
      <c r="O218" s="181">
        <v>4.1537030503255631E-3</v>
      </c>
      <c r="P218" s="181">
        <v>-2.6128973837575398E-2</v>
      </c>
      <c r="Q218" s="180">
        <v>112.90357177838894</v>
      </c>
      <c r="R218" s="181">
        <v>-1.0289578127296783E-3</v>
      </c>
      <c r="S218" s="181">
        <v>1.970058606692815E-2</v>
      </c>
      <c r="T218" s="180">
        <v>108.4299470605819</v>
      </c>
      <c r="U218" s="181">
        <v>-1.8668188013058223E-2</v>
      </c>
      <c r="V218" s="181">
        <v>7.1173333137853012E-2</v>
      </c>
      <c r="W218" s="180">
        <v>110.69418710863371</v>
      </c>
      <c r="X218" s="181">
        <v>-1.9954884608710754E-3</v>
      </c>
      <c r="Y218" s="181">
        <v>2.1125035490374033E-2</v>
      </c>
      <c r="Z218" s="180" t="s">
        <v>8</v>
      </c>
      <c r="AA218" s="181" t="s">
        <v>8</v>
      </c>
      <c r="AB218" s="181" t="s">
        <v>8</v>
      </c>
      <c r="AC218" s="180" t="s">
        <v>8</v>
      </c>
      <c r="AD218" s="181" t="s">
        <v>8</v>
      </c>
      <c r="AE218" s="181" t="s">
        <v>8</v>
      </c>
      <c r="AF218" s="180" t="s">
        <v>8</v>
      </c>
      <c r="AG218" s="181" t="s">
        <v>8</v>
      </c>
      <c r="AH218" s="181" t="s">
        <v>8</v>
      </c>
      <c r="AI218" s="180" t="s">
        <v>8</v>
      </c>
      <c r="AJ218" s="181" t="s">
        <v>8</v>
      </c>
      <c r="AK218" s="185" t="s">
        <v>8</v>
      </c>
    </row>
    <row r="219" spans="1:37" s="184" customFormat="1" ht="15.75" customHeight="1">
      <c r="A219" s="179">
        <v>41518</v>
      </c>
      <c r="B219" s="180">
        <v>135.84330705841893</v>
      </c>
      <c r="C219" s="181">
        <v>1.3430895749053783E-3</v>
      </c>
      <c r="D219" s="181">
        <v>4.9819488111275678E-3</v>
      </c>
      <c r="E219" s="180">
        <v>140.9069176400744</v>
      </c>
      <c r="F219" s="181">
        <v>4.550600208475775E-3</v>
      </c>
      <c r="G219" s="181">
        <v>3.4320604599931359E-2</v>
      </c>
      <c r="H219" s="180">
        <v>120.15722522847413</v>
      </c>
      <c r="I219" s="181">
        <v>5.6375551564599924E-3</v>
      </c>
      <c r="J219" s="181">
        <v>-3.8602153968493647E-2</v>
      </c>
      <c r="K219" s="180">
        <v>125.51302220393683</v>
      </c>
      <c r="L219" s="181">
        <v>1.7112899866899677E-3</v>
      </c>
      <c r="M219" s="181">
        <v>-1.889380486456671E-2</v>
      </c>
      <c r="N219" s="180">
        <v>140.19370795963627</v>
      </c>
      <c r="O219" s="181">
        <v>-3.7488284910965342E-3</v>
      </c>
      <c r="P219" s="181">
        <v>-2.3246112933697272E-2</v>
      </c>
      <c r="Q219" s="180">
        <v>113.03522631800051</v>
      </c>
      <c r="R219" s="181">
        <v>1.1660794918870621E-3</v>
      </c>
      <c r="S219" s="181">
        <v>1.63757733454859E-2</v>
      </c>
      <c r="T219" s="180">
        <v>108.34442639059689</v>
      </c>
      <c r="U219" s="181">
        <v>-7.8871817522162767E-4</v>
      </c>
      <c r="V219" s="181">
        <v>6.2275884165539086E-2</v>
      </c>
      <c r="W219" s="180">
        <v>110.34433787970919</v>
      </c>
      <c r="X219" s="181">
        <v>-3.160502263602971E-3</v>
      </c>
      <c r="Y219" s="181">
        <v>1.7318373127407138E-2</v>
      </c>
      <c r="Z219" s="180" t="s">
        <v>8</v>
      </c>
      <c r="AA219" s="181" t="s">
        <v>8</v>
      </c>
      <c r="AB219" s="181" t="s">
        <v>8</v>
      </c>
      <c r="AC219" s="180" t="s">
        <v>8</v>
      </c>
      <c r="AD219" s="181" t="s">
        <v>8</v>
      </c>
      <c r="AE219" s="181" t="s">
        <v>8</v>
      </c>
      <c r="AF219" s="180" t="s">
        <v>8</v>
      </c>
      <c r="AG219" s="181" t="s">
        <v>8</v>
      </c>
      <c r="AH219" s="181" t="s">
        <v>8</v>
      </c>
      <c r="AI219" s="180" t="s">
        <v>8</v>
      </c>
      <c r="AJ219" s="181" t="s">
        <v>8</v>
      </c>
      <c r="AK219" s="185" t="s">
        <v>8</v>
      </c>
    </row>
    <row r="220" spans="1:37" s="184" customFormat="1" ht="15.75" customHeight="1">
      <c r="A220" s="179">
        <v>41548</v>
      </c>
      <c r="B220" s="180">
        <v>136.10615274366731</v>
      </c>
      <c r="C220" s="181">
        <v>1.934918185813519E-3</v>
      </c>
      <c r="D220" s="181">
        <v>7.6106019432420347E-3</v>
      </c>
      <c r="E220" s="180">
        <v>141.78108569489993</v>
      </c>
      <c r="F220" s="181">
        <v>6.2038689758190779E-3</v>
      </c>
      <c r="G220" s="181">
        <v>3.9931191593038928E-2</v>
      </c>
      <c r="H220" s="180">
        <v>120.22448440235561</v>
      </c>
      <c r="I220" s="181">
        <v>5.5975971277280048E-4</v>
      </c>
      <c r="J220" s="181">
        <v>-3.6766478606914066E-2</v>
      </c>
      <c r="K220" s="180">
        <v>124.56001077824267</v>
      </c>
      <c r="L220" s="181">
        <v>-7.5929286775174428E-3</v>
      </c>
      <c r="M220" s="181">
        <v>-2.5998776718313188E-2</v>
      </c>
      <c r="N220" s="180">
        <v>141.20414496952932</v>
      </c>
      <c r="O220" s="181">
        <v>7.2074348028798351E-3</v>
      </c>
      <c r="P220" s="181">
        <v>-1.3894910278999251E-2</v>
      </c>
      <c r="Q220" s="180">
        <v>113.29890083314989</v>
      </c>
      <c r="R220" s="181">
        <v>2.3326756068731626E-3</v>
      </c>
      <c r="S220" s="181">
        <v>1.989906907645711E-2</v>
      </c>
      <c r="T220" s="180">
        <v>108.9569808461613</v>
      </c>
      <c r="U220" s="181">
        <v>5.653769888965576E-3</v>
      </c>
      <c r="V220" s="181">
        <v>5.9456086972897726E-2</v>
      </c>
      <c r="W220" s="180">
        <v>109.86742992836868</v>
      </c>
      <c r="X220" s="181">
        <v>-4.3219974898975689E-3</v>
      </c>
      <c r="Y220" s="181">
        <v>8.5311556110982956E-3</v>
      </c>
      <c r="Z220" s="180" t="s">
        <v>8</v>
      </c>
      <c r="AA220" s="181" t="s">
        <v>8</v>
      </c>
      <c r="AB220" s="181" t="s">
        <v>8</v>
      </c>
      <c r="AC220" s="180" t="s">
        <v>8</v>
      </c>
      <c r="AD220" s="181" t="s">
        <v>8</v>
      </c>
      <c r="AE220" s="181" t="s">
        <v>8</v>
      </c>
      <c r="AF220" s="180" t="s">
        <v>8</v>
      </c>
      <c r="AG220" s="181" t="s">
        <v>8</v>
      </c>
      <c r="AH220" s="181" t="s">
        <v>8</v>
      </c>
      <c r="AI220" s="180" t="s">
        <v>8</v>
      </c>
      <c r="AJ220" s="181" t="s">
        <v>8</v>
      </c>
      <c r="AK220" s="185" t="s">
        <v>8</v>
      </c>
    </row>
    <row r="221" spans="1:37" s="184" customFormat="1" ht="15.75" customHeight="1">
      <c r="A221" s="179">
        <v>41579</v>
      </c>
      <c r="B221" s="180">
        <v>136.77078606547039</v>
      </c>
      <c r="C221" s="181">
        <v>4.883198212609954E-3</v>
      </c>
      <c r="D221" s="181">
        <v>9.9369444434320719E-3</v>
      </c>
      <c r="E221" s="180">
        <v>141.60603424548796</v>
      </c>
      <c r="F221" s="181">
        <v>-1.2346600997869483E-3</v>
      </c>
      <c r="G221" s="181">
        <v>3.2340080578555641E-2</v>
      </c>
      <c r="H221" s="180">
        <v>120.65702359856346</v>
      </c>
      <c r="I221" s="181">
        <v>3.5977629545099221E-3</v>
      </c>
      <c r="J221" s="181">
        <v>-3.7965305428798279E-2</v>
      </c>
      <c r="K221" s="180">
        <v>124.48918644284228</v>
      </c>
      <c r="L221" s="181">
        <v>-5.6859609242067895E-4</v>
      </c>
      <c r="M221" s="181">
        <v>-2.4199515020842721E-2</v>
      </c>
      <c r="N221" s="180">
        <v>141.35369492527747</v>
      </c>
      <c r="O221" s="181">
        <v>1.0591045735975112E-3</v>
      </c>
      <c r="P221" s="181">
        <v>-7.7862621569573243E-3</v>
      </c>
      <c r="Q221" s="180">
        <v>114.19777854565699</v>
      </c>
      <c r="R221" s="181">
        <v>7.9336843155330544E-3</v>
      </c>
      <c r="S221" s="181">
        <v>2.2594567806190513E-2</v>
      </c>
      <c r="T221" s="180">
        <v>106.59092561811426</v>
      </c>
      <c r="U221" s="181">
        <v>-2.1715499178411767E-2</v>
      </c>
      <c r="V221" s="181">
        <v>1.1979478888843209E-2</v>
      </c>
      <c r="W221" s="180">
        <v>109.85800176387664</v>
      </c>
      <c r="X221" s="181">
        <v>-8.5814007829139167E-5</v>
      </c>
      <c r="Y221" s="181">
        <v>-3.1011918236075742E-3</v>
      </c>
      <c r="Z221" s="180" t="s">
        <v>8</v>
      </c>
      <c r="AA221" s="181" t="s">
        <v>8</v>
      </c>
      <c r="AB221" s="181" t="s">
        <v>8</v>
      </c>
      <c r="AC221" s="180" t="s">
        <v>8</v>
      </c>
      <c r="AD221" s="181" t="s">
        <v>8</v>
      </c>
      <c r="AE221" s="181" t="s">
        <v>8</v>
      </c>
      <c r="AF221" s="180" t="s">
        <v>8</v>
      </c>
      <c r="AG221" s="181" t="s">
        <v>8</v>
      </c>
      <c r="AH221" s="181" t="s">
        <v>8</v>
      </c>
      <c r="AI221" s="180" t="s">
        <v>8</v>
      </c>
      <c r="AJ221" s="181" t="s">
        <v>8</v>
      </c>
      <c r="AK221" s="185" t="s">
        <v>8</v>
      </c>
    </row>
    <row r="222" spans="1:37" s="184" customFormat="1" ht="15.75" customHeight="1">
      <c r="A222" s="179">
        <v>41609</v>
      </c>
      <c r="B222" s="180">
        <v>136.58961343432867</v>
      </c>
      <c r="C222" s="181">
        <v>-1.3246442193802688E-3</v>
      </c>
      <c r="D222" s="181">
        <v>1.0786623947763863E-2</v>
      </c>
      <c r="E222" s="180">
        <v>141.05257582388495</v>
      </c>
      <c r="F222" s="181">
        <v>-3.9084381153102485E-3</v>
      </c>
      <c r="G222" s="181">
        <v>3.1651423611783747E-2</v>
      </c>
      <c r="H222" s="180">
        <v>120.43474677530527</v>
      </c>
      <c r="I222" s="181">
        <v>-1.8422203418320437E-3</v>
      </c>
      <c r="J222" s="181">
        <v>-3.2475593974139239E-2</v>
      </c>
      <c r="K222" s="180">
        <v>124.22868099809993</v>
      </c>
      <c r="L222" s="181">
        <v>-2.0925949649607698E-3</v>
      </c>
      <c r="M222" s="181">
        <v>-1.8878862047766565E-2</v>
      </c>
      <c r="N222" s="180">
        <v>141.32451819584202</v>
      </c>
      <c r="O222" s="181">
        <v>-2.0640938640378525E-4</v>
      </c>
      <c r="P222" s="181">
        <v>-1.1291478126808863E-2</v>
      </c>
      <c r="Q222" s="180">
        <v>114.66834854986868</v>
      </c>
      <c r="R222" s="181">
        <v>4.1206581266688032E-3</v>
      </c>
      <c r="S222" s="181">
        <v>3.1077269486187387E-2</v>
      </c>
      <c r="T222" s="180">
        <v>104.21996564628347</v>
      </c>
      <c r="U222" s="181">
        <v>-2.2243544261218499E-2</v>
      </c>
      <c r="V222" s="181">
        <v>-2.4898704819982242E-3</v>
      </c>
      <c r="W222" s="180">
        <v>109.48005620665633</v>
      </c>
      <c r="X222" s="181">
        <v>-3.4403097739994326E-3</v>
      </c>
      <c r="Y222" s="181">
        <v>5.2585902803874429E-3</v>
      </c>
      <c r="Z222" s="180" t="s">
        <v>8</v>
      </c>
      <c r="AA222" s="181" t="s">
        <v>8</v>
      </c>
      <c r="AB222" s="181" t="s">
        <v>8</v>
      </c>
      <c r="AC222" s="180" t="s">
        <v>8</v>
      </c>
      <c r="AD222" s="181" t="s">
        <v>8</v>
      </c>
      <c r="AE222" s="181" t="s">
        <v>8</v>
      </c>
      <c r="AF222" s="180" t="s">
        <v>8</v>
      </c>
      <c r="AG222" s="181" t="s">
        <v>8</v>
      </c>
      <c r="AH222" s="181" t="s">
        <v>8</v>
      </c>
      <c r="AI222" s="180" t="s">
        <v>8</v>
      </c>
      <c r="AJ222" s="181" t="s">
        <v>8</v>
      </c>
      <c r="AK222" s="185" t="s">
        <v>8</v>
      </c>
    </row>
    <row r="223" spans="1:37" s="184" customFormat="1" ht="15.75" customHeight="1">
      <c r="A223" s="179">
        <v>41640</v>
      </c>
      <c r="B223" s="180">
        <v>136.57637573452072</v>
      </c>
      <c r="C223" s="181">
        <v>-9.6915859669746145E-5</v>
      </c>
      <c r="D223" s="181">
        <v>1.0139360941137099E-2</v>
      </c>
      <c r="E223" s="180">
        <v>141.13840983572243</v>
      </c>
      <c r="F223" s="181">
        <v>6.0852495132476478E-4</v>
      </c>
      <c r="G223" s="181">
        <v>2.1464258462016605E-2</v>
      </c>
      <c r="H223" s="180">
        <v>121.18143229725241</v>
      </c>
      <c r="I223" s="181">
        <v>6.1999177308873585E-3</v>
      </c>
      <c r="J223" s="181">
        <v>-3.2581781828376788E-2</v>
      </c>
      <c r="K223" s="180">
        <v>124.01517451210269</v>
      </c>
      <c r="L223" s="181">
        <v>-1.7186569500847204E-3</v>
      </c>
      <c r="M223" s="181">
        <v>-2.8846038672818874E-2</v>
      </c>
      <c r="N223" s="180">
        <v>141.09017408344769</v>
      </c>
      <c r="O223" s="181">
        <v>-1.658198558792019E-3</v>
      </c>
      <c r="P223" s="181">
        <v>-1.0926324497544715E-2</v>
      </c>
      <c r="Q223" s="180">
        <v>115.59390013099149</v>
      </c>
      <c r="R223" s="181">
        <v>8.0715523754167039E-3</v>
      </c>
      <c r="S223" s="181">
        <v>3.4637911013922995E-2</v>
      </c>
      <c r="T223" s="180">
        <v>104.4457563537315</v>
      </c>
      <c r="U223" s="181">
        <v>2.1664822670768389E-3</v>
      </c>
      <c r="V223" s="181">
        <v>-4.9287916074888249E-3</v>
      </c>
      <c r="W223" s="180">
        <v>110.34241093154952</v>
      </c>
      <c r="X223" s="181">
        <v>7.876820260901217E-3</v>
      </c>
      <c r="Y223" s="181">
        <v>9.190844855288649E-3</v>
      </c>
      <c r="Z223" s="180" t="s">
        <v>8</v>
      </c>
      <c r="AA223" s="181" t="s">
        <v>8</v>
      </c>
      <c r="AB223" s="181" t="s">
        <v>8</v>
      </c>
      <c r="AC223" s="180" t="s">
        <v>8</v>
      </c>
      <c r="AD223" s="181" t="s">
        <v>8</v>
      </c>
      <c r="AE223" s="181" t="s">
        <v>8</v>
      </c>
      <c r="AF223" s="180" t="s">
        <v>8</v>
      </c>
      <c r="AG223" s="181" t="s">
        <v>8</v>
      </c>
      <c r="AH223" s="181" t="s">
        <v>8</v>
      </c>
      <c r="AI223" s="180" t="s">
        <v>8</v>
      </c>
      <c r="AJ223" s="181" t="s">
        <v>8</v>
      </c>
      <c r="AK223" s="185" t="s">
        <v>8</v>
      </c>
    </row>
    <row r="224" spans="1:37" s="184" customFormat="1" ht="15.75" customHeight="1">
      <c r="A224" s="179">
        <v>41671</v>
      </c>
      <c r="B224" s="180">
        <v>136.37816813420193</v>
      </c>
      <c r="C224" s="181">
        <v>-1.4512583106178268E-3</v>
      </c>
      <c r="D224" s="181">
        <v>7.2822611578080565E-3</v>
      </c>
      <c r="E224" s="180">
        <v>141.0145549395485</v>
      </c>
      <c r="F224" s="181">
        <v>-8.7754209727941568E-4</v>
      </c>
      <c r="G224" s="181">
        <v>1.4378164266911853E-2</v>
      </c>
      <c r="H224" s="180">
        <v>121.70299527370621</v>
      </c>
      <c r="I224" s="181">
        <v>4.3039842537462066E-3</v>
      </c>
      <c r="J224" s="181">
        <v>-1.0792058852876485E-2</v>
      </c>
      <c r="K224" s="180">
        <v>124.09217559989</v>
      </c>
      <c r="L224" s="181">
        <v>6.2090053165059006E-4</v>
      </c>
      <c r="M224" s="181">
        <v>-4.1557165526506679E-2</v>
      </c>
      <c r="N224" s="180">
        <v>140.57144715190424</v>
      </c>
      <c r="O224" s="181">
        <v>-3.6765631264772925E-3</v>
      </c>
      <c r="P224" s="181">
        <v>-7.1805922734666794E-3</v>
      </c>
      <c r="Q224" s="180">
        <v>115.57791158803055</v>
      </c>
      <c r="R224" s="181">
        <v>-1.3831649371479849E-4</v>
      </c>
      <c r="S224" s="181">
        <v>3.233096014095671E-2</v>
      </c>
      <c r="T224" s="180">
        <v>104.22480922561259</v>
      </c>
      <c r="U224" s="181">
        <v>-2.1154246551733191E-3</v>
      </c>
      <c r="V224" s="181">
        <v>-2.9506253973058727E-2</v>
      </c>
      <c r="W224" s="180">
        <v>110.52090565843227</v>
      </c>
      <c r="X224" s="181">
        <v>1.6176438902850254E-3</v>
      </c>
      <c r="Y224" s="181">
        <v>4.6874686698570311E-3</v>
      </c>
      <c r="Z224" s="180" t="s">
        <v>8</v>
      </c>
      <c r="AA224" s="181" t="s">
        <v>8</v>
      </c>
      <c r="AB224" s="181" t="s">
        <v>8</v>
      </c>
      <c r="AC224" s="180" t="s">
        <v>8</v>
      </c>
      <c r="AD224" s="181" t="s">
        <v>8</v>
      </c>
      <c r="AE224" s="181" t="s">
        <v>8</v>
      </c>
      <c r="AF224" s="180" t="s">
        <v>8</v>
      </c>
      <c r="AG224" s="181" t="s">
        <v>8</v>
      </c>
      <c r="AH224" s="181" t="s">
        <v>8</v>
      </c>
      <c r="AI224" s="180" t="s">
        <v>8</v>
      </c>
      <c r="AJ224" s="181" t="s">
        <v>8</v>
      </c>
      <c r="AK224" s="185" t="s">
        <v>8</v>
      </c>
    </row>
    <row r="225" spans="1:37" s="184" customFormat="1" ht="15.75" customHeight="1">
      <c r="A225" s="179">
        <v>41699</v>
      </c>
      <c r="B225" s="180">
        <v>136.41056592855594</v>
      </c>
      <c r="C225" s="181">
        <v>2.3755850952718926E-4</v>
      </c>
      <c r="D225" s="181">
        <v>8.4984496317346281E-3</v>
      </c>
      <c r="E225" s="180">
        <v>140.63498039940032</v>
      </c>
      <c r="F225" s="181">
        <v>-2.6917401562619194E-3</v>
      </c>
      <c r="G225" s="181">
        <v>1.0204528804045543E-2</v>
      </c>
      <c r="H225" s="180">
        <v>120.78055616350596</v>
      </c>
      <c r="I225" s="181">
        <v>-7.5794281654754615E-3</v>
      </c>
      <c r="J225" s="181">
        <v>-9.5142397102525589E-3</v>
      </c>
      <c r="K225" s="180">
        <v>124.08057108493638</v>
      </c>
      <c r="L225" s="181">
        <v>-9.3515283276492949E-5</v>
      </c>
      <c r="M225" s="181">
        <v>-4.1023032781803859E-2</v>
      </c>
      <c r="N225" s="180">
        <v>139.54606358715748</v>
      </c>
      <c r="O225" s="181">
        <v>-7.2943943135102222E-3</v>
      </c>
      <c r="P225" s="181">
        <v>-5.4192757915916268E-4</v>
      </c>
      <c r="Q225" s="180">
        <v>114.71334173924897</v>
      </c>
      <c r="R225" s="181">
        <v>-7.4804072586400925E-3</v>
      </c>
      <c r="S225" s="181">
        <v>2.7027466420121771E-2</v>
      </c>
      <c r="T225" s="180">
        <v>105.61633688448249</v>
      </c>
      <c r="U225" s="181">
        <v>1.3351213297571834E-2</v>
      </c>
      <c r="V225" s="181">
        <v>-2.0211663075924258E-2</v>
      </c>
      <c r="W225" s="180">
        <v>110.78821595860887</v>
      </c>
      <c r="X225" s="181">
        <v>2.4186401530470491E-3</v>
      </c>
      <c r="Y225" s="181">
        <v>9.1515377537572107E-3</v>
      </c>
      <c r="Z225" s="180" t="s">
        <v>8</v>
      </c>
      <c r="AA225" s="181" t="s">
        <v>8</v>
      </c>
      <c r="AB225" s="181" t="s">
        <v>8</v>
      </c>
      <c r="AC225" s="180" t="s">
        <v>8</v>
      </c>
      <c r="AD225" s="181" t="s">
        <v>8</v>
      </c>
      <c r="AE225" s="181" t="s">
        <v>8</v>
      </c>
      <c r="AF225" s="180" t="s">
        <v>8</v>
      </c>
      <c r="AG225" s="181" t="s">
        <v>8</v>
      </c>
      <c r="AH225" s="181" t="s">
        <v>8</v>
      </c>
      <c r="AI225" s="180" t="s">
        <v>8</v>
      </c>
      <c r="AJ225" s="181" t="s">
        <v>8</v>
      </c>
      <c r="AK225" s="185" t="s">
        <v>8</v>
      </c>
    </row>
    <row r="226" spans="1:37" s="184" customFormat="1" ht="15.75" customHeight="1">
      <c r="A226" s="179">
        <v>41730</v>
      </c>
      <c r="B226" s="180">
        <v>136.45624009630231</v>
      </c>
      <c r="C226" s="181">
        <v>3.348286654735322E-4</v>
      </c>
      <c r="D226" s="181">
        <v>8.4289926265226356E-3</v>
      </c>
      <c r="E226" s="180">
        <v>140.19319324230008</v>
      </c>
      <c r="F226" s="181">
        <v>-3.1413746128137274E-3</v>
      </c>
      <c r="G226" s="181">
        <v>4.9246031656766664E-3</v>
      </c>
      <c r="H226" s="180">
        <v>119.66550612144484</v>
      </c>
      <c r="I226" s="181">
        <v>-9.2320326837346429E-3</v>
      </c>
      <c r="J226" s="181">
        <v>-1.2352084670787633E-2</v>
      </c>
      <c r="K226" s="180">
        <v>123.63894322459485</v>
      </c>
      <c r="L226" s="181">
        <v>-3.5592023511821025E-3</v>
      </c>
      <c r="M226" s="181">
        <v>-3.6621891841142507E-2</v>
      </c>
      <c r="N226" s="180">
        <v>139.42380894777838</v>
      </c>
      <c r="O226" s="181">
        <v>-8.7608805462824563E-4</v>
      </c>
      <c r="P226" s="181">
        <v>-6.5823159054123614E-4</v>
      </c>
      <c r="Q226" s="180">
        <v>114.20035697762148</v>
      </c>
      <c r="R226" s="181">
        <v>-4.4718840358912403E-3</v>
      </c>
      <c r="S226" s="181">
        <v>1.9565119117596286E-2</v>
      </c>
      <c r="T226" s="180">
        <v>105.60605507382107</v>
      </c>
      <c r="U226" s="181">
        <v>-9.7350570609768821E-5</v>
      </c>
      <c r="V226" s="181">
        <v>-2.1028212400753477E-2</v>
      </c>
      <c r="W226" s="180">
        <v>110.3735947606494</v>
      </c>
      <c r="X226" s="181">
        <v>-3.7424666005487594E-3</v>
      </c>
      <c r="Y226" s="181">
        <v>2.3018269610575182E-4</v>
      </c>
      <c r="Z226" s="180" t="s">
        <v>8</v>
      </c>
      <c r="AA226" s="181" t="s">
        <v>8</v>
      </c>
      <c r="AB226" s="181" t="s">
        <v>8</v>
      </c>
      <c r="AC226" s="180" t="s">
        <v>8</v>
      </c>
      <c r="AD226" s="181" t="s">
        <v>8</v>
      </c>
      <c r="AE226" s="181" t="s">
        <v>8</v>
      </c>
      <c r="AF226" s="180" t="s">
        <v>8</v>
      </c>
      <c r="AG226" s="181" t="s">
        <v>8</v>
      </c>
      <c r="AH226" s="181" t="s">
        <v>8</v>
      </c>
      <c r="AI226" s="180" t="s">
        <v>8</v>
      </c>
      <c r="AJ226" s="181" t="s">
        <v>8</v>
      </c>
      <c r="AK226" s="185" t="s">
        <v>8</v>
      </c>
    </row>
    <row r="227" spans="1:37" s="184" customFormat="1" ht="15.75" customHeight="1">
      <c r="A227" s="179">
        <v>41760</v>
      </c>
      <c r="B227" s="180">
        <v>136.15520469552911</v>
      </c>
      <c r="C227" s="181">
        <v>-2.2060947931788056E-3</v>
      </c>
      <c r="D227" s="181">
        <v>8.1259005116620653E-3</v>
      </c>
      <c r="E227" s="180">
        <v>139.39775614644168</v>
      </c>
      <c r="F227" s="181">
        <v>-5.6738638835597934E-3</v>
      </c>
      <c r="G227" s="181">
        <v>2.0287158641978387E-3</v>
      </c>
      <c r="H227" s="180">
        <v>119.14488802130884</v>
      </c>
      <c r="I227" s="181">
        <v>-4.3506112747949133E-3</v>
      </c>
      <c r="J227" s="181">
        <v>-1.3664781901226886E-2</v>
      </c>
      <c r="K227" s="180">
        <v>122.64223730381266</v>
      </c>
      <c r="L227" s="181">
        <v>-8.0614238102281431E-3</v>
      </c>
      <c r="M227" s="181">
        <v>-1.7356454045323266E-2</v>
      </c>
      <c r="N227" s="180">
        <v>139.17228624940407</v>
      </c>
      <c r="O227" s="181">
        <v>-1.8040153993248631E-3</v>
      </c>
      <c r="P227" s="181">
        <v>4.5610251359740062E-4</v>
      </c>
      <c r="Q227" s="180">
        <v>114.18017601867443</v>
      </c>
      <c r="R227" s="181">
        <v>-1.7671537533813007E-4</v>
      </c>
      <c r="S227" s="181">
        <v>1.823427127574373E-2</v>
      </c>
      <c r="T227" s="180">
        <v>107.27424119645046</v>
      </c>
      <c r="U227" s="181">
        <v>1.5796311314377774E-2</v>
      </c>
      <c r="V227" s="181">
        <v>-6.0895331366914718E-3</v>
      </c>
      <c r="W227" s="180">
        <v>110.60354218840043</v>
      </c>
      <c r="X227" s="181">
        <v>2.0833554279869547E-3</v>
      </c>
      <c r="Y227" s="181">
        <v>2.8210054260251471E-3</v>
      </c>
      <c r="Z227" s="180" t="s">
        <v>8</v>
      </c>
      <c r="AA227" s="181" t="s">
        <v>8</v>
      </c>
      <c r="AB227" s="181" t="s">
        <v>8</v>
      </c>
      <c r="AC227" s="180" t="s">
        <v>8</v>
      </c>
      <c r="AD227" s="181" t="s">
        <v>8</v>
      </c>
      <c r="AE227" s="181" t="s">
        <v>8</v>
      </c>
      <c r="AF227" s="180" t="s">
        <v>8</v>
      </c>
      <c r="AG227" s="181" t="s">
        <v>8</v>
      </c>
      <c r="AH227" s="181" t="s">
        <v>8</v>
      </c>
      <c r="AI227" s="180" t="s">
        <v>8</v>
      </c>
      <c r="AJ227" s="181" t="s">
        <v>8</v>
      </c>
      <c r="AK227" s="185" t="s">
        <v>8</v>
      </c>
    </row>
    <row r="228" spans="1:37" s="184" customFormat="1" ht="15.75" customHeight="1">
      <c r="A228" s="179">
        <v>41791</v>
      </c>
      <c r="B228" s="180">
        <v>136.34487082865525</v>
      </c>
      <c r="C228" s="181">
        <v>1.3930141969251241E-3</v>
      </c>
      <c r="D228" s="181">
        <v>8.6790247442605217E-3</v>
      </c>
      <c r="E228" s="180">
        <v>140.42010482821743</v>
      </c>
      <c r="F228" s="181">
        <v>7.3340397294612593E-3</v>
      </c>
      <c r="G228" s="181">
        <v>5.9738851977548801E-3</v>
      </c>
      <c r="H228" s="180">
        <v>119.30016097637275</v>
      </c>
      <c r="I228" s="181">
        <v>1.3032280078700521E-3</v>
      </c>
      <c r="J228" s="181">
        <v>-9.7990785411282699E-3</v>
      </c>
      <c r="K228" s="180">
        <v>122.32037834391734</v>
      </c>
      <c r="L228" s="181">
        <v>-2.6243728667311706E-3</v>
      </c>
      <c r="M228" s="181">
        <v>-1.8495737873969964E-2</v>
      </c>
      <c r="N228" s="180">
        <v>139.16748781654073</v>
      </c>
      <c r="O228" s="181">
        <v>-3.447836485736433E-5</v>
      </c>
      <c r="P228" s="181">
        <v>-2.1229626460150808E-4</v>
      </c>
      <c r="Q228" s="180">
        <v>114.25226076913935</v>
      </c>
      <c r="R228" s="181">
        <v>6.3132456945189206E-4</v>
      </c>
      <c r="S228" s="181">
        <v>1.3712111615999945E-2</v>
      </c>
      <c r="T228" s="180">
        <v>108.8898261028104</v>
      </c>
      <c r="U228" s="181">
        <v>1.506032471859986E-2</v>
      </c>
      <c r="V228" s="181">
        <v>4.4008335091416662E-3</v>
      </c>
      <c r="W228" s="180">
        <v>110.39440277463626</v>
      </c>
      <c r="X228" s="181">
        <v>-1.890892548521783E-3</v>
      </c>
      <c r="Y228" s="181">
        <v>-1.7543555262523602E-3</v>
      </c>
      <c r="Z228" s="180" t="s">
        <v>8</v>
      </c>
      <c r="AA228" s="181" t="s">
        <v>8</v>
      </c>
      <c r="AB228" s="181" t="s">
        <v>8</v>
      </c>
      <c r="AC228" s="180" t="s">
        <v>8</v>
      </c>
      <c r="AD228" s="181" t="s">
        <v>8</v>
      </c>
      <c r="AE228" s="181" t="s">
        <v>8</v>
      </c>
      <c r="AF228" s="180" t="s">
        <v>8</v>
      </c>
      <c r="AG228" s="181" t="s">
        <v>8</v>
      </c>
      <c r="AH228" s="181" t="s">
        <v>8</v>
      </c>
      <c r="AI228" s="180" t="s">
        <v>8</v>
      </c>
      <c r="AJ228" s="181" t="s">
        <v>8</v>
      </c>
      <c r="AK228" s="185" t="s">
        <v>8</v>
      </c>
    </row>
    <row r="229" spans="1:37" s="184" customFormat="1" ht="15.75" customHeight="1">
      <c r="A229" s="179">
        <v>41821</v>
      </c>
      <c r="B229" s="180">
        <v>136.17814796489213</v>
      </c>
      <c r="C229" s="181">
        <v>-1.2228026089271494E-3</v>
      </c>
      <c r="D229" s="181">
        <v>6.4423397152491013E-4</v>
      </c>
      <c r="E229" s="180">
        <v>139.38746435908743</v>
      </c>
      <c r="F229" s="181">
        <v>-7.3539360363909399E-3</v>
      </c>
      <c r="G229" s="181">
        <v>-8.1909403038333828E-3</v>
      </c>
      <c r="H229" s="180">
        <v>119.63670224616619</v>
      </c>
      <c r="I229" s="181">
        <v>2.8209624114430222E-3</v>
      </c>
      <c r="J229" s="181">
        <v>-2.1549559791979034E-3</v>
      </c>
      <c r="K229" s="180">
        <v>122.17766538984152</v>
      </c>
      <c r="L229" s="181">
        <v>-1.1667144592584955E-3</v>
      </c>
      <c r="M229" s="181">
        <v>-2.371952575839642E-2</v>
      </c>
      <c r="N229" s="180">
        <v>140.10993870683774</v>
      </c>
      <c r="O229" s="181">
        <v>6.7720622473216637E-3</v>
      </c>
      <c r="P229" s="181">
        <v>-2.0845463256891072E-4</v>
      </c>
      <c r="Q229" s="180">
        <v>114.49193853839401</v>
      </c>
      <c r="R229" s="181">
        <v>2.0977945437679144E-3</v>
      </c>
      <c r="S229" s="181">
        <v>1.3024914643425811E-2</v>
      </c>
      <c r="T229" s="180">
        <v>109.78634837741966</v>
      </c>
      <c r="U229" s="181">
        <v>8.2332969635086403E-3</v>
      </c>
      <c r="V229" s="181">
        <v>-6.3922458207211763E-3</v>
      </c>
      <c r="W229" s="180">
        <v>110.03563791537609</v>
      </c>
      <c r="X229" s="181">
        <v>-3.2498464618045866E-3</v>
      </c>
      <c r="Y229" s="181">
        <v>-7.9328830351368396E-3</v>
      </c>
      <c r="Z229" s="180" t="s">
        <v>8</v>
      </c>
      <c r="AA229" s="181" t="s">
        <v>8</v>
      </c>
      <c r="AB229" s="181" t="s">
        <v>8</v>
      </c>
      <c r="AC229" s="180" t="s">
        <v>8</v>
      </c>
      <c r="AD229" s="181" t="s">
        <v>8</v>
      </c>
      <c r="AE229" s="181" t="s">
        <v>8</v>
      </c>
      <c r="AF229" s="180" t="s">
        <v>8</v>
      </c>
      <c r="AG229" s="181" t="s">
        <v>8</v>
      </c>
      <c r="AH229" s="181" t="s">
        <v>8</v>
      </c>
      <c r="AI229" s="180" t="s">
        <v>8</v>
      </c>
      <c r="AJ229" s="181" t="s">
        <v>8</v>
      </c>
      <c r="AK229" s="185" t="s">
        <v>8</v>
      </c>
    </row>
    <row r="230" spans="1:37" s="184" customFormat="1" ht="15.75" customHeight="1">
      <c r="A230" s="179">
        <v>41852</v>
      </c>
      <c r="B230" s="180">
        <v>135.95336235055061</v>
      </c>
      <c r="C230" s="181">
        <v>-1.6506731637991878E-3</v>
      </c>
      <c r="D230" s="181">
        <v>2.1543412194182654E-3</v>
      </c>
      <c r="E230" s="180">
        <v>139.19916807936301</v>
      </c>
      <c r="F230" s="181">
        <v>-1.3508838875161855E-3</v>
      </c>
      <c r="G230" s="181">
        <v>-7.6242516366296087E-3</v>
      </c>
      <c r="H230" s="180">
        <v>119.7877991126261</v>
      </c>
      <c r="I230" s="181">
        <v>1.2629641541691329E-3</v>
      </c>
      <c r="J230" s="181">
        <v>2.5456996708996815E-3</v>
      </c>
      <c r="K230" s="180">
        <v>122.16826557463206</v>
      </c>
      <c r="L230" s="181">
        <v>-7.6935626323200166E-5</v>
      </c>
      <c r="M230" s="181">
        <v>-2.4982995745578163E-2</v>
      </c>
      <c r="N230" s="180">
        <v>140.88844318199585</v>
      </c>
      <c r="O230" s="181">
        <v>5.5563829542959195E-3</v>
      </c>
      <c r="P230" s="181">
        <v>1.188131870659026E-3</v>
      </c>
      <c r="Q230" s="180">
        <v>114.12097524890184</v>
      </c>
      <c r="R230" s="181">
        <v>-3.2400821772072485E-3</v>
      </c>
      <c r="S230" s="181">
        <v>1.0782683411490801E-2</v>
      </c>
      <c r="T230" s="180">
        <v>110.21201715391715</v>
      </c>
      <c r="U230" s="181">
        <v>3.8772468780374236E-3</v>
      </c>
      <c r="V230" s="181">
        <v>1.6435220542343032E-2</v>
      </c>
      <c r="W230" s="180">
        <v>110.03568376177581</v>
      </c>
      <c r="X230" s="181">
        <v>4.1665046521144331E-7</v>
      </c>
      <c r="Y230" s="181">
        <v>-5.9488520947504897E-3</v>
      </c>
      <c r="Z230" s="180" t="s">
        <v>8</v>
      </c>
      <c r="AA230" s="181" t="s">
        <v>8</v>
      </c>
      <c r="AB230" s="181" t="s">
        <v>8</v>
      </c>
      <c r="AC230" s="180" t="s">
        <v>8</v>
      </c>
      <c r="AD230" s="181" t="s">
        <v>8</v>
      </c>
      <c r="AE230" s="181" t="s">
        <v>8</v>
      </c>
      <c r="AF230" s="180" t="s">
        <v>8</v>
      </c>
      <c r="AG230" s="181" t="s">
        <v>8</v>
      </c>
      <c r="AH230" s="181" t="s">
        <v>8</v>
      </c>
      <c r="AI230" s="180" t="s">
        <v>8</v>
      </c>
      <c r="AJ230" s="181" t="s">
        <v>8</v>
      </c>
      <c r="AK230" s="185" t="s">
        <v>8</v>
      </c>
    </row>
    <row r="231" spans="1:37" s="184" customFormat="1" ht="15.75" customHeight="1">
      <c r="A231" s="179">
        <v>41883</v>
      </c>
      <c r="B231" s="180">
        <v>136.00209503436528</v>
      </c>
      <c r="C231" s="181">
        <v>3.5845147903752929E-4</v>
      </c>
      <c r="D231" s="181">
        <v>1.1689054056822634E-3</v>
      </c>
      <c r="E231" s="180">
        <v>139.45970371628474</v>
      </c>
      <c r="F231" s="181">
        <v>1.8716752443031837E-3</v>
      </c>
      <c r="G231" s="181">
        <v>-1.0270708834085429E-2</v>
      </c>
      <c r="H231" s="180">
        <v>120.36410571546607</v>
      </c>
      <c r="I231" s="181">
        <v>4.8110626216457545E-3</v>
      </c>
      <c r="J231" s="181">
        <v>1.721748206140461E-3</v>
      </c>
      <c r="K231" s="180">
        <v>122.10148071829083</v>
      </c>
      <c r="L231" s="181">
        <v>-5.4666288358200092E-4</v>
      </c>
      <c r="M231" s="181">
        <v>-2.718077714759215E-2</v>
      </c>
      <c r="N231" s="180">
        <v>140.57594797038169</v>
      </c>
      <c r="O231" s="181">
        <v>-2.2180329667670804E-3</v>
      </c>
      <c r="P231" s="181">
        <v>2.7265133101086469E-3</v>
      </c>
      <c r="Q231" s="180">
        <v>115.26102800211478</v>
      </c>
      <c r="R231" s="181">
        <v>9.9898616422305266E-3</v>
      </c>
      <c r="S231" s="181">
        <v>1.9691221547630144E-2</v>
      </c>
      <c r="T231" s="180">
        <v>110.27150448725558</v>
      </c>
      <c r="U231" s="181">
        <v>5.3975360287037419E-4</v>
      </c>
      <c r="V231" s="181">
        <v>1.7786591898242277E-2</v>
      </c>
      <c r="W231" s="180">
        <v>109.83305228657724</v>
      </c>
      <c r="X231" s="181">
        <v>-1.8415069391240668E-3</v>
      </c>
      <c r="Y231" s="181">
        <v>-4.6335462512749892E-3</v>
      </c>
      <c r="Z231" s="180" t="s">
        <v>8</v>
      </c>
      <c r="AA231" s="181" t="s">
        <v>8</v>
      </c>
      <c r="AB231" s="181" t="s">
        <v>8</v>
      </c>
      <c r="AC231" s="180" t="s">
        <v>8</v>
      </c>
      <c r="AD231" s="181" t="s">
        <v>8</v>
      </c>
      <c r="AE231" s="181" t="s">
        <v>8</v>
      </c>
      <c r="AF231" s="180" t="s">
        <v>8</v>
      </c>
      <c r="AG231" s="181" t="s">
        <v>8</v>
      </c>
      <c r="AH231" s="181" t="s">
        <v>8</v>
      </c>
      <c r="AI231" s="180" t="s">
        <v>8</v>
      </c>
      <c r="AJ231" s="181" t="s">
        <v>8</v>
      </c>
      <c r="AK231" s="185" t="s">
        <v>8</v>
      </c>
    </row>
    <row r="232" spans="1:37" s="184" customFormat="1" ht="15.75" customHeight="1">
      <c r="A232" s="179">
        <v>41913</v>
      </c>
      <c r="B232" s="180">
        <v>135.95859528129029</v>
      </c>
      <c r="C232" s="181">
        <v>-3.198461984280865E-4</v>
      </c>
      <c r="D232" s="181">
        <v>-1.0841351357195883E-3</v>
      </c>
      <c r="E232" s="180">
        <v>139.66900705976141</v>
      </c>
      <c r="F232" s="181">
        <v>1.5008159195755287E-3</v>
      </c>
      <c r="G232" s="181">
        <v>-1.4896758793930487E-2</v>
      </c>
      <c r="H232" s="180">
        <v>120.54997738507242</v>
      </c>
      <c r="I232" s="181">
        <v>1.5442450097684901E-3</v>
      </c>
      <c r="J232" s="181">
        <v>2.7073768237382279E-3</v>
      </c>
      <c r="K232" s="180">
        <v>122.50597298427834</v>
      </c>
      <c r="L232" s="181">
        <v>3.3127547971407954E-3</v>
      </c>
      <c r="M232" s="181">
        <v>-1.6490346951086754E-2</v>
      </c>
      <c r="N232" s="180">
        <v>140.6876594541622</v>
      </c>
      <c r="O232" s="181">
        <v>7.9466996590385811E-4</v>
      </c>
      <c r="P232" s="181">
        <v>-3.6577220553870582E-3</v>
      </c>
      <c r="Q232" s="180">
        <v>115.7967955482379</v>
      </c>
      <c r="R232" s="181">
        <v>4.6482974810294645E-3</v>
      </c>
      <c r="S232" s="181">
        <v>2.2046945704853327E-2</v>
      </c>
      <c r="T232" s="180">
        <v>109.9895021084147</v>
      </c>
      <c r="U232" s="181">
        <v>-2.5573458905104561E-3</v>
      </c>
      <c r="V232" s="181">
        <v>9.4764121971333548E-3</v>
      </c>
      <c r="W232" s="180">
        <v>109.88400478330556</v>
      </c>
      <c r="X232" s="181">
        <v>4.639085927919817E-4</v>
      </c>
      <c r="Y232" s="181">
        <v>1.5086231604466427E-4</v>
      </c>
      <c r="Z232" s="180" t="s">
        <v>8</v>
      </c>
      <c r="AA232" s="181" t="s">
        <v>8</v>
      </c>
      <c r="AB232" s="181" t="s">
        <v>8</v>
      </c>
      <c r="AC232" s="180" t="s">
        <v>8</v>
      </c>
      <c r="AD232" s="181" t="s">
        <v>8</v>
      </c>
      <c r="AE232" s="181" t="s">
        <v>8</v>
      </c>
      <c r="AF232" s="180" t="s">
        <v>8</v>
      </c>
      <c r="AG232" s="181" t="s">
        <v>8</v>
      </c>
      <c r="AH232" s="181" t="s">
        <v>8</v>
      </c>
      <c r="AI232" s="180" t="s">
        <v>8</v>
      </c>
      <c r="AJ232" s="181" t="s">
        <v>8</v>
      </c>
      <c r="AK232" s="185" t="s">
        <v>8</v>
      </c>
    </row>
    <row r="233" spans="1:37" s="184" customFormat="1" ht="15.75" customHeight="1">
      <c r="A233" s="179">
        <v>41944</v>
      </c>
      <c r="B233" s="180">
        <v>136.00930640170807</v>
      </c>
      <c r="C233" s="181">
        <v>3.7298944074032559E-4</v>
      </c>
      <c r="D233" s="181">
        <v>-5.5675607757186274E-3</v>
      </c>
      <c r="E233" s="180">
        <v>140.38546575272926</v>
      </c>
      <c r="F233" s="181">
        <v>5.1296898864705608E-3</v>
      </c>
      <c r="G233" s="181">
        <v>-8.6194666721809421E-3</v>
      </c>
      <c r="H233" s="180">
        <v>120.98285425405794</v>
      </c>
      <c r="I233" s="181">
        <v>3.5908498564274582E-3</v>
      </c>
      <c r="J233" s="181">
        <v>2.7004698589163656E-3</v>
      </c>
      <c r="K233" s="180">
        <v>122.64218991728214</v>
      </c>
      <c r="L233" s="181">
        <v>1.1119207470910864E-3</v>
      </c>
      <c r="M233" s="181">
        <v>-1.483660210445803E-2</v>
      </c>
      <c r="N233" s="180">
        <v>141.40860966110091</v>
      </c>
      <c r="O233" s="181">
        <v>5.1244736726436743E-3</v>
      </c>
      <c r="P233" s="181">
        <v>3.8849168995880312E-4</v>
      </c>
      <c r="Q233" s="180">
        <v>116.26887305889557</v>
      </c>
      <c r="R233" s="181">
        <v>4.0767752546400351E-3</v>
      </c>
      <c r="S233" s="181">
        <v>1.8136031537693498E-2</v>
      </c>
      <c r="T233" s="180">
        <v>110.00711276475742</v>
      </c>
      <c r="U233" s="181">
        <v>1.601121562071528E-4</v>
      </c>
      <c r="V233" s="181">
        <v>3.2049511971426359E-2</v>
      </c>
      <c r="W233" s="180">
        <v>110.21532435908307</v>
      </c>
      <c r="X233" s="181">
        <v>3.0151756520969044E-3</v>
      </c>
      <c r="Y233" s="181">
        <v>3.2525859697907222E-3</v>
      </c>
      <c r="Z233" s="180" t="s">
        <v>8</v>
      </c>
      <c r="AA233" s="181" t="s">
        <v>8</v>
      </c>
      <c r="AB233" s="181" t="s">
        <v>8</v>
      </c>
      <c r="AC233" s="180" t="s">
        <v>8</v>
      </c>
      <c r="AD233" s="181" t="s">
        <v>8</v>
      </c>
      <c r="AE233" s="181" t="s">
        <v>8</v>
      </c>
      <c r="AF233" s="180" t="s">
        <v>8</v>
      </c>
      <c r="AG233" s="181" t="s">
        <v>8</v>
      </c>
      <c r="AH233" s="181" t="s">
        <v>8</v>
      </c>
      <c r="AI233" s="180" t="s">
        <v>8</v>
      </c>
      <c r="AJ233" s="181" t="s">
        <v>8</v>
      </c>
      <c r="AK233" s="185" t="s">
        <v>8</v>
      </c>
    </row>
    <row r="234" spans="1:37" s="184" customFormat="1" ht="15.75" customHeight="1">
      <c r="A234" s="179">
        <v>41974</v>
      </c>
      <c r="B234" s="180">
        <v>135.73199670915784</v>
      </c>
      <c r="C234" s="181">
        <v>-2.038902336073969E-3</v>
      </c>
      <c r="D234" s="181">
        <v>-6.27878433511464E-3</v>
      </c>
      <c r="E234" s="180">
        <v>139.1592063999783</v>
      </c>
      <c r="F234" s="181">
        <v>-8.734945217981788E-3</v>
      </c>
      <c r="G234" s="181">
        <v>-1.342314674402445E-2</v>
      </c>
      <c r="H234" s="180">
        <v>121.82485928141702</v>
      </c>
      <c r="I234" s="181">
        <v>6.9597054272740053E-3</v>
      </c>
      <c r="J234" s="181">
        <v>1.1542453846025591E-2</v>
      </c>
      <c r="K234" s="180">
        <v>123.62913365649301</v>
      </c>
      <c r="L234" s="181">
        <v>8.0473427608926326E-3</v>
      </c>
      <c r="M234" s="181">
        <v>-4.8261587967443065E-3</v>
      </c>
      <c r="N234" s="180">
        <v>141.14638002887787</v>
      </c>
      <c r="O234" s="181">
        <v>-1.8544106532939187E-3</v>
      </c>
      <c r="P234" s="181">
        <v>-1.2604901770638666E-3</v>
      </c>
      <c r="Q234" s="180">
        <v>117.07481083122939</v>
      </c>
      <c r="R234" s="181">
        <v>6.9316726921880845E-3</v>
      </c>
      <c r="S234" s="181">
        <v>2.0986281844934229E-2</v>
      </c>
      <c r="T234" s="180">
        <v>107.62651636532023</v>
      </c>
      <c r="U234" s="181">
        <v>-2.1640386149647663E-2</v>
      </c>
      <c r="V234" s="181">
        <v>3.2686162367375982E-2</v>
      </c>
      <c r="W234" s="180">
        <v>109.2781454346644</v>
      </c>
      <c r="X234" s="181">
        <v>-8.5031635107775897E-3</v>
      </c>
      <c r="Y234" s="181">
        <v>-1.8442698970742022E-3</v>
      </c>
      <c r="Z234" s="180" t="s">
        <v>8</v>
      </c>
      <c r="AA234" s="181" t="s">
        <v>8</v>
      </c>
      <c r="AB234" s="181" t="s">
        <v>8</v>
      </c>
      <c r="AC234" s="180" t="s">
        <v>8</v>
      </c>
      <c r="AD234" s="181" t="s">
        <v>8</v>
      </c>
      <c r="AE234" s="181" t="s">
        <v>8</v>
      </c>
      <c r="AF234" s="180" t="s">
        <v>8</v>
      </c>
      <c r="AG234" s="181" t="s">
        <v>8</v>
      </c>
      <c r="AH234" s="181" t="s">
        <v>8</v>
      </c>
      <c r="AI234" s="180" t="s">
        <v>8</v>
      </c>
      <c r="AJ234" s="181" t="s">
        <v>8</v>
      </c>
      <c r="AK234" s="185" t="s">
        <v>8</v>
      </c>
    </row>
    <row r="235" spans="1:37" s="184" customFormat="1" ht="15.75" customHeight="1">
      <c r="A235" s="179">
        <v>42005</v>
      </c>
      <c r="B235" s="180">
        <v>135.94417874981022</v>
      </c>
      <c r="C235" s="181">
        <v>1.5632426089409667E-3</v>
      </c>
      <c r="D235" s="181">
        <v>-4.6288897425377229E-3</v>
      </c>
      <c r="E235" s="180">
        <v>139.6627525516065</v>
      </c>
      <c r="F235" s="181">
        <v>3.6184896756373021E-3</v>
      </c>
      <c r="G235" s="181">
        <v>-1.0455391171216299E-2</v>
      </c>
      <c r="H235" s="180">
        <v>123.74663568649972</v>
      </c>
      <c r="I235" s="181">
        <v>1.5774911757897997E-2</v>
      </c>
      <c r="J235" s="181">
        <v>2.1168287423398047E-2</v>
      </c>
      <c r="K235" s="180">
        <v>125.60742327177813</v>
      </c>
      <c r="L235" s="181">
        <v>1.6001807638496103E-2</v>
      </c>
      <c r="M235" s="181">
        <v>1.2839144612259101E-2</v>
      </c>
      <c r="N235" s="180">
        <v>139.57151136564019</v>
      </c>
      <c r="O235" s="181">
        <v>-1.115769786597064E-2</v>
      </c>
      <c r="P235" s="181">
        <v>-1.0763773789869258E-2</v>
      </c>
      <c r="Q235" s="180">
        <v>117.82411360938248</v>
      </c>
      <c r="R235" s="181">
        <v>6.4002049017467489E-3</v>
      </c>
      <c r="S235" s="181">
        <v>1.9293522200251934E-2</v>
      </c>
      <c r="T235" s="180">
        <v>108.65536371875778</v>
      </c>
      <c r="U235" s="181">
        <v>9.5594226049769797E-3</v>
      </c>
      <c r="V235" s="181">
        <v>4.0304245112356751E-2</v>
      </c>
      <c r="W235" s="180">
        <v>110.48190772530793</v>
      </c>
      <c r="X235" s="181">
        <v>1.1015581256942499E-2</v>
      </c>
      <c r="Y235" s="181">
        <v>1.2642173809755963E-3</v>
      </c>
      <c r="Z235" s="180" t="s">
        <v>8</v>
      </c>
      <c r="AA235" s="181" t="s">
        <v>8</v>
      </c>
      <c r="AB235" s="181" t="s">
        <v>8</v>
      </c>
      <c r="AC235" s="180" t="s">
        <v>8</v>
      </c>
      <c r="AD235" s="181" t="s">
        <v>8</v>
      </c>
      <c r="AE235" s="181" t="s">
        <v>8</v>
      </c>
      <c r="AF235" s="180" t="s">
        <v>8</v>
      </c>
      <c r="AG235" s="181" t="s">
        <v>8</v>
      </c>
      <c r="AH235" s="181" t="s">
        <v>8</v>
      </c>
      <c r="AI235" s="180" t="s">
        <v>8</v>
      </c>
      <c r="AJ235" s="181" t="s">
        <v>8</v>
      </c>
      <c r="AK235" s="185" t="s">
        <v>8</v>
      </c>
    </row>
    <row r="236" spans="1:37" s="184" customFormat="1" ht="15.75" customHeight="1">
      <c r="A236" s="179">
        <v>42036</v>
      </c>
      <c r="B236" s="180">
        <v>135.67009479678674</v>
      </c>
      <c r="C236" s="181">
        <v>-2.0161507138007394E-3</v>
      </c>
      <c r="D236" s="181">
        <v>-5.1919845170409484E-3</v>
      </c>
      <c r="E236" s="180">
        <v>139.80207589354066</v>
      </c>
      <c r="F236" s="181">
        <v>9.9756978427508521E-4</v>
      </c>
      <c r="G236" s="181">
        <v>-8.5982546023537498E-3</v>
      </c>
      <c r="H236" s="180">
        <v>123.41279070905847</v>
      </c>
      <c r="I236" s="181">
        <v>-2.6978105351244033E-3</v>
      </c>
      <c r="J236" s="181">
        <v>1.4048918282635325E-2</v>
      </c>
      <c r="K236" s="180">
        <v>126.74780261387311</v>
      </c>
      <c r="L236" s="181">
        <v>9.0789167741107384E-3</v>
      </c>
      <c r="M236" s="181">
        <v>2.1400438836253866E-2</v>
      </c>
      <c r="N236" s="180">
        <v>139.13174742002948</v>
      </c>
      <c r="O236" s="181">
        <v>-3.1508145273189039E-3</v>
      </c>
      <c r="P236" s="181">
        <v>-1.0241765031550054E-2</v>
      </c>
      <c r="Q236" s="180">
        <v>118.26740547742003</v>
      </c>
      <c r="R236" s="181">
        <v>3.7623187177725794E-3</v>
      </c>
      <c r="S236" s="181">
        <v>2.3269964411331445E-2</v>
      </c>
      <c r="T236" s="180">
        <v>109.82668259848629</v>
      </c>
      <c r="U236" s="181">
        <v>1.0780129389289263E-2</v>
      </c>
      <c r="V236" s="181">
        <v>5.3747983944470334E-2</v>
      </c>
      <c r="W236" s="180">
        <v>109.88670712774605</v>
      </c>
      <c r="X236" s="181">
        <v>-5.3873128172417586E-3</v>
      </c>
      <c r="Y236" s="181">
        <v>-5.7382675875479183E-3</v>
      </c>
      <c r="Z236" s="180">
        <v>100</v>
      </c>
      <c r="AA236" s="181"/>
      <c r="AB236" s="181"/>
      <c r="AC236" s="180" t="s">
        <v>8</v>
      </c>
      <c r="AD236" s="181" t="s">
        <v>8</v>
      </c>
      <c r="AE236" s="181" t="s">
        <v>8</v>
      </c>
      <c r="AF236" s="180" t="s">
        <v>8</v>
      </c>
      <c r="AG236" s="181" t="s">
        <v>8</v>
      </c>
      <c r="AH236" s="181" t="s">
        <v>8</v>
      </c>
      <c r="AI236" s="180" t="s">
        <v>8</v>
      </c>
      <c r="AJ236" s="181" t="s">
        <v>8</v>
      </c>
      <c r="AK236" s="185" t="s">
        <v>8</v>
      </c>
    </row>
    <row r="237" spans="1:37" s="184" customFormat="1" ht="15.75" customHeight="1">
      <c r="A237" s="179">
        <v>42064</v>
      </c>
      <c r="B237" s="180">
        <v>135.52267770209937</v>
      </c>
      <c r="C237" s="181">
        <v>-1.0865850348832718E-3</v>
      </c>
      <c r="D237" s="181">
        <v>-6.5089402746235647E-3</v>
      </c>
      <c r="E237" s="180">
        <v>139.91169489555529</v>
      </c>
      <c r="F237" s="181">
        <v>7.8410138986844129E-4</v>
      </c>
      <c r="G237" s="181">
        <v>-5.1429985753965735E-3</v>
      </c>
      <c r="H237" s="180">
        <v>123.11230506404458</v>
      </c>
      <c r="I237" s="181">
        <v>-2.4348014763094783E-3</v>
      </c>
      <c r="J237" s="181">
        <v>1.9305664542412115E-2</v>
      </c>
      <c r="K237" s="180">
        <v>125.8072488542843</v>
      </c>
      <c r="L237" s="181">
        <v>-7.4206711295353124E-3</v>
      </c>
      <c r="M237" s="181">
        <v>1.3915778709351345E-2</v>
      </c>
      <c r="N237" s="180">
        <v>138.88250554622985</v>
      </c>
      <c r="O237" s="181">
        <v>-1.7914090667400418E-3</v>
      </c>
      <c r="P237" s="181">
        <v>-4.7551183019446386E-3</v>
      </c>
      <c r="Q237" s="180">
        <v>118.50947631041348</v>
      </c>
      <c r="R237" s="181">
        <v>2.046809364053135E-3</v>
      </c>
      <c r="S237" s="181">
        <v>3.3092354503919674E-2</v>
      </c>
      <c r="T237" s="180">
        <v>109.34145461485933</v>
      </c>
      <c r="U237" s="181">
        <v>-4.4181247411514812E-3</v>
      </c>
      <c r="V237" s="181">
        <v>3.5270279582326092E-2</v>
      </c>
      <c r="W237" s="180">
        <v>110.21978944155275</v>
      </c>
      <c r="X237" s="181">
        <v>3.0311429153982326E-3</v>
      </c>
      <c r="Y237" s="181">
        <v>-5.1307488990389727E-3</v>
      </c>
      <c r="Z237" s="180">
        <v>101.7311967438317</v>
      </c>
      <c r="AA237" s="181">
        <v>1.7311967438317078E-2</v>
      </c>
      <c r="AB237" s="181" t="s">
        <v>8</v>
      </c>
      <c r="AC237" s="180" t="s">
        <v>8</v>
      </c>
      <c r="AD237" s="181" t="s">
        <v>8</v>
      </c>
      <c r="AE237" s="181" t="s">
        <v>8</v>
      </c>
      <c r="AF237" s="180" t="s">
        <v>8</v>
      </c>
      <c r="AG237" s="181" t="s">
        <v>8</v>
      </c>
      <c r="AH237" s="181" t="s">
        <v>8</v>
      </c>
      <c r="AI237" s="180" t="s">
        <v>8</v>
      </c>
      <c r="AJ237" s="181" t="s">
        <v>8</v>
      </c>
      <c r="AK237" s="185" t="s">
        <v>8</v>
      </c>
    </row>
    <row r="238" spans="1:37" s="184" customFormat="1" ht="15.75" customHeight="1">
      <c r="A238" s="179">
        <v>42095</v>
      </c>
      <c r="B238" s="180">
        <v>135.20438034168541</v>
      </c>
      <c r="C238" s="181">
        <v>-2.3486649305561168E-3</v>
      </c>
      <c r="D238" s="181">
        <v>-9.174074807670296E-3</v>
      </c>
      <c r="E238" s="180">
        <v>140.675027492726</v>
      </c>
      <c r="F238" s="181">
        <v>5.4558169546909596E-3</v>
      </c>
      <c r="G238" s="181">
        <v>3.4369304192476413E-3</v>
      </c>
      <c r="H238" s="180">
        <v>122.50222337088324</v>
      </c>
      <c r="I238" s="181">
        <v>-4.9554891596251104E-3</v>
      </c>
      <c r="J238" s="181">
        <v>2.3705387971697522E-2</v>
      </c>
      <c r="K238" s="180">
        <v>124.91444978484348</v>
      </c>
      <c r="L238" s="181">
        <v>-7.0965630166103773E-3</v>
      </c>
      <c r="M238" s="181">
        <v>1.0316381934222907E-2</v>
      </c>
      <c r="N238" s="180">
        <v>138.67212974036593</v>
      </c>
      <c r="O238" s="181">
        <v>-1.514775421400285E-3</v>
      </c>
      <c r="P238" s="181">
        <v>-5.3913260087019577E-3</v>
      </c>
      <c r="Q238" s="180">
        <v>118.43748893599188</v>
      </c>
      <c r="R238" s="181">
        <v>-6.0743981547131567E-4</v>
      </c>
      <c r="S238" s="181">
        <v>3.710261570548945E-2</v>
      </c>
      <c r="T238" s="180">
        <v>110.91793242648031</v>
      </c>
      <c r="U238" s="181">
        <v>1.4417933410287121E-2</v>
      </c>
      <c r="V238" s="181">
        <v>5.0298984740468899E-2</v>
      </c>
      <c r="W238" s="180">
        <v>110.31226507255352</v>
      </c>
      <c r="X238" s="181">
        <v>8.3901113828392052E-4</v>
      </c>
      <c r="Y238" s="181">
        <v>-5.5565543759694691E-4</v>
      </c>
      <c r="Z238" s="180">
        <v>103.8735204832294</v>
      </c>
      <c r="AA238" s="181">
        <v>2.1058670378097045E-2</v>
      </c>
      <c r="AB238" s="181" t="s">
        <v>8</v>
      </c>
      <c r="AC238" s="180">
        <v>100</v>
      </c>
      <c r="AD238" s="181"/>
      <c r="AE238" s="181"/>
      <c r="AF238" s="180" t="s">
        <v>8</v>
      </c>
      <c r="AG238" s="181" t="s">
        <v>8</v>
      </c>
      <c r="AH238" s="181" t="s">
        <v>8</v>
      </c>
      <c r="AI238" s="180" t="s">
        <v>8</v>
      </c>
      <c r="AJ238" s="181" t="s">
        <v>8</v>
      </c>
      <c r="AK238" s="185" t="s">
        <v>8</v>
      </c>
    </row>
    <row r="239" spans="1:37" s="184" customFormat="1" ht="15.75" customHeight="1">
      <c r="A239" s="179">
        <v>42125</v>
      </c>
      <c r="B239" s="180">
        <v>135.41955737464258</v>
      </c>
      <c r="C239" s="181">
        <v>1.5914945389592504E-3</v>
      </c>
      <c r="D239" s="181">
        <v>-5.4030055078069239E-3</v>
      </c>
      <c r="E239" s="180">
        <v>141.12436186398728</v>
      </c>
      <c r="F239" s="181">
        <v>3.1941303248333329E-3</v>
      </c>
      <c r="G239" s="181">
        <v>1.238618013142001E-2</v>
      </c>
      <c r="H239" s="180">
        <v>123.35267403625002</v>
      </c>
      <c r="I239" s="181">
        <v>6.9423284081299563E-3</v>
      </c>
      <c r="J239" s="181">
        <v>3.5316546809701421E-2</v>
      </c>
      <c r="K239" s="180">
        <v>124.02359808011322</v>
      </c>
      <c r="L239" s="181">
        <v>-7.1316945818894629E-3</v>
      </c>
      <c r="M239" s="181">
        <v>1.1263336405700208E-2</v>
      </c>
      <c r="N239" s="180">
        <v>139.28866007519719</v>
      </c>
      <c r="O239" s="181">
        <v>4.4459570642319804E-3</v>
      </c>
      <c r="P239" s="181">
        <v>8.3618534213458773E-4</v>
      </c>
      <c r="Q239" s="180">
        <v>118.97072916836557</v>
      </c>
      <c r="R239" s="181">
        <v>4.5022926200494083E-3</v>
      </c>
      <c r="S239" s="181">
        <v>4.1956084819028794E-2</v>
      </c>
      <c r="T239" s="180">
        <v>111.89103349953209</v>
      </c>
      <c r="U239" s="181">
        <v>8.7731627498265994E-3</v>
      </c>
      <c r="V239" s="181">
        <v>4.3037286972060107E-2</v>
      </c>
      <c r="W239" s="180">
        <v>110.32408901390021</v>
      </c>
      <c r="X239" s="181">
        <v>1.0718609883419549E-4</v>
      </c>
      <c r="Y239" s="181">
        <v>-2.5266204768035205E-3</v>
      </c>
      <c r="Z239" s="180">
        <v>105.07877992032206</v>
      </c>
      <c r="AA239" s="181">
        <v>1.1603144203505182E-2</v>
      </c>
      <c r="AB239" s="181" t="s">
        <v>8</v>
      </c>
      <c r="AC239" s="180">
        <v>99.843462178172132</v>
      </c>
      <c r="AD239" s="181">
        <v>-1.5653782182786079E-3</v>
      </c>
      <c r="AE239" s="181" t="s">
        <v>8</v>
      </c>
      <c r="AF239" s="180" t="s">
        <v>8</v>
      </c>
      <c r="AG239" s="181" t="s">
        <v>8</v>
      </c>
      <c r="AH239" s="181" t="s">
        <v>8</v>
      </c>
      <c r="AI239" s="180" t="s">
        <v>8</v>
      </c>
      <c r="AJ239" s="181" t="s">
        <v>8</v>
      </c>
      <c r="AK239" s="185" t="s">
        <v>8</v>
      </c>
    </row>
    <row r="240" spans="1:37" s="184" customFormat="1" ht="15.75" customHeight="1">
      <c r="A240" s="179">
        <v>42156</v>
      </c>
      <c r="B240" s="180">
        <v>135.48111242950083</v>
      </c>
      <c r="C240" s="181">
        <v>4.5455070191942505E-4</v>
      </c>
      <c r="D240" s="181">
        <v>-6.3351000584386252E-3</v>
      </c>
      <c r="E240" s="180">
        <v>141.25570873615837</v>
      </c>
      <c r="F240" s="181">
        <v>9.3071720882373029E-4</v>
      </c>
      <c r="G240" s="181">
        <v>5.9507426587037671E-3</v>
      </c>
      <c r="H240" s="180">
        <v>123.84085434642402</v>
      </c>
      <c r="I240" s="181">
        <v>3.9575981144157786E-3</v>
      </c>
      <c r="J240" s="181">
        <v>3.8061083345483082E-2</v>
      </c>
      <c r="K240" s="180">
        <v>123.5415821437862</v>
      </c>
      <c r="L240" s="181">
        <v>-3.886485667152322E-3</v>
      </c>
      <c r="M240" s="181">
        <v>9.9836496289711363E-3</v>
      </c>
      <c r="N240" s="180">
        <v>140.36953853499639</v>
      </c>
      <c r="O240" s="181">
        <v>7.75998892670581E-3</v>
      </c>
      <c r="P240" s="181">
        <v>8.6374392274743972E-3</v>
      </c>
      <c r="Q240" s="180">
        <v>119.17918189873143</v>
      </c>
      <c r="R240" s="181">
        <v>1.7521345949797552E-3</v>
      </c>
      <c r="S240" s="181">
        <v>4.3123182827406126E-2</v>
      </c>
      <c r="T240" s="180">
        <v>113.82404311018009</v>
      </c>
      <c r="U240" s="181">
        <v>1.7275822290586652E-2</v>
      </c>
      <c r="V240" s="181">
        <v>4.5313847803475582E-2</v>
      </c>
      <c r="W240" s="180">
        <v>110.6254466828815</v>
      </c>
      <c r="X240" s="181">
        <v>2.7315672549385848E-3</v>
      </c>
      <c r="Y240" s="181">
        <v>2.0928951327079393E-3</v>
      </c>
      <c r="Z240" s="180">
        <v>105.65598777277985</v>
      </c>
      <c r="AA240" s="181">
        <v>5.4930962549762843E-3</v>
      </c>
      <c r="AB240" s="181" t="s">
        <v>8</v>
      </c>
      <c r="AC240" s="180">
        <v>100.35150362467344</v>
      </c>
      <c r="AD240" s="181">
        <v>5.0883797037677538E-3</v>
      </c>
      <c r="AE240" s="181" t="s">
        <v>8</v>
      </c>
      <c r="AF240" s="180" t="s">
        <v>8</v>
      </c>
      <c r="AG240" s="181" t="s">
        <v>8</v>
      </c>
      <c r="AH240" s="181" t="s">
        <v>8</v>
      </c>
      <c r="AI240" s="180" t="s">
        <v>8</v>
      </c>
      <c r="AJ240" s="181" t="s">
        <v>8</v>
      </c>
      <c r="AK240" s="185" t="s">
        <v>8</v>
      </c>
    </row>
    <row r="241" spans="1:37" s="184" customFormat="1" ht="15.75" customHeight="1">
      <c r="A241" s="179">
        <v>42186</v>
      </c>
      <c r="B241" s="180">
        <v>135.74324823094616</v>
      </c>
      <c r="C241" s="181">
        <v>1.9348512626195902E-3</v>
      </c>
      <c r="D241" s="181">
        <v>-3.1936088164312704E-3</v>
      </c>
      <c r="E241" s="180">
        <v>142.47119507354336</v>
      </c>
      <c r="F241" s="181">
        <v>8.6048652352544459E-3</v>
      </c>
      <c r="G241" s="181">
        <v>2.212344365854646E-2</v>
      </c>
      <c r="H241" s="180">
        <v>124.06941830120263</v>
      </c>
      <c r="I241" s="181">
        <v>1.8456264371307584E-3</v>
      </c>
      <c r="J241" s="181">
        <v>3.7051473099915633E-2</v>
      </c>
      <c r="K241" s="180">
        <v>123.74491321670395</v>
      </c>
      <c r="L241" s="181">
        <v>1.6458512946767344E-3</v>
      </c>
      <c r="M241" s="181">
        <v>1.2827613147310402E-2</v>
      </c>
      <c r="N241" s="180">
        <v>140.99188678346164</v>
      </c>
      <c r="O241" s="181">
        <v>4.4336417641643597E-3</v>
      </c>
      <c r="P241" s="181">
        <v>6.2946860498545032E-3</v>
      </c>
      <c r="Q241" s="180">
        <v>119.58216307066068</v>
      </c>
      <c r="R241" s="181">
        <v>3.3813050694681789E-3</v>
      </c>
      <c r="S241" s="181">
        <v>4.4459239639476511E-2</v>
      </c>
      <c r="T241" s="180">
        <v>114.43288315094836</v>
      </c>
      <c r="U241" s="181">
        <v>5.3489581298646269E-3</v>
      </c>
      <c r="V241" s="181">
        <v>4.2323429481004426E-2</v>
      </c>
      <c r="W241" s="180">
        <v>109.78191537712512</v>
      </c>
      <c r="X241" s="181">
        <v>-7.6251109581907169E-3</v>
      </c>
      <c r="Y241" s="181">
        <v>-2.3058214870903537E-3</v>
      </c>
      <c r="Z241" s="180">
        <v>106.55430794219696</v>
      </c>
      <c r="AA241" s="181">
        <v>8.5023119688114688E-3</v>
      </c>
      <c r="AB241" s="181" t="s">
        <v>8</v>
      </c>
      <c r="AC241" s="180">
        <v>101.2150147895189</v>
      </c>
      <c r="AD241" s="181">
        <v>8.6048652352544459E-3</v>
      </c>
      <c r="AE241" s="181" t="s">
        <v>8</v>
      </c>
      <c r="AF241" s="180" t="s">
        <v>8</v>
      </c>
      <c r="AG241" s="181" t="s">
        <v>8</v>
      </c>
      <c r="AH241" s="181" t="s">
        <v>8</v>
      </c>
      <c r="AI241" s="180" t="s">
        <v>8</v>
      </c>
      <c r="AJ241" s="181" t="s">
        <v>8</v>
      </c>
      <c r="AK241" s="185" t="s">
        <v>8</v>
      </c>
    </row>
    <row r="242" spans="1:37" s="184" customFormat="1" ht="15.75" customHeight="1">
      <c r="A242" s="179">
        <v>42217</v>
      </c>
      <c r="B242" s="180">
        <v>135.8853698379115</v>
      </c>
      <c r="C242" s="181">
        <v>1.0469884050772959E-3</v>
      </c>
      <c r="D242" s="181">
        <v>-5.0011644775505015E-4</v>
      </c>
      <c r="E242" s="180">
        <v>142.65244461421338</v>
      </c>
      <c r="F242" s="181">
        <v>1.2721837602084252E-3</v>
      </c>
      <c r="G242" s="181">
        <v>2.4808169348264464E-2</v>
      </c>
      <c r="H242" s="180">
        <v>124.47974723348311</v>
      </c>
      <c r="I242" s="181">
        <v>3.3072528097482399E-3</v>
      </c>
      <c r="J242" s="181">
        <v>3.916883151384698E-2</v>
      </c>
      <c r="K242" s="180">
        <v>123.33334708967701</v>
      </c>
      <c r="L242" s="181">
        <v>-3.3259235982186232E-3</v>
      </c>
      <c r="M242" s="181">
        <v>9.5366952257598392E-3</v>
      </c>
      <c r="N242" s="180">
        <v>140.537636737979</v>
      </c>
      <c r="O242" s="181">
        <v>-3.2218169133397057E-3</v>
      </c>
      <c r="P242" s="181">
        <v>-2.4899589781377518E-3</v>
      </c>
      <c r="Q242" s="180">
        <v>119.6934412376503</v>
      </c>
      <c r="R242" s="181">
        <v>9.3055823822046912E-4</v>
      </c>
      <c r="S242" s="181">
        <v>4.8829463440833054E-2</v>
      </c>
      <c r="T242" s="180">
        <v>113.81697055454505</v>
      </c>
      <c r="U242" s="181">
        <v>-5.3823042769171447E-3</v>
      </c>
      <c r="V242" s="181">
        <v>3.2709258878670155E-2</v>
      </c>
      <c r="W242" s="180">
        <v>109.88326407517768</v>
      </c>
      <c r="X242" s="181">
        <v>9.2318208973139358E-4</v>
      </c>
      <c r="Y242" s="181">
        <v>-1.3851841637856355E-3</v>
      </c>
      <c r="Z242" s="180">
        <v>105.95691437065908</v>
      </c>
      <c r="AA242" s="181">
        <v>-5.6064703818633444E-3</v>
      </c>
      <c r="AB242" s="181" t="s">
        <v>8</v>
      </c>
      <c r="AC242" s="180">
        <v>100.92091048361904</v>
      </c>
      <c r="AD242" s="181">
        <v>-2.9057379136036877E-3</v>
      </c>
      <c r="AE242" s="181" t="s">
        <v>8</v>
      </c>
      <c r="AF242" s="180" t="s">
        <v>8</v>
      </c>
      <c r="AG242" s="181" t="s">
        <v>8</v>
      </c>
      <c r="AH242" s="181" t="s">
        <v>8</v>
      </c>
      <c r="AI242" s="180" t="s">
        <v>8</v>
      </c>
      <c r="AJ242" s="181" t="s">
        <v>8</v>
      </c>
      <c r="AK242" s="185" t="s">
        <v>8</v>
      </c>
    </row>
    <row r="243" spans="1:37" s="184" customFormat="1" ht="15.75" customHeight="1">
      <c r="A243" s="179">
        <v>42248</v>
      </c>
      <c r="B243" s="180">
        <v>136.12252552091047</v>
      </c>
      <c r="C243" s="181">
        <v>1.7452628143990755E-3</v>
      </c>
      <c r="D243" s="181">
        <v>8.8550464251868632E-4</v>
      </c>
      <c r="E243" s="180">
        <v>143.38995655000042</v>
      </c>
      <c r="F243" s="181">
        <v>5.1699915678384608E-3</v>
      </c>
      <c r="G243" s="181">
        <v>2.818199615360828E-2</v>
      </c>
      <c r="H243" s="180">
        <v>124.16631578208577</v>
      </c>
      <c r="I243" s="181">
        <v>-2.5179312969638178E-3</v>
      </c>
      <c r="J243" s="181">
        <v>3.1589235378925329E-2</v>
      </c>
      <c r="K243" s="180">
        <v>124.08935978049163</v>
      </c>
      <c r="L243" s="181">
        <v>6.1298319445180381E-3</v>
      </c>
      <c r="M243" s="181">
        <v>1.6280548364414837E-2</v>
      </c>
      <c r="N243" s="180">
        <v>139.69483337525776</v>
      </c>
      <c r="O243" s="181">
        <v>-5.9969939888243617E-3</v>
      </c>
      <c r="P243" s="181">
        <v>-6.2678901180845958E-3</v>
      </c>
      <c r="Q243" s="180">
        <v>119.77456203096749</v>
      </c>
      <c r="R243" s="181">
        <v>6.7773799866038603E-4</v>
      </c>
      <c r="S243" s="181">
        <v>3.9159238010352482E-2</v>
      </c>
      <c r="T243" s="180">
        <v>113.39022871490729</v>
      </c>
      <c r="U243" s="181">
        <v>-3.7493691631270919E-3</v>
      </c>
      <c r="V243" s="181">
        <v>2.8282231589686457E-2</v>
      </c>
      <c r="W243" s="180">
        <v>109.4955988296916</v>
      </c>
      <c r="X243" s="181">
        <v>-3.5279735157926284E-3</v>
      </c>
      <c r="Y243" s="181">
        <v>-3.0724217333517601E-3</v>
      </c>
      <c r="Z243" s="180">
        <v>106.7030621264373</v>
      </c>
      <c r="AA243" s="181">
        <v>7.0419921173623719E-3</v>
      </c>
      <c r="AB243" s="181" t="s">
        <v>8</v>
      </c>
      <c r="AC243" s="180">
        <v>101.55082554812772</v>
      </c>
      <c r="AD243" s="181">
        <v>6.241670447581971E-3</v>
      </c>
      <c r="AE243" s="181" t="s">
        <v>8</v>
      </c>
      <c r="AF243" s="180" t="s">
        <v>8</v>
      </c>
      <c r="AG243" s="181" t="s">
        <v>8</v>
      </c>
      <c r="AH243" s="181" t="s">
        <v>8</v>
      </c>
      <c r="AI243" s="180" t="s">
        <v>8</v>
      </c>
      <c r="AJ243" s="181" t="s">
        <v>8</v>
      </c>
      <c r="AK243" s="185" t="s">
        <v>8</v>
      </c>
    </row>
    <row r="244" spans="1:37" s="184" customFormat="1" ht="15.75" customHeight="1">
      <c r="A244" s="179">
        <v>42278</v>
      </c>
      <c r="B244" s="180">
        <v>136.27237132466311</v>
      </c>
      <c r="C244" s="181">
        <v>1.1008156304712724E-3</v>
      </c>
      <c r="D244" s="181">
        <v>2.307879415226699E-3</v>
      </c>
      <c r="E244" s="180">
        <v>144.5453530941501</v>
      </c>
      <c r="F244" s="181">
        <v>8.057722953188835E-3</v>
      </c>
      <c r="G244" s="181">
        <v>3.4913587037260108E-2</v>
      </c>
      <c r="H244" s="180">
        <v>123.70365977876028</v>
      </c>
      <c r="I244" s="181">
        <v>-3.726099147030051E-3</v>
      </c>
      <c r="J244" s="181">
        <v>2.6160787932909102E-2</v>
      </c>
      <c r="K244" s="180">
        <v>124.78989596783894</v>
      </c>
      <c r="L244" s="181">
        <v>5.6454170493467435E-3</v>
      </c>
      <c r="M244" s="181">
        <v>1.8643360220923277E-2</v>
      </c>
      <c r="N244" s="180">
        <v>139.71193319074291</v>
      </c>
      <c r="O244" s="181">
        <v>1.2240836022334945E-4</v>
      </c>
      <c r="P244" s="181">
        <v>-6.9354076057906999E-3</v>
      </c>
      <c r="Q244" s="180">
        <v>119.74506489298804</v>
      </c>
      <c r="R244" s="181">
        <v>-2.4627214225863891E-4</v>
      </c>
      <c r="S244" s="181">
        <v>3.4096533725800793E-2</v>
      </c>
      <c r="T244" s="180">
        <v>112.65939597353361</v>
      </c>
      <c r="U244" s="181">
        <v>-6.4452885372618196E-3</v>
      </c>
      <c r="V244" s="181">
        <v>2.4274079016079586E-2</v>
      </c>
      <c r="W244" s="180">
        <v>107.29323215585292</v>
      </c>
      <c r="X244" s="181">
        <v>-2.0113746099185512E-2</v>
      </c>
      <c r="Y244" s="181">
        <v>-2.3577340783690226E-2</v>
      </c>
      <c r="Z244" s="180">
        <v>106.38929303634664</v>
      </c>
      <c r="AA244" s="181">
        <v>-2.9405818712013197E-3</v>
      </c>
      <c r="AB244" s="181" t="s">
        <v>8</v>
      </c>
      <c r="AC244" s="180">
        <v>102.31882139437361</v>
      </c>
      <c r="AD244" s="181">
        <v>7.5626745730580898E-3</v>
      </c>
      <c r="AE244" s="181" t="s">
        <v>8</v>
      </c>
      <c r="AF244" s="180" t="s">
        <v>8</v>
      </c>
      <c r="AG244" s="181" t="s">
        <v>8</v>
      </c>
      <c r="AH244" s="181" t="s">
        <v>8</v>
      </c>
      <c r="AI244" s="180" t="s">
        <v>8</v>
      </c>
      <c r="AJ244" s="181" t="s">
        <v>8</v>
      </c>
      <c r="AK244" s="185" t="s">
        <v>8</v>
      </c>
    </row>
    <row r="245" spans="1:37" s="184" customFormat="1" ht="15.75" customHeight="1">
      <c r="A245" s="179">
        <v>42309</v>
      </c>
      <c r="B245" s="180">
        <v>136.29438624594681</v>
      </c>
      <c r="C245" s="181">
        <v>1.6155087835978632E-4</v>
      </c>
      <c r="D245" s="181">
        <v>2.0960318950289381E-3</v>
      </c>
      <c r="E245" s="180">
        <v>146.35102984796271</v>
      </c>
      <c r="F245" s="181">
        <v>1.2492112096031755E-2</v>
      </c>
      <c r="G245" s="181">
        <v>4.249417176662007E-2</v>
      </c>
      <c r="H245" s="180">
        <v>123.54408122135378</v>
      </c>
      <c r="I245" s="181">
        <v>-1.2900067604458654E-3</v>
      </c>
      <c r="J245" s="181">
        <v>2.1170164839369621E-2</v>
      </c>
      <c r="K245" s="180">
        <v>124.54843973396257</v>
      </c>
      <c r="L245" s="181">
        <v>-1.9349021169038183E-3</v>
      </c>
      <c r="M245" s="181">
        <v>1.554318149379208E-2</v>
      </c>
      <c r="N245" s="180">
        <v>139.82674009613146</v>
      </c>
      <c r="O245" s="181">
        <v>8.2174015323242865E-4</v>
      </c>
      <c r="P245" s="181">
        <v>-1.1186515225349747E-2</v>
      </c>
      <c r="Q245" s="180">
        <v>120.38102105202985</v>
      </c>
      <c r="R245" s="181">
        <v>5.3109174863293432E-3</v>
      </c>
      <c r="S245" s="181">
        <v>3.536757418342984E-2</v>
      </c>
      <c r="T245" s="180">
        <v>111.72560208631285</v>
      </c>
      <c r="U245" s="181">
        <v>-8.2886463144194837E-3</v>
      </c>
      <c r="V245" s="181">
        <v>1.5621620078606124E-2</v>
      </c>
      <c r="W245" s="180">
        <v>105.82114447385393</v>
      </c>
      <c r="X245" s="181">
        <v>-1.3720228689360896E-2</v>
      </c>
      <c r="Y245" s="181">
        <v>-3.9869046439611533E-2</v>
      </c>
      <c r="Z245" s="180">
        <v>105.20834327981585</v>
      </c>
      <c r="AA245" s="181">
        <v>-1.1100268860019059E-2</v>
      </c>
      <c r="AB245" s="181" t="s">
        <v>8</v>
      </c>
      <c r="AC245" s="180">
        <v>103.03022263110715</v>
      </c>
      <c r="AD245" s="181">
        <v>6.9527895947075428E-3</v>
      </c>
      <c r="AE245" s="181" t="s">
        <v>8</v>
      </c>
      <c r="AF245" s="180" t="s">
        <v>8</v>
      </c>
      <c r="AG245" s="181" t="s">
        <v>8</v>
      </c>
      <c r="AH245" s="181" t="s">
        <v>8</v>
      </c>
      <c r="AI245" s="180" t="s">
        <v>8</v>
      </c>
      <c r="AJ245" s="181" t="s">
        <v>8</v>
      </c>
      <c r="AK245" s="185" t="s">
        <v>8</v>
      </c>
    </row>
    <row r="246" spans="1:37" s="184" customFormat="1" ht="15.75" customHeight="1">
      <c r="A246" s="179">
        <v>42339</v>
      </c>
      <c r="B246" s="180">
        <v>135.88109719473999</v>
      </c>
      <c r="C246" s="181">
        <v>-3.032326294503518E-3</v>
      </c>
      <c r="D246" s="181">
        <v>1.0984918014700362E-3</v>
      </c>
      <c r="E246" s="180">
        <v>144.02798938347775</v>
      </c>
      <c r="F246" s="181">
        <v>-1.5873072207952713E-2</v>
      </c>
      <c r="G246" s="181">
        <v>3.4987142492788781E-2</v>
      </c>
      <c r="H246" s="180">
        <v>123.66997312660418</v>
      </c>
      <c r="I246" s="181">
        <v>1.0190039377510195E-3</v>
      </c>
      <c r="J246" s="181">
        <v>1.5145626730624251E-2</v>
      </c>
      <c r="K246" s="180">
        <v>123.45264116399612</v>
      </c>
      <c r="L246" s="181">
        <v>-8.7981717981139781E-3</v>
      </c>
      <c r="M246" s="181">
        <v>-1.427596289619526E-3</v>
      </c>
      <c r="N246" s="180">
        <v>140.12992827969475</v>
      </c>
      <c r="O246" s="181">
        <v>2.1683133237237317E-3</v>
      </c>
      <c r="P246" s="181">
        <v>-7.2014014739532062E-3</v>
      </c>
      <c r="Q246" s="180">
        <v>120.5674671842492</v>
      </c>
      <c r="R246" s="181">
        <v>1.548800056603199E-3</v>
      </c>
      <c r="S246" s="181">
        <v>2.9832688417106956E-2</v>
      </c>
      <c r="T246" s="180">
        <v>108.97318135592657</v>
      </c>
      <c r="U246" s="181">
        <v>-2.4635541711020822E-2</v>
      </c>
      <c r="V246" s="181">
        <v>1.2512390404194829E-2</v>
      </c>
      <c r="W246" s="180">
        <v>104.27140494693627</v>
      </c>
      <c r="X246" s="181">
        <v>-1.4644894785659397E-2</v>
      </c>
      <c r="Y246" s="181">
        <v>-4.5816484785803469E-2</v>
      </c>
      <c r="Z246" s="180">
        <v>103.7630442795583</v>
      </c>
      <c r="AA246" s="181">
        <v>-1.3737494149238569E-2</v>
      </c>
      <c r="AB246" s="181" t="s">
        <v>8</v>
      </c>
      <c r="AC246" s="180">
        <v>102.59940497742905</v>
      </c>
      <c r="AD246" s="181">
        <v>-4.1814687251586014E-3</v>
      </c>
      <c r="AE246" s="181" t="s">
        <v>8</v>
      </c>
      <c r="AF246" s="180" t="s">
        <v>8</v>
      </c>
      <c r="AG246" s="181" t="s">
        <v>8</v>
      </c>
      <c r="AH246" s="181" t="s">
        <v>8</v>
      </c>
      <c r="AI246" s="180" t="s">
        <v>8</v>
      </c>
      <c r="AJ246" s="181" t="s">
        <v>8</v>
      </c>
      <c r="AK246" s="185" t="s">
        <v>8</v>
      </c>
    </row>
    <row r="247" spans="1:37" s="184" customFormat="1" ht="15.75" customHeight="1">
      <c r="A247" s="179">
        <v>42370</v>
      </c>
      <c r="B247" s="180">
        <v>136.03571171032434</v>
      </c>
      <c r="C247" s="181">
        <v>1.1378662579000619E-3</v>
      </c>
      <c r="D247" s="181">
        <v>6.7331283587046542E-4</v>
      </c>
      <c r="E247" s="180">
        <v>145.30023722927578</v>
      </c>
      <c r="F247" s="181">
        <v>8.8333375425429135E-3</v>
      </c>
      <c r="G247" s="181">
        <v>4.0364983323568637E-2</v>
      </c>
      <c r="H247" s="180">
        <v>124.78851663071534</v>
      </c>
      <c r="I247" s="181">
        <v>9.0445843548950002E-3</v>
      </c>
      <c r="J247" s="181">
        <v>8.4194688480672131E-3</v>
      </c>
      <c r="K247" s="180">
        <v>124.0631848366628</v>
      </c>
      <c r="L247" s="181">
        <v>4.9455699522508922E-3</v>
      </c>
      <c r="M247" s="181">
        <v>-1.2294165383633815E-2</v>
      </c>
      <c r="N247" s="180">
        <v>139.9408523787732</v>
      </c>
      <c r="O247" s="181">
        <v>-1.3492899285880667E-3</v>
      </c>
      <c r="P247" s="181">
        <v>2.6462492919878677E-3</v>
      </c>
      <c r="Q247" s="180">
        <v>121.00719677366772</v>
      </c>
      <c r="R247" s="181">
        <v>3.6471661857714801E-3</v>
      </c>
      <c r="S247" s="181">
        <v>2.7015549421725238E-2</v>
      </c>
      <c r="T247" s="180">
        <v>110.40576411049739</v>
      </c>
      <c r="U247" s="181">
        <v>1.3146195575329127E-2</v>
      </c>
      <c r="V247" s="181">
        <v>1.6109654708536203E-2</v>
      </c>
      <c r="W247" s="180">
        <v>105.14365286267393</v>
      </c>
      <c r="X247" s="181">
        <v>8.3651689183773751E-3</v>
      </c>
      <c r="Y247" s="181">
        <v>-4.8317909896220756E-2</v>
      </c>
      <c r="Z247" s="180">
        <v>102.73807764781283</v>
      </c>
      <c r="AA247" s="181">
        <v>-9.8779545151354807E-3</v>
      </c>
      <c r="AB247" s="181" t="s">
        <v>8</v>
      </c>
      <c r="AC247" s="180">
        <v>103.43285785014889</v>
      </c>
      <c r="AD247" s="181">
        <v>8.1233694571931463E-3</v>
      </c>
      <c r="AE247" s="181" t="s">
        <v>8</v>
      </c>
      <c r="AF247" s="180" t="s">
        <v>8</v>
      </c>
      <c r="AG247" s="181" t="s">
        <v>8</v>
      </c>
      <c r="AH247" s="181" t="s">
        <v>8</v>
      </c>
      <c r="AI247" s="180" t="s">
        <v>8</v>
      </c>
      <c r="AJ247" s="181" t="s">
        <v>8</v>
      </c>
      <c r="AK247" s="185" t="s">
        <v>8</v>
      </c>
    </row>
    <row r="248" spans="1:37" s="184" customFormat="1" ht="15.75" customHeight="1">
      <c r="A248" s="179">
        <v>42401</v>
      </c>
      <c r="B248" s="180">
        <v>135.92544564246083</v>
      </c>
      <c r="C248" s="181">
        <v>-8.1056706711185372E-4</v>
      </c>
      <c r="D248" s="181">
        <v>1.8821454061528353E-3</v>
      </c>
      <c r="E248" s="180">
        <v>146.71857298583711</v>
      </c>
      <c r="F248" s="181">
        <v>9.7614139082461589E-3</v>
      </c>
      <c r="G248" s="181">
        <v>4.9473493494927467E-2</v>
      </c>
      <c r="H248" s="180">
        <v>125.46415660798131</v>
      </c>
      <c r="I248" s="181">
        <v>5.4142800596419117E-3</v>
      </c>
      <c r="J248" s="181">
        <v>1.6621987778875136E-2</v>
      </c>
      <c r="K248" s="180">
        <v>124.56909701598467</v>
      </c>
      <c r="L248" s="181">
        <v>4.0778590360060615E-3</v>
      </c>
      <c r="M248" s="181">
        <v>-1.7189296800084852E-2</v>
      </c>
      <c r="N248" s="180">
        <v>140.10274083555248</v>
      </c>
      <c r="O248" s="181">
        <v>1.1568348629256264E-3</v>
      </c>
      <c r="P248" s="181">
        <v>6.9789493306056105E-3</v>
      </c>
      <c r="Q248" s="180">
        <v>120.56605917960728</v>
      </c>
      <c r="R248" s="181">
        <v>-3.6455484121787141E-3</v>
      </c>
      <c r="S248" s="181">
        <v>1.943607110435952E-2</v>
      </c>
      <c r="T248" s="180">
        <v>111.12969284523396</v>
      </c>
      <c r="U248" s="181">
        <v>6.5569831481991645E-3</v>
      </c>
      <c r="V248" s="181">
        <v>1.1864241147220289E-2</v>
      </c>
      <c r="W248" s="180">
        <v>105.12309746177478</v>
      </c>
      <c r="X248" s="181">
        <v>-1.9549825728423675E-4</v>
      </c>
      <c r="Y248" s="181">
        <v>-4.3350190304942471E-2</v>
      </c>
      <c r="Z248" s="180">
        <v>102.86237779225628</v>
      </c>
      <c r="AA248" s="181">
        <v>1.2098741507462929E-3</v>
      </c>
      <c r="AB248" s="181">
        <v>2.8623777922562876E-2</v>
      </c>
      <c r="AC248" s="180">
        <v>103.15775974216201</v>
      </c>
      <c r="AD248" s="181">
        <v>-2.659678111045085E-3</v>
      </c>
      <c r="AE248" s="181" t="s">
        <v>8</v>
      </c>
      <c r="AF248" s="180" t="s">
        <v>8</v>
      </c>
      <c r="AG248" s="181" t="s">
        <v>8</v>
      </c>
      <c r="AH248" s="181" t="s">
        <v>8</v>
      </c>
      <c r="AI248" s="180" t="s">
        <v>8</v>
      </c>
      <c r="AJ248" s="181" t="s">
        <v>8</v>
      </c>
      <c r="AK248" s="185" t="s">
        <v>8</v>
      </c>
    </row>
    <row r="249" spans="1:37" s="184" customFormat="1" ht="15.75" customHeight="1">
      <c r="A249" s="179">
        <v>42430</v>
      </c>
      <c r="B249" s="180">
        <v>135.67863670489422</v>
      </c>
      <c r="C249" s="181">
        <v>-1.8157669919716302E-3</v>
      </c>
      <c r="D249" s="181">
        <v>1.1507963496535378E-3</v>
      </c>
      <c r="E249" s="180">
        <v>145.83084135364828</v>
      </c>
      <c r="F249" s="181">
        <v>-6.0505743350879639E-3</v>
      </c>
      <c r="G249" s="181">
        <v>4.2306302289538245E-2</v>
      </c>
      <c r="H249" s="180">
        <v>124.53139554302606</v>
      </c>
      <c r="I249" s="181">
        <v>-7.4344824065545496E-3</v>
      </c>
      <c r="J249" s="181">
        <v>1.152679643390031E-2</v>
      </c>
      <c r="K249" s="180">
        <v>124.55134907039631</v>
      </c>
      <c r="L249" s="181">
        <v>-1.4247470691767906E-4</v>
      </c>
      <c r="M249" s="181">
        <v>-9.9827298929541231E-3</v>
      </c>
      <c r="N249" s="180">
        <v>140.18486733380971</v>
      </c>
      <c r="O249" s="181">
        <v>5.8618766319220585E-4</v>
      </c>
      <c r="P249" s="181">
        <v>9.3774358581566464E-3</v>
      </c>
      <c r="Q249" s="180">
        <v>119.99106137469039</v>
      </c>
      <c r="R249" s="181">
        <v>-4.76915152431346E-3</v>
      </c>
      <c r="S249" s="181">
        <v>1.2501827789671349E-2</v>
      </c>
      <c r="T249" s="180">
        <v>111.60125652270807</v>
      </c>
      <c r="U249" s="181">
        <v>4.243363455803317E-3</v>
      </c>
      <c r="V249" s="181">
        <v>2.0667384715235215E-2</v>
      </c>
      <c r="W249" s="180">
        <v>103.93499812171682</v>
      </c>
      <c r="X249" s="181">
        <v>-1.1301981855034015E-2</v>
      </c>
      <c r="Y249" s="181">
        <v>-5.7020534621585628E-2</v>
      </c>
      <c r="Z249" s="180">
        <v>104.01240696512876</v>
      </c>
      <c r="AA249" s="181">
        <v>1.1180270158591101E-2</v>
      </c>
      <c r="AB249" s="181">
        <v>2.2423900379756168E-2</v>
      </c>
      <c r="AC249" s="180">
        <v>103.85606906471899</v>
      </c>
      <c r="AD249" s="181">
        <v>6.7693339241020212E-3</v>
      </c>
      <c r="AE249" s="181" t="s">
        <v>8</v>
      </c>
      <c r="AF249" s="180" t="s">
        <v>8</v>
      </c>
      <c r="AG249" s="181" t="s">
        <v>8</v>
      </c>
      <c r="AH249" s="181" t="s">
        <v>8</v>
      </c>
      <c r="AI249" s="180" t="s">
        <v>8</v>
      </c>
      <c r="AJ249" s="181" t="s">
        <v>8</v>
      </c>
      <c r="AK249" s="185" t="s">
        <v>8</v>
      </c>
    </row>
    <row r="250" spans="1:37" s="184" customFormat="1" ht="15.75" customHeight="1">
      <c r="A250" s="179">
        <v>42461</v>
      </c>
      <c r="B250" s="180">
        <v>135.30794078618339</v>
      </c>
      <c r="C250" s="181">
        <v>-2.7321612872415147E-3</v>
      </c>
      <c r="D250" s="181">
        <v>7.6595480291596907E-4</v>
      </c>
      <c r="E250" s="180">
        <v>145.55717576423103</v>
      </c>
      <c r="F250" s="181">
        <v>-1.8765961087312854E-3</v>
      </c>
      <c r="G250" s="181">
        <v>3.4705152424850061E-2</v>
      </c>
      <c r="H250" s="180">
        <v>124.06464271534938</v>
      </c>
      <c r="I250" s="181">
        <v>-3.7480735331149352E-3</v>
      </c>
      <c r="J250" s="181">
        <v>1.2754212139773236E-2</v>
      </c>
      <c r="K250" s="180">
        <v>124.2963304180732</v>
      </c>
      <c r="L250" s="181">
        <v>-2.0474981140427406E-3</v>
      </c>
      <c r="M250" s="181">
        <v>-4.9483415876622194E-3</v>
      </c>
      <c r="N250" s="180">
        <v>140.24351682372946</v>
      </c>
      <c r="O250" s="181">
        <v>4.1837247511251175E-4</v>
      </c>
      <c r="P250" s="181">
        <v>1.1331671953878741E-2</v>
      </c>
      <c r="Q250" s="180">
        <v>119.74414146930646</v>
      </c>
      <c r="R250" s="181">
        <v>-2.0578191621532338E-3</v>
      </c>
      <c r="S250" s="181">
        <v>1.1032423475481945E-2</v>
      </c>
      <c r="T250" s="180">
        <v>112.70020083774462</v>
      </c>
      <c r="U250" s="181">
        <v>9.8470604120208943E-3</v>
      </c>
      <c r="V250" s="181">
        <v>1.6068352269779762E-2</v>
      </c>
      <c r="W250" s="180">
        <v>104.11054942709249</v>
      </c>
      <c r="X250" s="181">
        <v>1.6890490070542907E-3</v>
      </c>
      <c r="Y250" s="181">
        <v>-5.621963832745247E-2</v>
      </c>
      <c r="Z250" s="180">
        <v>104.28275209641713</v>
      </c>
      <c r="AA250" s="181">
        <v>2.5991623420366715E-3</v>
      </c>
      <c r="AB250" s="181">
        <v>3.9397106335083976E-3</v>
      </c>
      <c r="AC250" s="180">
        <v>104.46088115603156</v>
      </c>
      <c r="AD250" s="181">
        <v>5.8235604019990219E-3</v>
      </c>
      <c r="AE250" s="181">
        <v>4.4608811560315598E-2</v>
      </c>
      <c r="AF250" s="180" t="s">
        <v>8</v>
      </c>
      <c r="AG250" s="181" t="s">
        <v>8</v>
      </c>
      <c r="AH250" s="181" t="s">
        <v>8</v>
      </c>
      <c r="AI250" s="180" t="s">
        <v>8</v>
      </c>
      <c r="AJ250" s="181" t="s">
        <v>8</v>
      </c>
      <c r="AK250" s="185" t="s">
        <v>8</v>
      </c>
    </row>
    <row r="251" spans="1:37" s="184" customFormat="1" ht="15.75" customHeight="1">
      <c r="A251" s="179">
        <v>42491</v>
      </c>
      <c r="B251" s="180">
        <v>134.91485785241989</v>
      </c>
      <c r="C251" s="181">
        <v>-2.9050987804526483E-3</v>
      </c>
      <c r="D251" s="181">
        <v>-3.7269322984598841E-3</v>
      </c>
      <c r="E251" s="180">
        <v>145.17141936050146</v>
      </c>
      <c r="F251" s="181">
        <v>-2.650205334805378E-3</v>
      </c>
      <c r="G251" s="181">
        <v>2.8677242136369463E-2</v>
      </c>
      <c r="H251" s="180">
        <v>124.20606277160388</v>
      </c>
      <c r="I251" s="181">
        <v>1.1398900860011673E-3</v>
      </c>
      <c r="J251" s="181">
        <v>6.9182832234595537E-3</v>
      </c>
      <c r="K251" s="180">
        <v>123.53693040308956</v>
      </c>
      <c r="L251" s="181">
        <v>-6.109593199005869E-3</v>
      </c>
      <c r="M251" s="181">
        <v>-3.9239925671992193E-3</v>
      </c>
      <c r="N251" s="180">
        <v>140.61086077531922</v>
      </c>
      <c r="O251" s="181">
        <v>2.6193292917166544E-3</v>
      </c>
      <c r="P251" s="181">
        <v>9.492522215435395E-3</v>
      </c>
      <c r="Q251" s="180">
        <v>119.93240012956534</v>
      </c>
      <c r="R251" s="181">
        <v>1.5721742871832457E-3</v>
      </c>
      <c r="S251" s="181">
        <v>8.0832568474791255E-3</v>
      </c>
      <c r="T251" s="180">
        <v>114.29682793269811</v>
      </c>
      <c r="U251" s="181">
        <v>1.4167029722086827E-2</v>
      </c>
      <c r="V251" s="181">
        <v>2.1501226308505705E-2</v>
      </c>
      <c r="W251" s="180">
        <v>104.18565045727856</v>
      </c>
      <c r="X251" s="181">
        <v>7.2135850400680825E-4</v>
      </c>
      <c r="Y251" s="181">
        <v>-5.564005659587401E-2</v>
      </c>
      <c r="Z251" s="180">
        <v>105.00419180315747</v>
      </c>
      <c r="AA251" s="181">
        <v>6.9181115020182406E-3</v>
      </c>
      <c r="AB251" s="181">
        <v>-7.0983044551098384E-4</v>
      </c>
      <c r="AC251" s="180">
        <v>104.15366293638105</v>
      </c>
      <c r="AD251" s="181">
        <v>-2.940988207744728E-3</v>
      </c>
      <c r="AE251" s="181">
        <v>4.3169584309058706E-2</v>
      </c>
      <c r="AF251" s="180" t="s">
        <v>8</v>
      </c>
      <c r="AG251" s="181" t="s">
        <v>8</v>
      </c>
      <c r="AH251" s="181" t="s">
        <v>8</v>
      </c>
      <c r="AI251" s="180" t="s">
        <v>8</v>
      </c>
      <c r="AJ251" s="181" t="s">
        <v>8</v>
      </c>
      <c r="AK251" s="185" t="s">
        <v>8</v>
      </c>
    </row>
    <row r="252" spans="1:37" s="184" customFormat="1" ht="15.75" customHeight="1">
      <c r="A252" s="179">
        <v>42522</v>
      </c>
      <c r="B252" s="180">
        <v>134.6574921339899</v>
      </c>
      <c r="C252" s="181">
        <v>-1.9076158291735279E-3</v>
      </c>
      <c r="D252" s="181">
        <v>-6.0792259580796371E-3</v>
      </c>
      <c r="E252" s="180">
        <v>144.91184887386615</v>
      </c>
      <c r="F252" s="181">
        <v>-1.7880274766118864E-3</v>
      </c>
      <c r="G252" s="181">
        <v>2.5883131877783683E-2</v>
      </c>
      <c r="H252" s="180">
        <v>124.70647085113295</v>
      </c>
      <c r="I252" s="181">
        <v>4.0288538929796978E-3</v>
      </c>
      <c r="J252" s="181">
        <v>6.9897491363191122E-3</v>
      </c>
      <c r="K252" s="180">
        <v>123.12268032455496</v>
      </c>
      <c r="L252" s="181">
        <v>-3.3532489206501469E-3</v>
      </c>
      <c r="M252" s="181">
        <v>-3.3907758987875569E-3</v>
      </c>
      <c r="N252" s="180">
        <v>141.14623605131786</v>
      </c>
      <c r="O252" s="181">
        <v>3.8074959007191891E-3</v>
      </c>
      <c r="P252" s="181">
        <v>5.5332340935765334E-3</v>
      </c>
      <c r="Q252" s="180">
        <v>119.80052641675729</v>
      </c>
      <c r="R252" s="181">
        <v>-1.0995670283057456E-3</v>
      </c>
      <c r="S252" s="181">
        <v>5.2135323311233162E-3</v>
      </c>
      <c r="T252" s="180">
        <v>114.41936229788237</v>
      </c>
      <c r="U252" s="181">
        <v>1.0720714424061529E-3</v>
      </c>
      <c r="V252" s="181">
        <v>5.2301708095716659E-3</v>
      </c>
      <c r="W252" s="180">
        <v>103.76501809594993</v>
      </c>
      <c r="X252" s="181">
        <v>-4.0373348871215638E-3</v>
      </c>
      <c r="Y252" s="181">
        <v>-6.2014923262616595E-2</v>
      </c>
      <c r="Z252" s="180">
        <v>105.36968285566127</v>
      </c>
      <c r="AA252" s="181">
        <v>3.4807282092980652E-3</v>
      </c>
      <c r="AB252" s="181">
        <v>-2.7097841130812039E-3</v>
      </c>
      <c r="AC252" s="180">
        <v>104.70416113705627</v>
      </c>
      <c r="AD252" s="181">
        <v>5.2854425389865286E-3</v>
      </c>
      <c r="AE252" s="181">
        <v>4.337411354255627E-2</v>
      </c>
      <c r="AF252" s="180" t="s">
        <v>8</v>
      </c>
      <c r="AG252" s="181" t="s">
        <v>8</v>
      </c>
      <c r="AH252" s="181" t="s">
        <v>8</v>
      </c>
      <c r="AI252" s="180" t="s">
        <v>8</v>
      </c>
      <c r="AJ252" s="181" t="s">
        <v>8</v>
      </c>
      <c r="AK252" s="185" t="s">
        <v>8</v>
      </c>
    </row>
    <row r="253" spans="1:37" s="184" customFormat="1" ht="15.75" customHeight="1">
      <c r="A253" s="179">
        <v>42552</v>
      </c>
      <c r="B253" s="180">
        <v>134.80351582131831</v>
      </c>
      <c r="C253" s="181">
        <v>1.0844081900998458E-3</v>
      </c>
      <c r="D253" s="181">
        <v>-6.9228666756894208E-3</v>
      </c>
      <c r="E253" s="180">
        <v>144.65387862307773</v>
      </c>
      <c r="F253" s="181">
        <v>-1.780187422858468E-3</v>
      </c>
      <c r="G253" s="181">
        <v>1.5320174358105731E-2</v>
      </c>
      <c r="H253" s="180">
        <v>124.79620126391458</v>
      </c>
      <c r="I253" s="181">
        <v>7.1953293336918462E-4</v>
      </c>
      <c r="J253" s="181">
        <v>5.8578735409844374E-3</v>
      </c>
      <c r="K253" s="180">
        <v>122.6368085793314</v>
      </c>
      <c r="L253" s="181">
        <v>-3.946240805859611E-3</v>
      </c>
      <c r="M253" s="181">
        <v>-8.954748995880113E-3</v>
      </c>
      <c r="N253" s="180">
        <v>141.5379981516196</v>
      </c>
      <c r="O253" s="181">
        <v>2.7755759647695808E-3</v>
      </c>
      <c r="P253" s="181">
        <v>3.8733531454664405E-3</v>
      </c>
      <c r="Q253" s="180">
        <v>120.13755437003167</v>
      </c>
      <c r="R253" s="181">
        <v>2.8132426739255843E-3</v>
      </c>
      <c r="S253" s="181">
        <v>4.6444326236414479E-3</v>
      </c>
      <c r="T253" s="180">
        <v>114.5954457460025</v>
      </c>
      <c r="U253" s="181">
        <v>1.5389305147646536E-3</v>
      </c>
      <c r="V253" s="181">
        <v>1.4205933694748651E-3</v>
      </c>
      <c r="W253" s="180">
        <v>103.54805232318976</v>
      </c>
      <c r="X253" s="181">
        <v>-2.0909336955884238E-3</v>
      </c>
      <c r="Y253" s="181">
        <v>-5.6784061678288755E-2</v>
      </c>
      <c r="Z253" s="180">
        <v>105.08010204391543</v>
      </c>
      <c r="AA253" s="181">
        <v>-2.7482365315886748E-3</v>
      </c>
      <c r="AB253" s="181">
        <v>-1.3835253841461226E-2</v>
      </c>
      <c r="AC253" s="180">
        <v>104.23453371296419</v>
      </c>
      <c r="AD253" s="181">
        <v>-4.4852794673303454E-3</v>
      </c>
      <c r="AE253" s="181">
        <v>2.9832717307056722E-2</v>
      </c>
      <c r="AF253" s="180" t="s">
        <v>8</v>
      </c>
      <c r="AG253" s="181" t="s">
        <v>8</v>
      </c>
      <c r="AH253" s="181" t="s">
        <v>8</v>
      </c>
      <c r="AI253" s="180" t="s">
        <v>8</v>
      </c>
      <c r="AJ253" s="181" t="s">
        <v>8</v>
      </c>
      <c r="AK253" s="185" t="s">
        <v>8</v>
      </c>
    </row>
    <row r="254" spans="1:37" s="184" customFormat="1" ht="15.75" customHeight="1">
      <c r="A254" s="179">
        <v>42583</v>
      </c>
      <c r="B254" s="180">
        <v>134.53371101019579</v>
      </c>
      <c r="C254" s="181">
        <v>-2.0014671685577089E-3</v>
      </c>
      <c r="D254" s="181">
        <v>-9.9470519109453592E-3</v>
      </c>
      <c r="E254" s="180">
        <v>144.27862419615619</v>
      </c>
      <c r="F254" s="181">
        <v>-2.5941539244817057E-3</v>
      </c>
      <c r="G254" s="181">
        <v>1.1399591407918797E-2</v>
      </c>
      <c r="H254" s="180">
        <v>124.37607785875123</v>
      </c>
      <c r="I254" s="181">
        <v>-3.3664759095902784E-3</v>
      </c>
      <c r="J254" s="181">
        <v>-8.3282121819727717E-4</v>
      </c>
      <c r="K254" s="180">
        <v>121.9791136516897</v>
      </c>
      <c r="L254" s="181">
        <v>-5.3629488182274487E-3</v>
      </c>
      <c r="M254" s="181">
        <v>-1.0980269894099504E-2</v>
      </c>
      <c r="N254" s="180">
        <v>142.09052392999698</v>
      </c>
      <c r="O254" s="181">
        <v>3.9037275190616548E-3</v>
      </c>
      <c r="P254" s="181">
        <v>1.1049617939094869E-2</v>
      </c>
      <c r="Q254" s="180">
        <v>120.55005068665321</v>
      </c>
      <c r="R254" s="181">
        <v>3.4335334923751002E-3</v>
      </c>
      <c r="S254" s="181">
        <v>7.1566949712984496E-3</v>
      </c>
      <c r="T254" s="180">
        <v>114.54961825825785</v>
      </c>
      <c r="U254" s="181">
        <v>-3.9990671048327985E-4</v>
      </c>
      <c r="V254" s="181">
        <v>6.4370690956117027E-3</v>
      </c>
      <c r="W254" s="180">
        <v>105.27948486683951</v>
      </c>
      <c r="X254" s="181">
        <v>1.6721053702156229E-2</v>
      </c>
      <c r="Y254" s="181">
        <v>-4.1897000849815069E-2</v>
      </c>
      <c r="Z254" s="180">
        <v>106.25486619245393</v>
      </c>
      <c r="AA254" s="181">
        <v>1.1179701253502308E-2</v>
      </c>
      <c r="AB254" s="181">
        <v>2.81200923568381E-3</v>
      </c>
      <c r="AC254" s="180">
        <v>104.31534347437447</v>
      </c>
      <c r="AD254" s="181">
        <v>7.752686037125311E-4</v>
      </c>
      <c r="AE254" s="181">
        <v>3.3634585483713009E-2</v>
      </c>
      <c r="AF254" s="180">
        <v>100</v>
      </c>
      <c r="AG254" s="181" t="s">
        <v>8</v>
      </c>
      <c r="AH254" s="181" t="s">
        <v>8</v>
      </c>
      <c r="AI254" s="180">
        <v>100</v>
      </c>
      <c r="AJ254" s="181" t="s">
        <v>8</v>
      </c>
      <c r="AK254" s="185" t="s">
        <v>8</v>
      </c>
    </row>
    <row r="255" spans="1:37" s="184" customFormat="1" ht="15.75" customHeight="1">
      <c r="A255" s="179">
        <v>42614</v>
      </c>
      <c r="B255" s="180">
        <v>134.62725723577933</v>
      </c>
      <c r="C255" s="181">
        <v>6.9533669205360308E-4</v>
      </c>
      <c r="D255" s="181">
        <v>-1.098472335426548E-2</v>
      </c>
      <c r="E255" s="180">
        <v>144.43677694425236</v>
      </c>
      <c r="F255" s="181">
        <v>1.0961620196845968E-3</v>
      </c>
      <c r="G255" s="181">
        <v>7.3005140627608878E-3</v>
      </c>
      <c r="H255" s="180">
        <v>124.37912937646787</v>
      </c>
      <c r="I255" s="181">
        <v>2.4534603190331517E-5</v>
      </c>
      <c r="J255" s="181">
        <v>1.7139398317622678E-3</v>
      </c>
      <c r="K255" s="180">
        <v>122.5854084241746</v>
      </c>
      <c r="L255" s="181">
        <v>4.9704802267719608E-3</v>
      </c>
      <c r="M255" s="181">
        <v>-1.2119905840254575E-2</v>
      </c>
      <c r="N255" s="180">
        <v>142.80780908071395</v>
      </c>
      <c r="O255" s="181">
        <v>5.0480857616539577E-3</v>
      </c>
      <c r="P255" s="181">
        <v>2.2284114811131905E-2</v>
      </c>
      <c r="Q255" s="180">
        <v>120.18297485347247</v>
      </c>
      <c r="R255" s="181">
        <v>-3.0450077050143288E-3</v>
      </c>
      <c r="S255" s="181">
        <v>3.4098460940261699E-3</v>
      </c>
      <c r="T255" s="180">
        <v>113.56157716176089</v>
      </c>
      <c r="U255" s="181">
        <v>-8.6254420706087624E-3</v>
      </c>
      <c r="V255" s="181">
        <v>1.5111394411631007E-3</v>
      </c>
      <c r="W255" s="180">
        <v>105.49093456790078</v>
      </c>
      <c r="X255" s="181">
        <v>2.0084606353148837E-3</v>
      </c>
      <c r="Y255" s="181">
        <v>-3.6573746384269135E-2</v>
      </c>
      <c r="Z255" s="180">
        <v>106.10583919789872</v>
      </c>
      <c r="AA255" s="181">
        <v>-1.4025427718791384E-3</v>
      </c>
      <c r="AB255" s="181">
        <v>-5.5970551981995298E-3</v>
      </c>
      <c r="AC255" s="180">
        <v>104.9654593075559</v>
      </c>
      <c r="AD255" s="181">
        <v>6.2322167720333917E-3</v>
      </c>
      <c r="AE255" s="181">
        <v>3.3624874450773445E-2</v>
      </c>
      <c r="AF255" s="180">
        <v>100.9490527631266</v>
      </c>
      <c r="AG255" s="181">
        <v>9.4905276312659773E-3</v>
      </c>
      <c r="AH255" s="181" t="s">
        <v>8</v>
      </c>
      <c r="AI255" s="180">
        <v>100.79427384830235</v>
      </c>
      <c r="AJ255" s="181">
        <v>7.9427384830235911E-3</v>
      </c>
      <c r="AK255" s="185" t="s">
        <v>8</v>
      </c>
    </row>
    <row r="256" spans="1:37" s="184" customFormat="1" ht="15.75" customHeight="1">
      <c r="A256" s="179">
        <v>42644</v>
      </c>
      <c r="B256" s="180">
        <v>134.70124016478402</v>
      </c>
      <c r="C256" s="181">
        <v>5.4953900512973327E-4</v>
      </c>
      <c r="D256" s="181">
        <v>-1.1529344830552124E-2</v>
      </c>
      <c r="E256" s="180">
        <v>144.87086327585712</v>
      </c>
      <c r="F256" s="181">
        <v>3.0053725982289257E-3</v>
      </c>
      <c r="G256" s="181">
        <v>2.2519588125049506E-3</v>
      </c>
      <c r="H256" s="180">
        <v>124.86917005809944</v>
      </c>
      <c r="I256" s="181">
        <v>3.9398947724447854E-3</v>
      </c>
      <c r="J256" s="181">
        <v>9.4217930287885387E-3</v>
      </c>
      <c r="K256" s="180">
        <v>123.1537318513858</v>
      </c>
      <c r="L256" s="181">
        <v>4.6361425435290293E-3</v>
      </c>
      <c r="M256" s="181">
        <v>-1.3111350913176611E-2</v>
      </c>
      <c r="N256" s="180">
        <v>143.62523583546658</v>
      </c>
      <c r="O256" s="181">
        <v>5.7239639765823422E-3</v>
      </c>
      <c r="P256" s="181">
        <v>2.8009795264811066E-2</v>
      </c>
      <c r="Q256" s="180">
        <v>120.06690850989368</v>
      </c>
      <c r="R256" s="181">
        <v>-9.6574696807345979E-4</v>
      </c>
      <c r="S256" s="181">
        <v>2.6877401352052299E-3</v>
      </c>
      <c r="T256" s="180">
        <v>112.57840972774815</v>
      </c>
      <c r="U256" s="181">
        <v>-8.6575711484905681E-3</v>
      </c>
      <c r="V256" s="181">
        <v>-7.1885922239878219E-4</v>
      </c>
      <c r="W256" s="180">
        <v>105.52472366335145</v>
      </c>
      <c r="X256" s="181">
        <v>3.203033093702734E-4</v>
      </c>
      <c r="Y256" s="181">
        <v>-1.6482945447412356E-2</v>
      </c>
      <c r="Z256" s="180">
        <v>106.3775444895726</v>
      </c>
      <c r="AA256" s="181">
        <v>2.5607006525542953E-3</v>
      </c>
      <c r="AB256" s="181">
        <v>-1.1042978516673241E-4</v>
      </c>
      <c r="AC256" s="180">
        <v>103.99267944126038</v>
      </c>
      <c r="AD256" s="181">
        <v>-9.2676188215899055E-3</v>
      </c>
      <c r="AE256" s="181">
        <v>1.6359238936452414E-2</v>
      </c>
      <c r="AF256" s="180">
        <v>101.44909955279168</v>
      </c>
      <c r="AG256" s="181">
        <v>4.9534569763465533E-3</v>
      </c>
      <c r="AH256" s="181" t="s">
        <v>8</v>
      </c>
      <c r="AI256" s="180">
        <v>100.85298497842663</v>
      </c>
      <c r="AJ256" s="181">
        <v>5.8248477698880747E-4</v>
      </c>
      <c r="AK256" s="185" t="s">
        <v>8</v>
      </c>
    </row>
    <row r="257" spans="1:37" s="184" customFormat="1" ht="15.75" customHeight="1">
      <c r="A257" s="179">
        <v>42675</v>
      </c>
      <c r="B257" s="180">
        <v>134.99764807341708</v>
      </c>
      <c r="C257" s="181">
        <v>2.2004838876794118E-3</v>
      </c>
      <c r="D257" s="181">
        <v>-9.5142449241433225E-3</v>
      </c>
      <c r="E257" s="180">
        <v>145.27841896605079</v>
      </c>
      <c r="F257" s="181">
        <v>2.8132343590553787E-3</v>
      </c>
      <c r="G257" s="181">
        <v>-7.3290285898650609E-3</v>
      </c>
      <c r="H257" s="180">
        <v>125.80083241747722</v>
      </c>
      <c r="I257" s="181">
        <v>7.4611079655954923E-3</v>
      </c>
      <c r="J257" s="181">
        <v>1.8266769025381491E-2</v>
      </c>
      <c r="K257" s="180">
        <v>123.81314907954625</v>
      </c>
      <c r="L257" s="181">
        <v>5.3544234368487183E-3</v>
      </c>
      <c r="M257" s="181">
        <v>-5.90365207293575E-3</v>
      </c>
      <c r="N257" s="180">
        <v>143.52367912275918</v>
      </c>
      <c r="O257" s="181">
        <v>-7.0709518502554798E-4</v>
      </c>
      <c r="P257" s="181">
        <v>2.6439427995575526E-2</v>
      </c>
      <c r="Q257" s="180">
        <v>119.66049393326288</v>
      </c>
      <c r="R257" s="181">
        <v>-3.3849008163419269E-3</v>
      </c>
      <c r="S257" s="181">
        <v>-5.9853879994550274E-3</v>
      </c>
      <c r="T257" s="180">
        <v>112.01821343738226</v>
      </c>
      <c r="U257" s="181">
        <v>-4.9760543937388225E-3</v>
      </c>
      <c r="V257" s="181">
        <v>2.6190178938876318E-3</v>
      </c>
      <c r="W257" s="180">
        <v>106.00983054686168</v>
      </c>
      <c r="X257" s="181">
        <v>4.5970921947905861E-3</v>
      </c>
      <c r="Y257" s="181">
        <v>1.7830658886359707E-3</v>
      </c>
      <c r="Z257" s="180">
        <v>106.47810992768561</v>
      </c>
      <c r="AA257" s="181">
        <v>9.45363409124933E-4</v>
      </c>
      <c r="AB257" s="181">
        <v>1.2069067987247273E-2</v>
      </c>
      <c r="AC257" s="180">
        <v>104.73269150973485</v>
      </c>
      <c r="AD257" s="181">
        <v>7.1160015536716244E-3</v>
      </c>
      <c r="AE257" s="181">
        <v>1.6523975539908031E-2</v>
      </c>
      <c r="AF257" s="180">
        <v>101.48331849378231</v>
      </c>
      <c r="AG257" s="181">
        <v>3.3730157430165606E-4</v>
      </c>
      <c r="AH257" s="181" t="s">
        <v>8</v>
      </c>
      <c r="AI257" s="180">
        <v>101.66513849894778</v>
      </c>
      <c r="AJ257" s="181">
        <v>8.0528456415530809E-3</v>
      </c>
      <c r="AK257" s="185" t="s">
        <v>8</v>
      </c>
    </row>
    <row r="258" spans="1:37" s="184" customFormat="1" ht="15.75" customHeight="1">
      <c r="A258" s="179">
        <v>42705</v>
      </c>
      <c r="B258" s="180">
        <v>134.34317599922014</v>
      </c>
      <c r="C258" s="181">
        <v>-4.8480257510931882E-3</v>
      </c>
      <c r="D258" s="181">
        <v>-1.1318139367948787E-2</v>
      </c>
      <c r="E258" s="180">
        <v>144.78312194210636</v>
      </c>
      <c r="F258" s="181">
        <v>-3.4092952516241227E-3</v>
      </c>
      <c r="G258" s="181">
        <v>5.2429570242631396E-3</v>
      </c>
      <c r="H258" s="180">
        <v>125.87984308892067</v>
      </c>
      <c r="I258" s="181">
        <v>6.2806159486487715E-4</v>
      </c>
      <c r="J258" s="181">
        <v>1.7869090664830889E-2</v>
      </c>
      <c r="K258" s="180">
        <v>123.70877501567043</v>
      </c>
      <c r="L258" s="181">
        <v>-8.4299660134461445E-4</v>
      </c>
      <c r="M258" s="181">
        <v>2.0747539239283075E-3</v>
      </c>
      <c r="N258" s="180">
        <v>141.47802917376893</v>
      </c>
      <c r="O258" s="181">
        <v>-1.4253048427225412E-2</v>
      </c>
      <c r="P258" s="181">
        <v>9.6203638339371622E-3</v>
      </c>
      <c r="Q258" s="180">
        <v>120.04162161817726</v>
      </c>
      <c r="R258" s="181">
        <v>3.1850753108786777E-3</v>
      </c>
      <c r="S258" s="181">
        <v>-4.3614216865678346E-3</v>
      </c>
      <c r="T258" s="180">
        <v>106.92213389320091</v>
      </c>
      <c r="U258" s="181">
        <v>-4.5493312094555399E-2</v>
      </c>
      <c r="V258" s="181">
        <v>-1.8821580109940617E-2</v>
      </c>
      <c r="W258" s="180">
        <v>104.83323422758953</v>
      </c>
      <c r="X258" s="181">
        <v>-1.1098935949643118E-2</v>
      </c>
      <c r="Y258" s="181">
        <v>5.3881433835016868E-3</v>
      </c>
      <c r="Z258" s="180">
        <v>106.86793634989249</v>
      </c>
      <c r="AA258" s="181">
        <v>3.661094496057702E-3</v>
      </c>
      <c r="AB258" s="181">
        <v>2.9922908410136673E-2</v>
      </c>
      <c r="AC258" s="180">
        <v>104.65012922773194</v>
      </c>
      <c r="AD258" s="181">
        <v>-7.8831433445249123E-4</v>
      </c>
      <c r="AE258" s="181">
        <v>1.9987681709791927E-2</v>
      </c>
      <c r="AF258" s="180">
        <v>101.30317962791027</v>
      </c>
      <c r="AG258" s="181">
        <v>-1.7750588820474311E-3</v>
      </c>
      <c r="AH258" s="181" t="s">
        <v>8</v>
      </c>
      <c r="AI258" s="180">
        <v>104.35766640332693</v>
      </c>
      <c r="AJ258" s="181">
        <v>2.6484279116061174E-2</v>
      </c>
      <c r="AK258" s="185" t="s">
        <v>8</v>
      </c>
    </row>
    <row r="259" spans="1:37" s="184" customFormat="1" ht="15.75" customHeight="1">
      <c r="A259" s="179">
        <v>42736</v>
      </c>
      <c r="B259" s="180">
        <v>134.83312963160941</v>
      </c>
      <c r="C259" s="181">
        <v>3.6470302919748353E-3</v>
      </c>
      <c r="D259" s="181">
        <v>-8.8401939725629708E-3</v>
      </c>
      <c r="E259" s="180">
        <v>145.49072740046685</v>
      </c>
      <c r="F259" s="181">
        <v>4.8873477023340063E-3</v>
      </c>
      <c r="G259" s="181">
        <v>1.3110107376528291E-3</v>
      </c>
      <c r="H259" s="180">
        <v>127.24333042776718</v>
      </c>
      <c r="I259" s="181">
        <v>1.0831657439256246E-2</v>
      </c>
      <c r="J259" s="181">
        <v>1.9671792431961821E-2</v>
      </c>
      <c r="K259" s="180">
        <v>124.37441513665128</v>
      </c>
      <c r="L259" s="181">
        <v>5.3807025483562617E-3</v>
      </c>
      <c r="M259" s="181">
        <v>2.5086434819341363E-3</v>
      </c>
      <c r="N259" s="180">
        <v>141.11513240508569</v>
      </c>
      <c r="O259" s="181">
        <v>-2.5650397507128875E-3</v>
      </c>
      <c r="P259" s="181">
        <v>8.3912596382800242E-3</v>
      </c>
      <c r="Q259" s="180">
        <v>119.00609269474128</v>
      </c>
      <c r="R259" s="181">
        <v>-8.626415650479417E-3</v>
      </c>
      <c r="S259" s="181">
        <v>-1.6537066656203137E-2</v>
      </c>
      <c r="T259" s="180">
        <v>108.2375685546488</v>
      </c>
      <c r="U259" s="181">
        <v>1.2302734836566355E-2</v>
      </c>
      <c r="V259" s="181">
        <v>-1.9638427153844895E-2</v>
      </c>
      <c r="W259" s="180">
        <v>106.31752771731747</v>
      </c>
      <c r="X259" s="181">
        <v>1.4158615830792792E-2</v>
      </c>
      <c r="Y259" s="181">
        <v>1.116448613571297E-2</v>
      </c>
      <c r="Z259" s="180">
        <v>104.47145011432769</v>
      </c>
      <c r="AA259" s="181">
        <v>-2.242474513326944E-2</v>
      </c>
      <c r="AB259" s="181">
        <v>1.6871762701818227E-2</v>
      </c>
      <c r="AC259" s="180">
        <v>104.68951465276022</v>
      </c>
      <c r="AD259" s="181">
        <v>3.7635333390347638E-4</v>
      </c>
      <c r="AE259" s="181">
        <v>1.2149493195208194E-2</v>
      </c>
      <c r="AF259" s="180">
        <v>101.80740229307762</v>
      </c>
      <c r="AG259" s="181">
        <v>4.9773626752819978E-3</v>
      </c>
      <c r="AH259" s="181" t="s">
        <v>8</v>
      </c>
      <c r="AI259" s="180">
        <v>106.50595540097989</v>
      </c>
      <c r="AJ259" s="181">
        <v>2.0585828254822539E-2</v>
      </c>
      <c r="AK259" s="185" t="s">
        <v>8</v>
      </c>
    </row>
    <row r="260" spans="1:37" s="184" customFormat="1" ht="15.75" customHeight="1">
      <c r="A260" s="179">
        <v>42767</v>
      </c>
      <c r="B260" s="180">
        <v>135.17979073212535</v>
      </c>
      <c r="C260" s="181">
        <v>2.5710380042581991E-3</v>
      </c>
      <c r="D260" s="181">
        <v>-5.4857639554616311E-3</v>
      </c>
      <c r="E260" s="180">
        <v>145.33768906802982</v>
      </c>
      <c r="F260" s="181">
        <v>-1.0518768802069366E-3</v>
      </c>
      <c r="G260" s="181">
        <v>-9.4117867268282973E-3</v>
      </c>
      <c r="H260" s="180">
        <v>126.8904746236207</v>
      </c>
      <c r="I260" s="181">
        <v>-2.7730789736502091E-3</v>
      </c>
      <c r="J260" s="181">
        <v>1.1368330638813484E-2</v>
      </c>
      <c r="K260" s="180">
        <v>124.41519858214924</v>
      </c>
      <c r="L260" s="181">
        <v>3.279086414449228E-4</v>
      </c>
      <c r="M260" s="181">
        <v>-1.2354463307675534E-3</v>
      </c>
      <c r="N260" s="180">
        <v>142.12956763604993</v>
      </c>
      <c r="O260" s="181">
        <v>7.1887062264321018E-3</v>
      </c>
      <c r="P260" s="181">
        <v>1.4466717698809806E-2</v>
      </c>
      <c r="Q260" s="180">
        <v>119.23268034755363</v>
      </c>
      <c r="R260" s="181">
        <v>1.9040004396544252E-3</v>
      </c>
      <c r="S260" s="181">
        <v>-1.1059321679141254E-2</v>
      </c>
      <c r="T260" s="180">
        <v>109.91686866398398</v>
      </c>
      <c r="U260" s="181">
        <v>1.5514946720992762E-2</v>
      </c>
      <c r="V260" s="181">
        <v>-1.0913592489984136E-2</v>
      </c>
      <c r="W260" s="180">
        <v>106.64928694720491</v>
      </c>
      <c r="X260" s="181">
        <v>3.120456588960012E-3</v>
      </c>
      <c r="Y260" s="181">
        <v>1.4518117542960507E-2</v>
      </c>
      <c r="Z260" s="180">
        <v>105.08052690643211</v>
      </c>
      <c r="AA260" s="181">
        <v>5.8300788534846083E-3</v>
      </c>
      <c r="AB260" s="181">
        <v>2.1564241093625647E-2</v>
      </c>
      <c r="AC260" s="180">
        <v>104.98538794026537</v>
      </c>
      <c r="AD260" s="181">
        <v>2.8261979099483757E-3</v>
      </c>
      <c r="AE260" s="181">
        <v>1.7716827145833891E-2</v>
      </c>
      <c r="AF260" s="180">
        <v>102.21778215735002</v>
      </c>
      <c r="AG260" s="181">
        <v>4.0309432814229539E-3</v>
      </c>
      <c r="AH260" s="181" t="s">
        <v>8</v>
      </c>
      <c r="AI260" s="180">
        <v>102.2</v>
      </c>
      <c r="AJ260" s="181">
        <v>4.0000000000000001E-3</v>
      </c>
      <c r="AK260" s="185" t="s">
        <v>8</v>
      </c>
    </row>
    <row r="261" spans="1:37" s="184" customFormat="1" ht="15.75" customHeight="1">
      <c r="A261" s="179">
        <v>42795</v>
      </c>
      <c r="B261" s="180">
        <v>135.12304840114138</v>
      </c>
      <c r="C261" s="181">
        <v>-4.1975454079833162E-4</v>
      </c>
      <c r="D261" s="181">
        <v>-4.0948841854983042E-3</v>
      </c>
      <c r="E261" s="180">
        <v>147.38502437029837</v>
      </c>
      <c r="F261" s="181">
        <v>1.4086747322026199E-2</v>
      </c>
      <c r="G261" s="181">
        <v>1.0657437084115262E-2</v>
      </c>
      <c r="H261" s="180">
        <v>126.96582556240212</v>
      </c>
      <c r="I261" s="181">
        <v>5.938265973463564E-4</v>
      </c>
      <c r="J261" s="181">
        <v>1.9548725112736198E-2</v>
      </c>
      <c r="K261" s="180">
        <v>124.29678534427636</v>
      </c>
      <c r="L261" s="181">
        <v>-9.5175862131267495E-4</v>
      </c>
      <c r="M261" s="181">
        <v>-2.0438455947681122E-3</v>
      </c>
      <c r="N261" s="180">
        <v>142.44222371564862</v>
      </c>
      <c r="O261" s="181">
        <v>2.1997961775223462E-3</v>
      </c>
      <c r="P261" s="181">
        <v>1.6102710833000744E-2</v>
      </c>
      <c r="Q261" s="180">
        <v>119.94520672595269</v>
      </c>
      <c r="R261" s="181">
        <v>5.9759319032508772E-3</v>
      </c>
      <c r="S261" s="181">
        <v>-3.8215053865153781E-4</v>
      </c>
      <c r="T261" s="180">
        <v>110.71639440521456</v>
      </c>
      <c r="U261" s="181">
        <v>7.2739130121578467E-3</v>
      </c>
      <c r="V261" s="181">
        <v>-7.9287827490854834E-3</v>
      </c>
      <c r="W261" s="180">
        <v>106.70284622019248</v>
      </c>
      <c r="X261" s="181">
        <v>5.0220001015182985E-4</v>
      </c>
      <c r="Y261" s="181">
        <v>2.66305686101449E-2</v>
      </c>
      <c r="Z261" s="180">
        <v>105.97019598043406</v>
      </c>
      <c r="AA261" s="181">
        <v>8.4665456121489346E-3</v>
      </c>
      <c r="AB261" s="181">
        <v>1.8822648878432879E-2</v>
      </c>
      <c r="AC261" s="180">
        <v>105.46156726244833</v>
      </c>
      <c r="AD261" s="181">
        <v>4.535672359032317E-3</v>
      </c>
      <c r="AE261" s="181">
        <v>1.5458877003411864E-2</v>
      </c>
      <c r="AF261" s="180">
        <v>102.57689697575562</v>
      </c>
      <c r="AG261" s="181">
        <v>3.5132323439847511E-3</v>
      </c>
      <c r="AH261" s="181" t="s">
        <v>8</v>
      </c>
      <c r="AI261" s="180">
        <v>102.6</v>
      </c>
      <c r="AJ261" s="181">
        <v>4.0000000000000001E-3</v>
      </c>
      <c r="AK261" s="185" t="s">
        <v>8</v>
      </c>
    </row>
    <row r="262" spans="1:37" s="184" customFormat="1" ht="15.75" customHeight="1">
      <c r="A262" s="179">
        <v>42826</v>
      </c>
      <c r="B262" s="180">
        <v>135.1434054573314</v>
      </c>
      <c r="C262" s="181">
        <v>1.5065569072709285E-4</v>
      </c>
      <c r="D262" s="181">
        <v>-1.2160064508852653E-3</v>
      </c>
      <c r="E262" s="180">
        <v>148.17746814735986</v>
      </c>
      <c r="F262" s="181">
        <v>5.3766912917183095E-3</v>
      </c>
      <c r="G262" s="181">
        <v>1.800180835724019E-2</v>
      </c>
      <c r="H262" s="180">
        <v>127.12919653697833</v>
      </c>
      <c r="I262" s="181">
        <v>1.2867318733411227E-3</v>
      </c>
      <c r="J262" s="181">
        <v>2.470126665064587E-2</v>
      </c>
      <c r="K262" s="180">
        <v>123.662792516566</v>
      </c>
      <c r="L262" s="181">
        <v>-5.1006373652731753E-3</v>
      </c>
      <c r="M262" s="181">
        <v>-5.0969960205283771E-3</v>
      </c>
      <c r="N262" s="180">
        <v>142.58480971579647</v>
      </c>
      <c r="O262" s="181">
        <v>1.0010093666641474E-3</v>
      </c>
      <c r="P262" s="181">
        <v>1.6694482177096015E-2</v>
      </c>
      <c r="Q262" s="180">
        <v>120.22215309245377</v>
      </c>
      <c r="R262" s="181">
        <v>2.3089406743351227E-3</v>
      </c>
      <c r="S262" s="181">
        <v>3.9919416288924925E-3</v>
      </c>
      <c r="T262" s="180">
        <v>111.01843771329112</v>
      </c>
      <c r="U262" s="181">
        <v>2.728081145517629E-3</v>
      </c>
      <c r="V262" s="181">
        <v>-1.4922450110579133E-2</v>
      </c>
      <c r="W262" s="180">
        <v>106.56311895858353</v>
      </c>
      <c r="X262" s="181">
        <v>-1.3094989174010174E-3</v>
      </c>
      <c r="Y262" s="181">
        <v>2.3557358452022559E-2</v>
      </c>
      <c r="Z262" s="180">
        <v>106.01104329994396</v>
      </c>
      <c r="AA262" s="181">
        <v>3.8546045076158107E-4</v>
      </c>
      <c r="AB262" s="181">
        <v>1.6573126128555771E-2</v>
      </c>
      <c r="AC262" s="180">
        <v>106.44223616164601</v>
      </c>
      <c r="AD262" s="181">
        <v>9.2988272851778665E-3</v>
      </c>
      <c r="AE262" s="181">
        <v>1.8967435308677283E-2</v>
      </c>
      <c r="AF262" s="180">
        <v>102.33828605470966</v>
      </c>
      <c r="AG262" s="181">
        <v>-2.326166301388002E-3</v>
      </c>
      <c r="AH262" s="181" t="s">
        <v>8</v>
      </c>
      <c r="AI262" s="180">
        <v>103.43357804416766</v>
      </c>
      <c r="AJ262" s="181">
        <v>-6.374087808920916E-3</v>
      </c>
      <c r="AK262" s="185" t="s">
        <v>8</v>
      </c>
    </row>
    <row r="263" spans="1:37" s="184" customFormat="1" ht="15.75" customHeight="1">
      <c r="A263" s="179">
        <v>42856</v>
      </c>
      <c r="B263" s="180">
        <v>134.94477279619272</v>
      </c>
      <c r="C263" s="181">
        <v>-1.4697917406068584E-3</v>
      </c>
      <c r="D263" s="181">
        <v>2.2173201861552805E-4</v>
      </c>
      <c r="E263" s="180">
        <v>149.09004325241705</v>
      </c>
      <c r="F263" s="181">
        <v>6.1586630981550258E-3</v>
      </c>
      <c r="G263" s="181">
        <v>2.6993081070486369E-2</v>
      </c>
      <c r="H263" s="180">
        <v>127.31049810728378</v>
      </c>
      <c r="I263" s="181">
        <v>1.4261206335298615E-3</v>
      </c>
      <c r="J263" s="181">
        <v>2.4994233505239549E-2</v>
      </c>
      <c r="K263" s="180">
        <v>123.86988894737453</v>
      </c>
      <c r="L263" s="181">
        <v>1.6746866749009204E-3</v>
      </c>
      <c r="M263" s="181">
        <v>2.6952146471388438E-3</v>
      </c>
      <c r="N263" s="180">
        <v>143.23202404036667</v>
      </c>
      <c r="O263" s="181">
        <v>4.539153405332899E-3</v>
      </c>
      <c r="P263" s="181">
        <v>1.8641257514494303E-2</v>
      </c>
      <c r="Q263" s="180">
        <v>120.77841464908313</v>
      </c>
      <c r="R263" s="181">
        <v>4.6269472166380931E-3</v>
      </c>
      <c r="S263" s="181">
        <v>7.0540947950998856E-3</v>
      </c>
      <c r="T263" s="180">
        <v>111.875411777813</v>
      </c>
      <c r="U263" s="181">
        <v>7.719204865186762E-3</v>
      </c>
      <c r="V263" s="181">
        <v>-2.1185331200187951E-2</v>
      </c>
      <c r="W263" s="180">
        <v>107.51507380949563</v>
      </c>
      <c r="X263" s="181">
        <v>8.9332487657580138E-3</v>
      </c>
      <c r="Y263" s="181">
        <v>3.1956640262876812E-2</v>
      </c>
      <c r="Z263" s="180">
        <v>106.00371086450843</v>
      </c>
      <c r="AA263" s="181">
        <v>-6.9166713271386909E-5</v>
      </c>
      <c r="AB263" s="181">
        <v>9.5188491448483514E-3</v>
      </c>
      <c r="AC263" s="180">
        <v>106.61907573782932</v>
      </c>
      <c r="AD263" s="181">
        <v>1.6613666018323436E-3</v>
      </c>
      <c r="AE263" s="181">
        <v>2.3670917872126829E-2</v>
      </c>
      <c r="AF263" s="180">
        <v>102.64226822339054</v>
      </c>
      <c r="AG263" s="181">
        <v>2.970366032106373E-3</v>
      </c>
      <c r="AH263" s="181" t="s">
        <v>8</v>
      </c>
      <c r="AI263" s="180">
        <v>103.29056269105808</v>
      </c>
      <c r="AJ263" s="181">
        <v>-1.3826781961318968E-3</v>
      </c>
      <c r="AK263" s="185" t="s">
        <v>8</v>
      </c>
    </row>
    <row r="264" spans="1:37" s="184" customFormat="1" ht="15.75" customHeight="1">
      <c r="A264" s="179">
        <v>42887</v>
      </c>
      <c r="B264" s="180">
        <v>135.27375433655453</v>
      </c>
      <c r="C264" s="181">
        <v>2.4378976194852076E-3</v>
      </c>
      <c r="D264" s="181">
        <v>4.5765162620987621E-3</v>
      </c>
      <c r="E264" s="180">
        <v>149.41407296036061</v>
      </c>
      <c r="F264" s="181">
        <v>2.1733826141223343E-3</v>
      </c>
      <c r="G264" s="181">
        <v>3.1068709159961738E-2</v>
      </c>
      <c r="H264" s="180">
        <v>127.03945240811147</v>
      </c>
      <c r="I264" s="181">
        <v>-2.1290129502430388E-3</v>
      </c>
      <c r="J264" s="181">
        <v>1.8707782692074515E-2</v>
      </c>
      <c r="K264" s="180">
        <v>124.32618878759715</v>
      </c>
      <c r="L264" s="181">
        <v>3.6837026665655515E-3</v>
      </c>
      <c r="M264" s="181">
        <v>9.7748721833352814E-3</v>
      </c>
      <c r="N264" s="180">
        <v>143.98454456511772</v>
      </c>
      <c r="O264" s="181">
        <v>5.2538566692247523E-3</v>
      </c>
      <c r="P264" s="181">
        <v>2.0108991873987403E-2</v>
      </c>
      <c r="Q264" s="180">
        <v>121.42289081168661</v>
      </c>
      <c r="R264" s="181">
        <v>5.3360210471050081E-3</v>
      </c>
      <c r="S264" s="181">
        <v>1.3542214241075268E-2</v>
      </c>
      <c r="T264" s="180">
        <v>113.10695970266406</v>
      </c>
      <c r="U264" s="181">
        <v>1.1008209089741204E-2</v>
      </c>
      <c r="V264" s="181">
        <v>-1.1470109331684353E-2</v>
      </c>
      <c r="W264" s="180">
        <v>107.55917591560758</v>
      </c>
      <c r="X264" s="181">
        <v>4.1019463177879964E-4</v>
      </c>
      <c r="Y264" s="181">
        <v>3.6564902982518133E-2</v>
      </c>
      <c r="Z264" s="180">
        <v>105.81724801234462</v>
      </c>
      <c r="AA264" s="181">
        <v>-1.7590219308656341E-3</v>
      </c>
      <c r="AB264" s="181">
        <v>4.2475705018154564E-3</v>
      </c>
      <c r="AC264" s="180">
        <v>107.61124845534586</v>
      </c>
      <c r="AD264" s="181">
        <v>9.3057711357041467E-3</v>
      </c>
      <c r="AE264" s="181">
        <v>2.7764773498201833E-2</v>
      </c>
      <c r="AF264" s="180">
        <v>103.59163184804495</v>
      </c>
      <c r="AG264" s="181">
        <v>9.2492463493520742E-3</v>
      </c>
      <c r="AH264" s="181" t="s">
        <v>8</v>
      </c>
      <c r="AI264" s="180">
        <v>102.79368261140345</v>
      </c>
      <c r="AJ264" s="181">
        <v>-4.8105080145686195E-3</v>
      </c>
      <c r="AK264" s="185" t="s">
        <v>8</v>
      </c>
    </row>
    <row r="265" spans="1:37" s="184" customFormat="1" ht="15.75" customHeight="1">
      <c r="A265" s="179">
        <v>42917</v>
      </c>
      <c r="B265" s="180">
        <v>135.45382346167858</v>
      </c>
      <c r="C265" s="181">
        <v>1.3311460601297131E-3</v>
      </c>
      <c r="D265" s="181">
        <v>4.824114834083737E-3</v>
      </c>
      <c r="E265" s="180">
        <v>149.83365727807876</v>
      </c>
      <c r="F265" s="181">
        <v>2.808198112834144E-3</v>
      </c>
      <c r="G265" s="181">
        <v>3.5808086892007207E-2</v>
      </c>
      <c r="H265" s="180">
        <v>127.36705094757104</v>
      </c>
      <c r="I265" s="181">
        <v>2.5787149838082078E-3</v>
      </c>
      <c r="J265" s="181">
        <v>2.0600384127235749E-2</v>
      </c>
      <c r="K265" s="180">
        <v>124.77675873464747</v>
      </c>
      <c r="L265" s="181">
        <v>3.6240952243787252E-3</v>
      </c>
      <c r="M265" s="181">
        <v>1.7449493183213205E-2</v>
      </c>
      <c r="N265" s="180">
        <v>144.99868158607558</v>
      </c>
      <c r="O265" s="181">
        <v>7.0433741622817833E-3</v>
      </c>
      <c r="P265" s="181">
        <v>2.4450560836311919E-2</v>
      </c>
      <c r="Q265" s="180">
        <v>122.09774397164576</v>
      </c>
      <c r="R265" s="181">
        <v>5.5578742644643775E-3</v>
      </c>
      <c r="S265" s="181">
        <v>1.6316210296545286E-2</v>
      </c>
      <c r="T265" s="180">
        <v>114.28225063937543</v>
      </c>
      <c r="U265" s="181">
        <v>1.0390969218878969E-2</v>
      </c>
      <c r="V265" s="181">
        <v>-2.733050206211951E-3</v>
      </c>
      <c r="W265" s="180">
        <v>107.57539593671038</v>
      </c>
      <c r="X265" s="181">
        <v>1.5080090531310875E-4</v>
      </c>
      <c r="Y265" s="181">
        <v>3.8893475281897461E-2</v>
      </c>
      <c r="Z265" s="180">
        <v>105.82161213383972</v>
      </c>
      <c r="AA265" s="181">
        <v>4.1242061923492114E-5</v>
      </c>
      <c r="AB265" s="181">
        <v>7.0566175279731524E-3</v>
      </c>
      <c r="AC265" s="180">
        <v>107.7709556010183</v>
      </c>
      <c r="AD265" s="181">
        <v>1.4841120046917467E-3</v>
      </c>
      <c r="AE265" s="181">
        <v>3.3927545527210112E-2</v>
      </c>
      <c r="AF265" s="180">
        <v>103.11561496325524</v>
      </c>
      <c r="AG265" s="181">
        <v>-4.5951287405914636E-3</v>
      </c>
      <c r="AH265" s="181" t="s">
        <v>8</v>
      </c>
      <c r="AI265" s="180">
        <v>102.90813860831034</v>
      </c>
      <c r="AJ265" s="181">
        <v>1.1134536092026548E-3</v>
      </c>
      <c r="AK265" s="185" t="s">
        <v>8</v>
      </c>
    </row>
    <row r="266" spans="1:37" s="184" customFormat="1" ht="15.75" customHeight="1">
      <c r="A266" s="179">
        <v>42948</v>
      </c>
      <c r="B266" s="180">
        <v>135.3507781358762</v>
      </c>
      <c r="C266" s="181">
        <v>-7.6074135944594447E-4</v>
      </c>
      <c r="D266" s="181">
        <v>6.0733263027175077E-3</v>
      </c>
      <c r="E266" s="180">
        <v>150.42087901526421</v>
      </c>
      <c r="F266" s="181">
        <v>3.9191577370070348E-3</v>
      </c>
      <c r="G266" s="181">
        <v>4.257217486879572E-2</v>
      </c>
      <c r="H266" s="180">
        <v>127.56463510456734</v>
      </c>
      <c r="I266" s="181">
        <v>1.5512972587992157E-3</v>
      </c>
      <c r="J266" s="181">
        <v>2.5636419002030397E-2</v>
      </c>
      <c r="K266" s="180">
        <v>124.81241538361635</v>
      </c>
      <c r="L266" s="181">
        <v>2.8576354547495521E-4</v>
      </c>
      <c r="M266" s="181">
        <v>2.3227761270811609E-2</v>
      </c>
      <c r="N266" s="180">
        <v>145.51689130073925</v>
      </c>
      <c r="O266" s="181">
        <v>3.5738925967822798E-3</v>
      </c>
      <c r="P266" s="181">
        <v>2.4113975203795546E-2</v>
      </c>
      <c r="Q266" s="180">
        <v>121.94466285653274</v>
      </c>
      <c r="R266" s="181">
        <v>-1.2537587520745207E-3</v>
      </c>
      <c r="S266" s="181">
        <v>1.1568739805050576E-2</v>
      </c>
      <c r="T266" s="180">
        <v>115.20123830932815</v>
      </c>
      <c r="U266" s="181">
        <v>8.0413858216060955E-3</v>
      </c>
      <c r="V266" s="181">
        <v>5.6885396998982429E-3</v>
      </c>
      <c r="W266" s="180">
        <v>107.88123752542353</v>
      </c>
      <c r="X266" s="181">
        <v>2.8430440441334515E-3</v>
      </c>
      <c r="Y266" s="181">
        <v>2.4712817144525223E-2</v>
      </c>
      <c r="Z266" s="180">
        <v>107.09884131960978</v>
      </c>
      <c r="AA266" s="181">
        <v>1.2069643998190674E-2</v>
      </c>
      <c r="AB266" s="181">
        <v>7.9429315324457406E-3</v>
      </c>
      <c r="AC266" s="180">
        <v>107.47924759868471</v>
      </c>
      <c r="AD266" s="181">
        <v>-2.7067404265536023E-3</v>
      </c>
      <c r="AE266" s="181">
        <v>3.0330189394309537E-2</v>
      </c>
      <c r="AF266" s="180">
        <v>103.28215531802732</v>
      </c>
      <c r="AG266" s="181">
        <v>1.6150837565332731E-3</v>
      </c>
      <c r="AH266" s="181">
        <v>3.2821553180273133E-2</v>
      </c>
      <c r="AI266" s="180">
        <v>103.04761676391786</v>
      </c>
      <c r="AJ266" s="181">
        <v>1.3553656444843499E-3</v>
      </c>
      <c r="AK266" s="185">
        <v>3.0476167639178486E-2</v>
      </c>
    </row>
    <row r="267" spans="1:37" s="184" customFormat="1" ht="15.75" customHeight="1">
      <c r="A267" s="179">
        <v>42979</v>
      </c>
      <c r="B267" s="180">
        <v>135.65895200636547</v>
      </c>
      <c r="C267" s="181">
        <v>2.276853334229998E-3</v>
      </c>
      <c r="D267" s="181">
        <v>7.6633424149707974E-3</v>
      </c>
      <c r="E267" s="180">
        <v>150.42248268033305</v>
      </c>
      <c r="F267" s="181">
        <v>1.0661186660700927E-5</v>
      </c>
      <c r="G267" s="181">
        <v>4.144170108691192E-2</v>
      </c>
      <c r="H267" s="180">
        <v>127.78315822638979</v>
      </c>
      <c r="I267" s="181">
        <v>1.7130384267027465E-3</v>
      </c>
      <c r="J267" s="181">
        <v>2.7368167529286058E-2</v>
      </c>
      <c r="K267" s="180">
        <v>124.89840081114241</v>
      </c>
      <c r="L267" s="181">
        <v>6.8891726245147835E-4</v>
      </c>
      <c r="M267" s="181">
        <v>1.886841522740057E-2</v>
      </c>
      <c r="N267" s="180">
        <v>145.95330768850584</v>
      </c>
      <c r="O267" s="181">
        <v>2.9990771783645308E-3</v>
      </c>
      <c r="P267" s="181">
        <v>2.2026096668243733E-2</v>
      </c>
      <c r="Q267" s="180">
        <v>122.21508204220913</v>
      </c>
      <c r="R267" s="181">
        <v>2.2175565485348446E-3</v>
      </c>
      <c r="S267" s="181">
        <v>1.6908444737819162E-2</v>
      </c>
      <c r="T267" s="180">
        <v>115.6826558135936</v>
      </c>
      <c r="U267" s="181">
        <v>4.1789264710228036E-3</v>
      </c>
      <c r="V267" s="181">
        <v>1.8677784377821416E-2</v>
      </c>
      <c r="W267" s="180">
        <v>108.05272780883327</v>
      </c>
      <c r="X267" s="181">
        <v>1.5896210253366317E-3</v>
      </c>
      <c r="Y267" s="181">
        <v>2.4284487111862152E-2</v>
      </c>
      <c r="Z267" s="180">
        <v>107.52028513800104</v>
      </c>
      <c r="AA267" s="181">
        <v>3.93509223067678E-3</v>
      </c>
      <c r="AB267" s="181">
        <v>1.3330519326690604E-2</v>
      </c>
      <c r="AC267" s="180">
        <v>107.15299854682377</v>
      </c>
      <c r="AD267" s="181">
        <v>-3.03546088338019E-3</v>
      </c>
      <c r="AE267" s="181">
        <v>2.084056273081436E-2</v>
      </c>
      <c r="AF267" s="180">
        <v>103.59822076754787</v>
      </c>
      <c r="AG267" s="181">
        <v>3.0602135339577365E-3</v>
      </c>
      <c r="AH267" s="181">
        <v>2.6242623698881529E-2</v>
      </c>
      <c r="AI267" s="180">
        <v>102.6334783708992</v>
      </c>
      <c r="AJ267" s="181">
        <v>-4.018903163645773E-3</v>
      </c>
      <c r="AK267" s="185">
        <v>1.8247113177926044E-2</v>
      </c>
    </row>
    <row r="268" spans="1:37" s="184" customFormat="1" ht="15.75" customHeight="1">
      <c r="A268" s="179">
        <v>43009</v>
      </c>
      <c r="B268" s="180">
        <v>136.27096984992073</v>
      </c>
      <c r="C268" s="181">
        <v>4.5114445785086697E-3</v>
      </c>
      <c r="D268" s="181">
        <v>1.1653416725907029E-2</v>
      </c>
      <c r="E268" s="180">
        <v>151.46532704732186</v>
      </c>
      <c r="F268" s="181">
        <v>6.9327692802744027E-3</v>
      </c>
      <c r="G268" s="181">
        <v>4.5519600162165386E-2</v>
      </c>
      <c r="H268" s="180">
        <v>128.44698578604559</v>
      </c>
      <c r="I268" s="181">
        <v>5.1949534576357492E-3</v>
      </c>
      <c r="J268" s="181">
        <v>2.8652514678214391E-2</v>
      </c>
      <c r="K268" s="180">
        <v>124.85973856525931</v>
      </c>
      <c r="L268" s="181">
        <v>-3.0954956694404287E-4</v>
      </c>
      <c r="M268" s="181">
        <v>1.3852659503101439E-2</v>
      </c>
      <c r="N268" s="180">
        <v>146.74664136554523</v>
      </c>
      <c r="O268" s="181">
        <v>5.4355306474624032E-3</v>
      </c>
      <c r="P268" s="181">
        <v>2.1732988022066246E-2</v>
      </c>
      <c r="Q268" s="180">
        <v>123.07184170755031</v>
      </c>
      <c r="R268" s="181">
        <v>7.0102613443837327E-3</v>
      </c>
      <c r="S268" s="181">
        <v>2.5027155566423431E-2</v>
      </c>
      <c r="T268" s="180">
        <v>116.25277864677686</v>
      </c>
      <c r="U268" s="181">
        <v>4.9283345819959787E-3</v>
      </c>
      <c r="V268" s="181">
        <v>3.2638308960968088E-2</v>
      </c>
      <c r="W268" s="180">
        <v>108.04033902542335</v>
      </c>
      <c r="X268" s="181">
        <v>-1.1465498059274992E-4</v>
      </c>
      <c r="Y268" s="181">
        <v>2.3839108739079018E-2</v>
      </c>
      <c r="Z268" s="180">
        <v>107.4811487885403</v>
      </c>
      <c r="AA268" s="181">
        <v>-3.6399038014562902E-4</v>
      </c>
      <c r="AB268" s="181">
        <v>1.0374410353830577E-2</v>
      </c>
      <c r="AC268" s="180">
        <v>106.98003994979976</v>
      </c>
      <c r="AD268" s="181">
        <v>-1.6141274567172336E-3</v>
      </c>
      <c r="AE268" s="181">
        <v>2.8726642342423503E-2</v>
      </c>
      <c r="AF268" s="180">
        <v>103.86868038419314</v>
      </c>
      <c r="AG268" s="181">
        <v>2.6106588958909826E-3</v>
      </c>
      <c r="AH268" s="181">
        <v>2.3850195241431171E-2</v>
      </c>
      <c r="AI268" s="180">
        <v>102.91114185013927</v>
      </c>
      <c r="AJ268" s="181">
        <v>2.7053889593086256E-3</v>
      </c>
      <c r="AK268" s="185">
        <v>2.0407495843111523E-2</v>
      </c>
    </row>
    <row r="269" spans="1:37" s="184" customFormat="1" ht="15.75" customHeight="1">
      <c r="A269" s="179">
        <v>43040</v>
      </c>
      <c r="B269" s="180">
        <v>136.52133841947312</v>
      </c>
      <c r="C269" s="181">
        <v>1.8372847116896374E-3</v>
      </c>
      <c r="D269" s="181">
        <v>1.1286791790827255E-2</v>
      </c>
      <c r="E269" s="180">
        <v>152.4512555333331</v>
      </c>
      <c r="F269" s="181">
        <v>6.5092685252197535E-3</v>
      </c>
      <c r="G269" s="181">
        <v>4.9373035708479618E-2</v>
      </c>
      <c r="H269" s="180">
        <v>129.61268648326592</v>
      </c>
      <c r="I269" s="181">
        <v>9.0753448988055169E-3</v>
      </c>
      <c r="J269" s="181">
        <v>3.0300706223777896E-2</v>
      </c>
      <c r="K269" s="180">
        <v>125.7687154547426</v>
      </c>
      <c r="L269" s="181">
        <v>7.2799839237866351E-3</v>
      </c>
      <c r="M269" s="181">
        <v>1.5794496705192174E-2</v>
      </c>
      <c r="N269" s="180">
        <v>146.16172704719352</v>
      </c>
      <c r="O269" s="181">
        <v>-3.9858787424965824E-3</v>
      </c>
      <c r="P269" s="181">
        <v>1.8380576226574963E-2</v>
      </c>
      <c r="Q269" s="180">
        <v>124.29448544321653</v>
      </c>
      <c r="R269" s="181">
        <v>9.9343905047877719E-3</v>
      </c>
      <c r="S269" s="181">
        <v>3.8726160636927576E-2</v>
      </c>
      <c r="T269" s="180">
        <v>115.89735328535431</v>
      </c>
      <c r="U269" s="181">
        <v>-3.0573493860518663E-3</v>
      </c>
      <c r="V269" s="181">
        <v>3.4629545758114499E-2</v>
      </c>
      <c r="W269" s="180">
        <v>108.67836544386547</v>
      </c>
      <c r="X269" s="181">
        <v>5.9054462823554862E-3</v>
      </c>
      <c r="Y269" s="181">
        <v>2.5172522993744062E-2</v>
      </c>
      <c r="Z269" s="180">
        <v>107.51078759298348</v>
      </c>
      <c r="AA269" s="181">
        <v>2.7575816575512E-4</v>
      </c>
      <c r="AB269" s="181">
        <v>9.6984973343272607E-3</v>
      </c>
      <c r="AC269" s="180">
        <v>107.299742394082</v>
      </c>
      <c r="AD269" s="181">
        <v>2.9884307804732592E-3</v>
      </c>
      <c r="AE269" s="181">
        <v>2.45105023784149E-2</v>
      </c>
      <c r="AF269" s="180">
        <v>103.95779397882943</v>
      </c>
      <c r="AG269" s="181">
        <v>8.5794480402235024E-4</v>
      </c>
      <c r="AH269" s="181">
        <v>2.4383076172255214E-2</v>
      </c>
      <c r="AI269" s="180">
        <v>102.86446576163345</v>
      </c>
      <c r="AJ269" s="181">
        <v>-4.5355719183254095E-4</v>
      </c>
      <c r="AK269" s="185">
        <v>1.179683892033534E-2</v>
      </c>
    </row>
    <row r="270" spans="1:37" s="184" customFormat="1" ht="15.75" customHeight="1">
      <c r="A270" s="179">
        <v>43070</v>
      </c>
      <c r="B270" s="180">
        <v>136.25230253479339</v>
      </c>
      <c r="C270" s="181">
        <v>-1.9706507993138087E-3</v>
      </c>
      <c r="D270" s="181">
        <v>1.4210818832988803E-2</v>
      </c>
      <c r="E270" s="180">
        <v>151.65624541961921</v>
      </c>
      <c r="F270" s="181">
        <v>-5.2148479258673584E-3</v>
      </c>
      <c r="G270" s="181">
        <v>4.7471855733717039E-2</v>
      </c>
      <c r="H270" s="180">
        <v>129.67570164769927</v>
      </c>
      <c r="I270" s="181">
        <v>4.8618052864348729E-4</v>
      </c>
      <c r="J270" s="181">
        <v>3.0154617813570317E-2</v>
      </c>
      <c r="K270" s="180">
        <v>126.69547101538934</v>
      </c>
      <c r="L270" s="181">
        <v>7.3687288392497276E-3</v>
      </c>
      <c r="M270" s="181">
        <v>2.4142959942337061E-2</v>
      </c>
      <c r="N270" s="180">
        <v>145.67152272173959</v>
      </c>
      <c r="O270" s="181">
        <v>-3.3538487493079638E-3</v>
      </c>
      <c r="P270" s="181">
        <v>2.96405991266675E-2</v>
      </c>
      <c r="Q270" s="180">
        <v>125.17072759526305</v>
      </c>
      <c r="R270" s="181">
        <v>7.0497266948084695E-3</v>
      </c>
      <c r="S270" s="181">
        <v>4.2727729831909533E-2</v>
      </c>
      <c r="T270" s="180">
        <v>111.33209753091867</v>
      </c>
      <c r="U270" s="181">
        <v>-3.9390509144720427E-2</v>
      </c>
      <c r="V270" s="181">
        <v>4.1244628003053618E-2</v>
      </c>
      <c r="W270" s="180">
        <v>108.13224661367595</v>
      </c>
      <c r="X270" s="181">
        <v>-5.0250924179718152E-3</v>
      </c>
      <c r="Y270" s="181">
        <v>3.1469146310266094E-2</v>
      </c>
      <c r="Z270" s="180">
        <v>106.45156411817527</v>
      </c>
      <c r="AA270" s="181">
        <v>-9.8522529554730225E-3</v>
      </c>
      <c r="AB270" s="181">
        <v>-3.8961380367071863E-3</v>
      </c>
      <c r="AC270" s="180">
        <v>106.20945915780297</v>
      </c>
      <c r="AD270" s="181">
        <v>-1.016109835823017E-2</v>
      </c>
      <c r="AE270" s="181">
        <v>1.4900410936691033E-2</v>
      </c>
      <c r="AF270" s="180">
        <v>103.41557197089887</v>
      </c>
      <c r="AG270" s="181">
        <v>-5.2157898621913446E-3</v>
      </c>
      <c r="AH270" s="181">
        <v>2.0852182041545708E-2</v>
      </c>
      <c r="AI270" s="180">
        <v>103.38153573788156</v>
      </c>
      <c r="AJ270" s="181">
        <v>5.0267113372883367E-3</v>
      </c>
      <c r="AK270" s="185">
        <v>-9.3537034612557468E-3</v>
      </c>
    </row>
    <row r="271" spans="1:37" s="184" customFormat="1" ht="15.75" customHeight="1">
      <c r="A271" s="179">
        <v>43101</v>
      </c>
      <c r="B271" s="180">
        <v>136.31234470801462</v>
      </c>
      <c r="C271" s="181">
        <v>4.4066905369114282E-4</v>
      </c>
      <c r="D271" s="181">
        <v>1.0970709353455677E-2</v>
      </c>
      <c r="E271" s="180">
        <v>152.05633979231217</v>
      </c>
      <c r="F271" s="181">
        <v>2.6381661473021279E-3</v>
      </c>
      <c r="G271" s="181">
        <v>4.5127359723573957E-2</v>
      </c>
      <c r="H271" s="180">
        <v>130.26059272500612</v>
      </c>
      <c r="I271" s="181">
        <v>4.5104138236773221E-3</v>
      </c>
      <c r="J271" s="181">
        <v>2.3712537915311582E-2</v>
      </c>
      <c r="K271" s="180">
        <v>126.33108635211671</v>
      </c>
      <c r="L271" s="181">
        <v>-2.8760670002826449E-3</v>
      </c>
      <c r="M271" s="181">
        <v>1.5732103852031054E-2</v>
      </c>
      <c r="N271" s="180">
        <v>145.0796754822004</v>
      </c>
      <c r="O271" s="181">
        <v>-4.0628890841604192E-3</v>
      </c>
      <c r="P271" s="181">
        <v>2.8094386544839756E-2</v>
      </c>
      <c r="Q271" s="180">
        <v>125.22677120757839</v>
      </c>
      <c r="R271" s="181">
        <v>4.4773736952758103E-4</v>
      </c>
      <c r="S271" s="181">
        <v>5.2271933074834909E-2</v>
      </c>
      <c r="T271" s="180">
        <v>113.25214969030137</v>
      </c>
      <c r="U271" s="181">
        <v>1.7246168912334284E-2</v>
      </c>
      <c r="V271" s="181">
        <v>4.6329395630507975E-2</v>
      </c>
      <c r="W271" s="180">
        <v>108.8131055541028</v>
      </c>
      <c r="X271" s="181">
        <v>6.2965393002456689E-3</v>
      </c>
      <c r="Y271" s="181">
        <v>2.3472873103489666E-2</v>
      </c>
      <c r="Z271" s="180">
        <v>106.68263128594168</v>
      </c>
      <c r="AA271" s="181">
        <v>2.1706319646924623E-3</v>
      </c>
      <c r="AB271" s="181">
        <v>2.1165410925130246E-2</v>
      </c>
      <c r="AC271" s="180">
        <v>106.58235254699811</v>
      </c>
      <c r="AD271" s="181">
        <v>3.510924470871213E-3</v>
      </c>
      <c r="AE271" s="181">
        <v>1.8080491637736174E-2</v>
      </c>
      <c r="AF271" s="180">
        <v>104.08346558829179</v>
      </c>
      <c r="AG271" s="181">
        <v>6.4583466944501252E-3</v>
      </c>
      <c r="AH271" s="181">
        <v>2.2356559974509249E-2</v>
      </c>
      <c r="AI271" s="180">
        <v>104.66295490696078</v>
      </c>
      <c r="AJ271" s="181">
        <v>1.2395048689624617E-2</v>
      </c>
      <c r="AK271" s="185">
        <v>-1.730420131982735E-2</v>
      </c>
    </row>
    <row r="272" spans="1:37" s="184" customFormat="1" ht="15.75" customHeight="1">
      <c r="A272" s="179">
        <v>43132</v>
      </c>
      <c r="B272" s="180">
        <v>136.30567994800171</v>
      </c>
      <c r="C272" s="181">
        <v>-4.889329742788551E-5</v>
      </c>
      <c r="D272" s="181">
        <v>8.3288279244893015E-3</v>
      </c>
      <c r="E272" s="180">
        <v>151.14924918776313</v>
      </c>
      <c r="F272" s="181">
        <v>-5.965490197830681E-3</v>
      </c>
      <c r="G272" s="181">
        <v>3.9986600564517305E-2</v>
      </c>
      <c r="H272" s="180">
        <v>130.44173553212994</v>
      </c>
      <c r="I272" s="181">
        <v>1.39061863096408E-3</v>
      </c>
      <c r="J272" s="181">
        <v>2.7986820279795488E-2</v>
      </c>
      <c r="K272" s="180">
        <v>126.47074593368282</v>
      </c>
      <c r="L272" s="181">
        <v>1.1055044771548683E-3</v>
      </c>
      <c r="M272" s="181">
        <v>1.6521673999309039E-2</v>
      </c>
      <c r="N272" s="180">
        <v>144.44677625866251</v>
      </c>
      <c r="O272" s="181">
        <v>-4.3624251393886791E-3</v>
      </c>
      <c r="P272" s="181">
        <v>1.6303494488537629E-2</v>
      </c>
      <c r="Q272" s="180">
        <v>124.40258600157713</v>
      </c>
      <c r="R272" s="181">
        <v>-6.5815416148922298E-3</v>
      </c>
      <c r="S272" s="181">
        <v>4.335980403152595E-2</v>
      </c>
      <c r="T272" s="180">
        <v>113.25836294452297</v>
      </c>
      <c r="U272" s="181">
        <v>5.4862130551978087E-5</v>
      </c>
      <c r="V272" s="181">
        <v>3.0400195358129656E-2</v>
      </c>
      <c r="W272" s="180">
        <v>108.44467926250677</v>
      </c>
      <c r="X272" s="181">
        <v>-3.3858632167506441E-3</v>
      </c>
      <c r="Y272" s="181">
        <v>1.6834545890500374E-2</v>
      </c>
      <c r="Z272" s="180">
        <v>106.61298710296599</v>
      </c>
      <c r="AA272" s="181">
        <v>-6.528165094562688E-4</v>
      </c>
      <c r="AB272" s="181">
        <v>1.4583674460430185E-2</v>
      </c>
      <c r="AC272" s="180">
        <v>106.930135697021</v>
      </c>
      <c r="AD272" s="181">
        <v>3.2630462896709967E-3</v>
      </c>
      <c r="AE272" s="181">
        <v>1.8523985050778347E-2</v>
      </c>
      <c r="AF272" s="180">
        <v>104.14374938105817</v>
      </c>
      <c r="AG272" s="181">
        <v>5.7918702481383642E-4</v>
      </c>
      <c r="AH272" s="181">
        <v>1.8841802111724482E-2</v>
      </c>
      <c r="AI272" s="180">
        <v>103.67411271391151</v>
      </c>
      <c r="AJ272" s="181">
        <v>-9.4478719230533456E-3</v>
      </c>
      <c r="AK272" s="185">
        <v>-2.4354748834905071E-2</v>
      </c>
    </row>
    <row r="273" spans="1:37" s="184" customFormat="1" ht="15.75" customHeight="1">
      <c r="A273" s="179">
        <v>43160</v>
      </c>
      <c r="B273" s="180">
        <v>136.05164132228657</v>
      </c>
      <c r="C273" s="181">
        <v>-1.8637420378376302E-3</v>
      </c>
      <c r="D273" s="181">
        <v>6.8722022788330062E-3</v>
      </c>
      <c r="E273" s="180">
        <v>150.76281348609598</v>
      </c>
      <c r="F273" s="181">
        <v>-2.5566498262065674E-3</v>
      </c>
      <c r="G273" s="181">
        <v>2.2918129777629748E-2</v>
      </c>
      <c r="H273" s="180">
        <v>130.96852534833803</v>
      </c>
      <c r="I273" s="181">
        <v>4.0385066486510234E-3</v>
      </c>
      <c r="J273" s="181">
        <v>3.1525804429701765E-2</v>
      </c>
      <c r="K273" s="180">
        <v>126.83112905897265</v>
      </c>
      <c r="L273" s="181">
        <v>2.8495374375257709E-3</v>
      </c>
      <c r="M273" s="181">
        <v>2.0389455026344372E-2</v>
      </c>
      <c r="N273" s="180">
        <v>143.96436969324816</v>
      </c>
      <c r="O273" s="181">
        <v>-3.3396838469451229E-3</v>
      </c>
      <c r="P273" s="181">
        <v>1.0686058795586595E-2</v>
      </c>
      <c r="Q273" s="180">
        <v>124.17163876640473</v>
      </c>
      <c r="R273" s="181">
        <v>-1.8564504372078749E-3</v>
      </c>
      <c r="S273" s="181">
        <v>3.5236356298159244E-2</v>
      </c>
      <c r="T273" s="180">
        <v>113.35147720489768</v>
      </c>
      <c r="U273" s="181">
        <v>8.2214026367580131E-4</v>
      </c>
      <c r="V273" s="181">
        <v>2.3800294561967972E-2</v>
      </c>
      <c r="W273" s="180">
        <v>107.68908292168994</v>
      </c>
      <c r="X273" s="181">
        <v>-6.9675741212511053E-3</v>
      </c>
      <c r="Y273" s="181">
        <v>9.2428340614481019E-3</v>
      </c>
      <c r="Z273" s="180">
        <v>107.78486115020942</v>
      </c>
      <c r="AA273" s="181">
        <v>1.09918507968608E-2</v>
      </c>
      <c r="AB273" s="181">
        <v>1.7124297572408187E-2</v>
      </c>
      <c r="AC273" s="180">
        <v>108.65678356719084</v>
      </c>
      <c r="AD273" s="181">
        <v>1.6147439250074225E-2</v>
      </c>
      <c r="AE273" s="181">
        <v>3.0297447569606062E-2</v>
      </c>
      <c r="AF273" s="180">
        <v>103.84143707576003</v>
      </c>
      <c r="AG273" s="181">
        <v>-2.9028367722002189E-3</v>
      </c>
      <c r="AH273" s="181">
        <v>1.2327728146263706E-2</v>
      </c>
      <c r="AI273" s="180">
        <v>101.97829154347649</v>
      </c>
      <c r="AJ273" s="181">
        <v>-1.6357228685570071E-2</v>
      </c>
      <c r="AK273" s="185">
        <v>-2.035417439290399E-2</v>
      </c>
    </row>
    <row r="274" spans="1:37" s="184" customFormat="1" ht="15.75" customHeight="1">
      <c r="A274" s="179">
        <v>43191</v>
      </c>
      <c r="B274" s="180">
        <v>135.85150545429528</v>
      </c>
      <c r="C274" s="181">
        <v>-1.4710286920919557E-3</v>
      </c>
      <c r="D274" s="181">
        <v>5.2396193108175115E-3</v>
      </c>
      <c r="E274" s="180">
        <v>150.12487986671053</v>
      </c>
      <c r="F274" s="181">
        <v>-4.2313724759737827E-3</v>
      </c>
      <c r="G274" s="181">
        <v>1.3142428087744129E-2</v>
      </c>
      <c r="H274" s="180">
        <v>130.77136286509622</v>
      </c>
      <c r="I274" s="181">
        <v>-1.5054188227089193E-3</v>
      </c>
      <c r="J274" s="181">
        <v>2.8649330187959565E-2</v>
      </c>
      <c r="K274" s="180">
        <v>125.56104299166438</v>
      </c>
      <c r="L274" s="181">
        <v>-1.0013993226518702E-2</v>
      </c>
      <c r="M274" s="181">
        <v>1.5350215181693327E-2</v>
      </c>
      <c r="N274" s="180">
        <v>144.44514361620003</v>
      </c>
      <c r="O274" s="181">
        <v>3.3395341081705167E-3</v>
      </c>
      <c r="P274" s="181">
        <v>1.3047209615888455E-2</v>
      </c>
      <c r="Q274" s="180">
        <v>125.13653460511233</v>
      </c>
      <c r="R274" s="181">
        <v>7.7706620311485432E-3</v>
      </c>
      <c r="S274" s="181">
        <v>4.0877503739924492E-2</v>
      </c>
      <c r="T274" s="180">
        <v>113.14403762895739</v>
      </c>
      <c r="U274" s="181">
        <v>-1.8300562203111314E-3</v>
      </c>
      <c r="V274" s="181">
        <v>1.9146368472196418E-2</v>
      </c>
      <c r="W274" s="180">
        <v>107.89404148836317</v>
      </c>
      <c r="X274" s="181">
        <v>1.9032436818343123E-3</v>
      </c>
      <c r="Y274" s="181">
        <v>1.2489523043117012E-2</v>
      </c>
      <c r="Z274" s="180">
        <v>107.79142162769203</v>
      </c>
      <c r="AA274" s="181">
        <v>6.0866409369633166E-5</v>
      </c>
      <c r="AB274" s="181">
        <v>1.6794272297752322E-2</v>
      </c>
      <c r="AC274" s="180">
        <v>107.74881227469905</v>
      </c>
      <c r="AD274" s="181">
        <v>-8.3563240387134318E-3</v>
      </c>
      <c r="AE274" s="181">
        <v>1.2274978055410557E-2</v>
      </c>
      <c r="AF274" s="180">
        <v>103.06882400695297</v>
      </c>
      <c r="AG274" s="181">
        <v>-7.4403156443548155E-3</v>
      </c>
      <c r="AH274" s="181">
        <v>7.1384618641430198E-3</v>
      </c>
      <c r="AI274" s="180">
        <v>101.32354706068922</v>
      </c>
      <c r="AJ274" s="181">
        <v>-6.4204300040477504E-3</v>
      </c>
      <c r="AK274" s="185">
        <v>-2.0399864564072501E-2</v>
      </c>
    </row>
    <row r="275" spans="1:37" s="184" customFormat="1" ht="15.75" customHeight="1">
      <c r="A275" s="179">
        <v>43221</v>
      </c>
      <c r="B275" s="180">
        <v>135.65711370963029</v>
      </c>
      <c r="C275" s="181">
        <v>-1.430913437542891E-3</v>
      </c>
      <c r="D275" s="181">
        <v>5.278758848358045E-3</v>
      </c>
      <c r="E275" s="180">
        <v>149.71392591428594</v>
      </c>
      <c r="F275" s="181">
        <v>-2.7374140301691142E-3</v>
      </c>
      <c r="G275" s="181">
        <v>4.1846031314956011E-3</v>
      </c>
      <c r="H275" s="180">
        <v>130.78288748164994</v>
      </c>
      <c r="I275" s="181">
        <v>8.8127983843238057E-5</v>
      </c>
      <c r="J275" s="181">
        <v>2.7274964955678715E-2</v>
      </c>
      <c r="K275" s="180">
        <v>125.10850413074074</v>
      </c>
      <c r="L275" s="181">
        <v>-3.6041342930998145E-3</v>
      </c>
      <c r="M275" s="181">
        <v>9.9993242416842598E-3</v>
      </c>
      <c r="N275" s="180">
        <v>144.19096028183085</v>
      </c>
      <c r="O275" s="181">
        <v>-1.7597222586073836E-3</v>
      </c>
      <c r="P275" s="181">
        <v>6.6949849231616732E-3</v>
      </c>
      <c r="Q275" s="180">
        <v>125.13747748176128</v>
      </c>
      <c r="R275" s="181">
        <v>7.5347831226291183E-6</v>
      </c>
      <c r="S275" s="181">
        <v>3.6091406277713123E-2</v>
      </c>
      <c r="T275" s="180">
        <v>113.84222888040331</v>
      </c>
      <c r="U275" s="181">
        <v>6.1708178891013519E-3</v>
      </c>
      <c r="V275" s="181">
        <v>1.7580423359660591E-2</v>
      </c>
      <c r="W275" s="180">
        <v>107.45563111921538</v>
      </c>
      <c r="X275" s="181">
        <v>-4.0633418036812377E-3</v>
      </c>
      <c r="Y275" s="181">
        <v>-5.5287773308487775E-4</v>
      </c>
      <c r="Z275" s="180">
        <v>107.77201746352038</v>
      </c>
      <c r="AA275" s="181">
        <v>-1.8001584800196645E-4</v>
      </c>
      <c r="AB275" s="181">
        <v>1.6681553736096699E-2</v>
      </c>
      <c r="AC275" s="180">
        <v>107.56738945916898</v>
      </c>
      <c r="AD275" s="181">
        <v>-1.6837569872004243E-3</v>
      </c>
      <c r="AE275" s="181">
        <v>8.8944095114040778E-3</v>
      </c>
      <c r="AF275" s="180">
        <v>103.0005241818815</v>
      </c>
      <c r="AG275" s="181">
        <v>-6.626623106405871E-4</v>
      </c>
      <c r="AH275" s="181">
        <v>3.4903355575819361E-3</v>
      </c>
      <c r="AI275" s="180">
        <v>100.83258957771598</v>
      </c>
      <c r="AJ275" s="181">
        <v>-4.8454431098742881E-3</v>
      </c>
      <c r="AK275" s="185">
        <v>-2.3796686253843902E-2</v>
      </c>
    </row>
    <row r="276" spans="1:37" s="184" customFormat="1" ht="15.75" customHeight="1">
      <c r="A276" s="179">
        <v>43252</v>
      </c>
      <c r="B276" s="180">
        <v>135.54989994861575</v>
      </c>
      <c r="C276" s="181">
        <v>-7.9032907366761269E-4</v>
      </c>
      <c r="D276" s="181">
        <v>2.0413835146038117E-3</v>
      </c>
      <c r="E276" s="180">
        <v>148.86420137211502</v>
      </c>
      <c r="F276" s="181">
        <v>-5.6756546659353681E-3</v>
      </c>
      <c r="G276" s="181">
        <v>-3.6801860584543267E-3</v>
      </c>
      <c r="H276" s="180">
        <v>130.21236138028303</v>
      </c>
      <c r="I276" s="181">
        <v>-4.362391076943797E-3</v>
      </c>
      <c r="J276" s="181">
        <v>2.4975776516878101E-2</v>
      </c>
      <c r="K276" s="180">
        <v>124.65472766202855</v>
      </c>
      <c r="L276" s="181">
        <v>-3.6270633388597218E-3</v>
      </c>
      <c r="M276" s="181">
        <v>2.6425556645406356E-3</v>
      </c>
      <c r="N276" s="180">
        <v>144.22166886397898</v>
      </c>
      <c r="O276" s="181">
        <v>2.1297161824900045E-4</v>
      </c>
      <c r="P276" s="181">
        <v>1.6468732778052164E-3</v>
      </c>
      <c r="Q276" s="180">
        <v>124.93314868936969</v>
      </c>
      <c r="R276" s="181">
        <v>-1.6328345153143863E-3</v>
      </c>
      <c r="S276" s="181">
        <v>2.8909358476130187E-2</v>
      </c>
      <c r="T276" s="180">
        <v>113.27161288277746</v>
      </c>
      <c r="U276" s="181">
        <v>-5.0123403524127506E-3</v>
      </c>
      <c r="V276" s="181">
        <v>1.4557298732655877E-3</v>
      </c>
      <c r="W276" s="180">
        <v>107.19366223030362</v>
      </c>
      <c r="X276" s="181">
        <v>-2.4379261113000707E-3</v>
      </c>
      <c r="Y276" s="181">
        <v>-3.3982566544648041E-3</v>
      </c>
      <c r="Z276" s="180">
        <v>107.68579110480137</v>
      </c>
      <c r="AA276" s="181">
        <v>-8.0008114117574472E-4</v>
      </c>
      <c r="AB276" s="181">
        <v>1.765820910631466E-2</v>
      </c>
      <c r="AC276" s="180">
        <v>108.26608625911415</v>
      </c>
      <c r="AD276" s="181">
        <v>6.4954332670719038E-3</v>
      </c>
      <c r="AE276" s="181">
        <v>6.0852170490337532E-3</v>
      </c>
      <c r="AF276" s="180">
        <v>102.65786965112612</v>
      </c>
      <c r="AG276" s="181">
        <v>-3.3267260868527848E-3</v>
      </c>
      <c r="AH276" s="181">
        <v>-9.0138767027875266E-3</v>
      </c>
      <c r="AI276" s="180">
        <v>100.62242518840218</v>
      </c>
      <c r="AJ276" s="181">
        <v>-2.0842903092538599E-3</v>
      </c>
      <c r="AK276" s="185">
        <v>-2.112247920146415E-2</v>
      </c>
    </row>
    <row r="277" spans="1:37" s="184" customFormat="1" ht="15.75" customHeight="1">
      <c r="A277" s="179">
        <v>43282</v>
      </c>
      <c r="B277" s="180">
        <v>135.21047055005388</v>
      </c>
      <c r="C277" s="181">
        <v>-2.5040918413848966E-3</v>
      </c>
      <c r="D277" s="181">
        <v>-1.7965746953871875E-3</v>
      </c>
      <c r="E277" s="180">
        <v>148.70492590734992</v>
      </c>
      <c r="F277" s="181">
        <v>-1.0699379924590513E-3</v>
      </c>
      <c r="G277" s="181">
        <v>-7.5332297911810953E-3</v>
      </c>
      <c r="H277" s="180">
        <v>129.81812409940201</v>
      </c>
      <c r="I277" s="181">
        <v>-3.0276486556423477E-3</v>
      </c>
      <c r="J277" s="181">
        <v>1.9244169772290043E-2</v>
      </c>
      <c r="K277" s="180">
        <v>124.14780257992732</v>
      </c>
      <c r="L277" s="181">
        <v>-4.066633425052613E-3</v>
      </c>
      <c r="M277" s="181">
        <v>-5.0406514890942722E-3</v>
      </c>
      <c r="N277" s="180">
        <v>143.93808291154215</v>
      </c>
      <c r="O277" s="181">
        <v>-1.966320003579354E-3</v>
      </c>
      <c r="P277" s="181">
        <v>-7.3145401249998798E-3</v>
      </c>
      <c r="Q277" s="180">
        <v>124.68019323921776</v>
      </c>
      <c r="R277" s="181">
        <v>-2.0247264461480952E-3</v>
      </c>
      <c r="S277" s="181">
        <v>2.1150671450339997E-2</v>
      </c>
      <c r="T277" s="180">
        <v>112.6794409151926</v>
      </c>
      <c r="U277" s="181">
        <v>-5.2278938430733602E-3</v>
      </c>
      <c r="V277" s="181">
        <v>-1.4025010141256233E-2</v>
      </c>
      <c r="W277" s="180">
        <v>106.78854730923625</v>
      </c>
      <c r="X277" s="181">
        <v>-3.7792805343004865E-3</v>
      </c>
      <c r="Y277" s="181">
        <v>-7.3143921119012134E-3</v>
      </c>
      <c r="Z277" s="180">
        <v>106.96691019106625</v>
      </c>
      <c r="AA277" s="181">
        <v>-6.6757267264303559E-3</v>
      </c>
      <c r="AB277" s="181">
        <v>1.0822912580258137E-2</v>
      </c>
      <c r="AC277" s="180">
        <v>107.13218998964918</v>
      </c>
      <c r="AD277" s="181">
        <v>-1.0473235974848149E-2</v>
      </c>
      <c r="AE277" s="181">
        <v>-5.9270664142008211E-3</v>
      </c>
      <c r="AF277" s="180">
        <v>101.90201560826843</v>
      </c>
      <c r="AG277" s="181">
        <v>-7.3628455901763165E-3</v>
      </c>
      <c r="AH277" s="181">
        <v>-1.1769307252051719E-2</v>
      </c>
      <c r="AI277" s="180">
        <v>100.56596927397393</v>
      </c>
      <c r="AJ277" s="181">
        <v>-5.61066922433413E-4</v>
      </c>
      <c r="AK277" s="185">
        <v>-2.2759806619874645E-2</v>
      </c>
    </row>
    <row r="278" spans="1:37" s="184" customFormat="1" ht="15.75" customHeight="1">
      <c r="A278" s="179">
        <v>43313</v>
      </c>
      <c r="B278" s="180">
        <v>134.7904260263401</v>
      </c>
      <c r="C278" s="181">
        <v>-3.1065976030183306E-3</v>
      </c>
      <c r="D278" s="181">
        <v>-4.1399991729162977E-3</v>
      </c>
      <c r="E278" s="180">
        <v>147.95396662925259</v>
      </c>
      <c r="F278" s="181">
        <v>-5.0499959803968555E-3</v>
      </c>
      <c r="G278" s="181">
        <v>-1.6400066281764492E-2</v>
      </c>
      <c r="H278" s="180">
        <v>129.03113185289837</v>
      </c>
      <c r="I278" s="181">
        <v>-6.0622678995195176E-3</v>
      </c>
      <c r="J278" s="181">
        <v>1.1496107421378188E-2</v>
      </c>
      <c r="K278" s="180">
        <v>124.18395694298245</v>
      </c>
      <c r="L278" s="181">
        <v>2.9122032209839778E-4</v>
      </c>
      <c r="M278" s="181">
        <v>-5.035223769224495E-3</v>
      </c>
      <c r="N278" s="180">
        <v>144.1398176132723</v>
      </c>
      <c r="O278" s="181">
        <v>1.4015380617102568E-3</v>
      </c>
      <c r="P278" s="181">
        <v>-9.463325358022856E-3</v>
      </c>
      <c r="Q278" s="180">
        <v>124.34546985115838</v>
      </c>
      <c r="R278" s="181">
        <v>-2.6846556727510638E-3</v>
      </c>
      <c r="S278" s="181">
        <v>1.9687675855483588E-2</v>
      </c>
      <c r="T278" s="180">
        <v>111.55451200115766</v>
      </c>
      <c r="U278" s="181">
        <v>-9.9834442281409828E-3</v>
      </c>
      <c r="V278" s="181">
        <v>-3.1655270044742223E-2</v>
      </c>
      <c r="W278" s="180">
        <v>106.52567219016575</v>
      </c>
      <c r="X278" s="181">
        <v>-2.4616414933454778E-3</v>
      </c>
      <c r="Y278" s="181">
        <v>-1.2565348399329657E-2</v>
      </c>
      <c r="Z278" s="180">
        <v>106.88933046432</v>
      </c>
      <c r="AA278" s="181">
        <v>-7.2526846487082298E-4</v>
      </c>
      <c r="AB278" s="181">
        <v>-1.9562383001375805E-3</v>
      </c>
      <c r="AC278" s="180">
        <v>107.51519747202256</v>
      </c>
      <c r="AD278" s="181">
        <v>3.5750924387002226E-3</v>
      </c>
      <c r="AE278" s="181">
        <v>3.3448199667418521E-4</v>
      </c>
      <c r="AF278" s="180">
        <v>101.67660446241482</v>
      </c>
      <c r="AG278" s="181">
        <v>-2.2120381477058236E-3</v>
      </c>
      <c r="AH278" s="181">
        <v>-1.5545288057444928E-2</v>
      </c>
      <c r="AI278" s="180">
        <v>100.00235492688113</v>
      </c>
      <c r="AJ278" s="181">
        <v>-5.6044241522431107E-3</v>
      </c>
      <c r="AK278" s="185">
        <v>-2.9551987058695661E-2</v>
      </c>
    </row>
    <row r="279" spans="1:37" s="184" customFormat="1" ht="15.75" customHeight="1">
      <c r="A279" s="179">
        <v>43344</v>
      </c>
      <c r="B279" s="180">
        <v>134.51008777002357</v>
      </c>
      <c r="C279" s="181">
        <v>-2.0798083705272606E-3</v>
      </c>
      <c r="D279" s="181">
        <v>-8.468768329332077E-3</v>
      </c>
      <c r="E279" s="180">
        <v>147.72011911769391</v>
      </c>
      <c r="F279" s="181">
        <v>-1.5805423598048839E-3</v>
      </c>
      <c r="G279" s="181">
        <v>-1.7965157298872714E-2</v>
      </c>
      <c r="H279" s="180">
        <v>128.28684661659341</v>
      </c>
      <c r="I279" s="181">
        <v>-5.768260927552591E-3</v>
      </c>
      <c r="J279" s="181">
        <v>3.9417431623598453E-3</v>
      </c>
      <c r="K279" s="180">
        <v>123.91086452964177</v>
      </c>
      <c r="L279" s="181">
        <v>-2.1990957613476246E-3</v>
      </c>
      <c r="M279" s="181">
        <v>-7.9067167800961347E-3</v>
      </c>
      <c r="N279" s="180">
        <v>142.52600493550872</v>
      </c>
      <c r="O279" s="181">
        <v>-1.1196161508220117E-2</v>
      </c>
      <c r="P279" s="181">
        <v>-2.3482186236653768E-2</v>
      </c>
      <c r="Q279" s="180">
        <v>125.13887208297434</v>
      </c>
      <c r="R279" s="181">
        <v>6.3806283635878171E-3</v>
      </c>
      <c r="S279" s="181">
        <v>2.3923316107216763E-2</v>
      </c>
      <c r="T279" s="180">
        <v>110.58960816445699</v>
      </c>
      <c r="U279" s="181">
        <v>-8.6496172982286641E-3</v>
      </c>
      <c r="V279" s="181">
        <v>-4.4026026315849287E-2</v>
      </c>
      <c r="W279" s="180">
        <v>106.22414278741343</v>
      </c>
      <c r="X279" s="181">
        <v>-2.8305796767378812E-3</v>
      </c>
      <c r="Y279" s="181">
        <v>-1.6923080596863538E-2</v>
      </c>
      <c r="Z279" s="180">
        <v>105.81845393139378</v>
      </c>
      <c r="AA279" s="181">
        <v>-1.0018554034106071E-2</v>
      </c>
      <c r="AB279" s="181">
        <v>-1.5828001241095957E-2</v>
      </c>
      <c r="AC279" s="180">
        <v>107.35582545889653</v>
      </c>
      <c r="AD279" s="181">
        <v>-1.4823207962530605E-3</v>
      </c>
      <c r="AE279" s="181">
        <v>1.8928720131348165E-3</v>
      </c>
      <c r="AF279" s="180">
        <v>101.17105063035541</v>
      </c>
      <c r="AG279" s="181">
        <v>-4.9721746190519566E-3</v>
      </c>
      <c r="AH279" s="181">
        <v>-2.3428685543147587E-2</v>
      </c>
      <c r="AI279" s="180">
        <v>99.94083546055208</v>
      </c>
      <c r="AJ279" s="181">
        <v>-6.1518017624717202E-4</v>
      </c>
      <c r="AK279" s="185">
        <v>-2.623552229825421E-2</v>
      </c>
    </row>
    <row r="280" spans="1:37" s="184" customFormat="1" ht="15.75" customHeight="1">
      <c r="A280" s="179">
        <v>43374</v>
      </c>
      <c r="B280" s="180">
        <v>133.99670762623069</v>
      </c>
      <c r="C280" s="181">
        <v>-3.8166664843057394E-3</v>
      </c>
      <c r="D280" s="181">
        <v>-1.6689264237238155E-2</v>
      </c>
      <c r="E280" s="180">
        <v>147.41518709413359</v>
      </c>
      <c r="F280" s="181">
        <v>-2.064255196798084E-3</v>
      </c>
      <c r="G280" s="181">
        <v>-2.673971681930154E-2</v>
      </c>
      <c r="H280" s="180">
        <v>128.16074757394426</v>
      </c>
      <c r="I280" s="181">
        <v>-9.8294599933558048E-4</v>
      </c>
      <c r="J280" s="181">
        <v>-2.2284540999515379E-3</v>
      </c>
      <c r="K280" s="180">
        <v>123.47835618910671</v>
      </c>
      <c r="L280" s="181">
        <v>-3.4904795651038213E-3</v>
      </c>
      <c r="M280" s="181">
        <v>-1.1063473238257737E-2</v>
      </c>
      <c r="N280" s="180">
        <v>142.70955898789094</v>
      </c>
      <c r="O280" s="181">
        <v>1.2878635899833623E-3</v>
      </c>
      <c r="P280" s="181">
        <v>-2.7510560651251459E-2</v>
      </c>
      <c r="Q280" s="180">
        <v>124.49055138458156</v>
      </c>
      <c r="R280" s="181">
        <v>-5.1808098283233784E-3</v>
      </c>
      <c r="S280" s="181">
        <v>1.1527492051370158E-2</v>
      </c>
      <c r="T280" s="180">
        <v>111.12935265204266</v>
      </c>
      <c r="U280" s="181">
        <v>4.8806076497081123E-3</v>
      </c>
      <c r="V280" s="181">
        <v>-4.4071428264964352E-2</v>
      </c>
      <c r="W280" s="180">
        <v>105.86527391403524</v>
      </c>
      <c r="X280" s="181">
        <v>-3.3784115735005739E-3</v>
      </c>
      <c r="Y280" s="181">
        <v>-2.0131972289315847E-2</v>
      </c>
      <c r="Z280" s="180">
        <v>105.86286891060831</v>
      </c>
      <c r="AA280" s="181">
        <v>4.1972810567921794E-4</v>
      </c>
      <c r="AB280" s="181">
        <v>-1.5056406599410321E-2</v>
      </c>
      <c r="AC280" s="180">
        <v>107.50843723830297</v>
      </c>
      <c r="AD280" s="181">
        <v>1.421550984812292E-3</v>
      </c>
      <c r="AE280" s="181">
        <v>4.9392137893309318E-3</v>
      </c>
      <c r="AF280" s="180">
        <v>101.57962093982407</v>
      </c>
      <c r="AG280" s="181">
        <v>4.0384112542375351E-3</v>
      </c>
      <c r="AH280" s="181">
        <v>-2.2038014114574511E-2</v>
      </c>
      <c r="AI280" s="180">
        <v>100.31471103834957</v>
      </c>
      <c r="AJ280" s="181">
        <v>3.7409691051169293E-3</v>
      </c>
      <c r="AK280" s="185">
        <v>-2.522983192209316E-2</v>
      </c>
    </row>
    <row r="281" spans="1:37" s="184" customFormat="1" ht="15.75" customHeight="1">
      <c r="A281" s="179">
        <v>43405</v>
      </c>
      <c r="B281" s="180">
        <v>133.78393046845656</v>
      </c>
      <c r="C281" s="181">
        <v>-1.5879282524436267E-3</v>
      </c>
      <c r="D281" s="181">
        <v>-2.0051136201182373E-2</v>
      </c>
      <c r="E281" s="180">
        <v>146.97321609448426</v>
      </c>
      <c r="F281" s="181">
        <v>-2.9981374942536121E-3</v>
      </c>
      <c r="G281" s="181">
        <v>-3.5933055583468598E-2</v>
      </c>
      <c r="H281" s="180">
        <v>128.23739297413277</v>
      </c>
      <c r="I281" s="181">
        <v>5.9804114472956189E-4</v>
      </c>
      <c r="J281" s="181">
        <v>-1.0610793946553287E-2</v>
      </c>
      <c r="K281" s="180">
        <v>123.89093015236298</v>
      </c>
      <c r="L281" s="181">
        <v>3.3412654329833648E-3</v>
      </c>
      <c r="M281" s="181">
        <v>-1.4930464190479387E-2</v>
      </c>
      <c r="N281" s="180">
        <v>142.39961714351938</v>
      </c>
      <c r="O281" s="181">
        <v>-2.1718366069497165E-3</v>
      </c>
      <c r="P281" s="181">
        <v>-2.5739364057044911E-2</v>
      </c>
      <c r="Q281" s="180">
        <v>124.88810803612613</v>
      </c>
      <c r="R281" s="181">
        <v>3.193468477108934E-3</v>
      </c>
      <c r="S281" s="181">
        <v>4.7759366861113151E-3</v>
      </c>
      <c r="T281" s="180">
        <v>111.01470444262627</v>
      </c>
      <c r="U281" s="181">
        <v>-1.0316645123936241E-3</v>
      </c>
      <c r="V281" s="181">
        <v>-4.212907977895175E-2</v>
      </c>
      <c r="W281" s="180">
        <v>106.18791084785859</v>
      </c>
      <c r="X281" s="181">
        <v>3.0476181838940651E-3</v>
      </c>
      <c r="Y281" s="181">
        <v>-2.291582676860604E-2</v>
      </c>
      <c r="Z281" s="180">
        <v>105.16055984496924</v>
      </c>
      <c r="AA281" s="181">
        <v>-6.6341397400830537E-3</v>
      </c>
      <c r="AB281" s="181">
        <v>-2.1860390018830222E-2</v>
      </c>
      <c r="AC281" s="180">
        <v>107.58234085654935</v>
      </c>
      <c r="AD281" s="181">
        <v>6.8742156564471023E-4</v>
      </c>
      <c r="AE281" s="181">
        <v>2.6337291792317696E-3</v>
      </c>
      <c r="AF281" s="180">
        <v>101.75802102168359</v>
      </c>
      <c r="AG281" s="181">
        <v>1.7562585901478168E-3</v>
      </c>
      <c r="AH281" s="181">
        <v>-2.1160250453119644E-2</v>
      </c>
      <c r="AI281" s="180">
        <v>101.4327260845638</v>
      </c>
      <c r="AJ281" s="181">
        <v>1.1145075678748792E-2</v>
      </c>
      <c r="AK281" s="185">
        <v>-1.3918700364296988E-2</v>
      </c>
    </row>
    <row r="282" spans="1:37" s="184" customFormat="1" ht="15.75" customHeight="1">
      <c r="A282" s="179">
        <v>43435</v>
      </c>
      <c r="B282" s="180">
        <v>132.85481803949284</v>
      </c>
      <c r="C282" s="181">
        <v>-6.9448731675796436E-3</v>
      </c>
      <c r="D282" s="181">
        <v>-2.4935244631429043E-2</v>
      </c>
      <c r="E282" s="180">
        <v>145.44838841138272</v>
      </c>
      <c r="F282" s="181">
        <v>-1.0374867772651022E-2</v>
      </c>
      <c r="G282" s="181">
        <v>-4.0933737948344318E-2</v>
      </c>
      <c r="H282" s="180">
        <v>128.46916469353184</v>
      </c>
      <c r="I282" s="181">
        <v>1.8073645605522115E-3</v>
      </c>
      <c r="J282" s="181">
        <v>-9.304263935624002E-3</v>
      </c>
      <c r="K282" s="180">
        <v>123.88480642632817</v>
      </c>
      <c r="L282" s="181">
        <v>-4.9428364346595363E-5</v>
      </c>
      <c r="M282" s="181">
        <v>-2.2184412485587335E-2</v>
      </c>
      <c r="N282" s="180">
        <v>142.81116574493328</v>
      </c>
      <c r="O282" s="181">
        <v>2.8900962633845763E-3</v>
      </c>
      <c r="P282" s="181">
        <v>-1.9635663329133579E-2</v>
      </c>
      <c r="Q282" s="180">
        <v>125.10246616872671</v>
      </c>
      <c r="R282" s="181">
        <v>1.7164014730574495E-3</v>
      </c>
      <c r="S282" s="181">
        <v>-5.4534656662741376E-4</v>
      </c>
      <c r="T282" s="180">
        <v>108.19520329249944</v>
      </c>
      <c r="U282" s="181">
        <v>-2.5397546787002262E-2</v>
      </c>
      <c r="V282" s="181">
        <v>-2.8176009506585165E-2</v>
      </c>
      <c r="W282" s="180">
        <v>104.97643507174439</v>
      </c>
      <c r="X282" s="181">
        <v>-1.1408791890161038E-2</v>
      </c>
      <c r="Y282" s="181">
        <v>-2.9184740359703421E-2</v>
      </c>
      <c r="Z282" s="180">
        <v>104.13438488092109</v>
      </c>
      <c r="AA282" s="181">
        <v>-9.758173269151231E-3</v>
      </c>
      <c r="AB282" s="181">
        <v>-2.1767451295330975E-2</v>
      </c>
      <c r="AC282" s="180">
        <v>106.22075390558244</v>
      </c>
      <c r="AD282" s="181">
        <v>-1.2656230940191655E-2</v>
      </c>
      <c r="AE282" s="181">
        <v>1.0634408525422856E-4</v>
      </c>
      <c r="AF282" s="180">
        <v>101.69696765434507</v>
      </c>
      <c r="AG282" s="181">
        <v>-5.9998579694766187E-4</v>
      </c>
      <c r="AH282" s="181">
        <v>-1.6618428770450611E-2</v>
      </c>
      <c r="AI282" s="180">
        <v>102.93708774060561</v>
      </c>
      <c r="AJ282" s="181">
        <v>1.4831127133343874E-2</v>
      </c>
      <c r="AK282" s="185">
        <v>-4.2991042269175939E-3</v>
      </c>
    </row>
    <row r="283" spans="1:37" s="184" customFormat="1" ht="15.75" customHeight="1">
      <c r="A283" s="179">
        <v>43466</v>
      </c>
      <c r="B283" s="180">
        <v>132.98253939686316</v>
      </c>
      <c r="C283" s="181">
        <v>9.6136037258616415E-4</v>
      </c>
      <c r="D283" s="181">
        <v>-2.4427760510495333E-2</v>
      </c>
      <c r="E283" s="180">
        <v>145.99260906908967</v>
      </c>
      <c r="F283" s="181">
        <v>3.7416754056270075E-3</v>
      </c>
      <c r="G283" s="181">
        <v>-3.9878184175054621E-2</v>
      </c>
      <c r="H283" s="180">
        <v>128.16781515755827</v>
      </c>
      <c r="I283" s="181">
        <v>-2.3456954569017461E-3</v>
      </c>
      <c r="J283" s="181">
        <v>-1.6066083561172895E-2</v>
      </c>
      <c r="K283" s="180">
        <v>124.16888676444046</v>
      </c>
      <c r="L283" s="181">
        <v>2.2931007143416116E-3</v>
      </c>
      <c r="M283" s="181">
        <v>-1.7115340729752404E-2</v>
      </c>
      <c r="N283" s="180">
        <v>142.59173885063132</v>
      </c>
      <c r="O283" s="181">
        <v>-1.5364827613961129E-3</v>
      </c>
      <c r="P283" s="181">
        <v>-1.7148760660650408E-2</v>
      </c>
      <c r="Q283" s="180">
        <v>125.9752124246629</v>
      </c>
      <c r="R283" s="181">
        <v>6.9762514094575791E-3</v>
      </c>
      <c r="S283" s="181">
        <v>5.9766870124269289E-3</v>
      </c>
      <c r="T283" s="180">
        <v>108.63070671041572</v>
      </c>
      <c r="U283" s="181">
        <v>4.0251638211623361E-3</v>
      </c>
      <c r="V283" s="181">
        <v>-4.0806668946447466E-2</v>
      </c>
      <c r="W283" s="180">
        <v>104.65527304035056</v>
      </c>
      <c r="X283" s="181">
        <v>-3.059372621811125E-3</v>
      </c>
      <c r="Y283" s="181">
        <v>-3.8210769673189149E-2</v>
      </c>
      <c r="Z283" s="180">
        <v>104.50150816368536</v>
      </c>
      <c r="AA283" s="181">
        <v>3.5254760777054407E-3</v>
      </c>
      <c r="AB283" s="181">
        <v>-2.0444969307236716E-2</v>
      </c>
      <c r="AC283" s="180">
        <v>106.37496157870021</v>
      </c>
      <c r="AD283" s="181">
        <v>1.4517659444861853E-3</v>
      </c>
      <c r="AE283" s="181">
        <v>-1.9458283978714963E-3</v>
      </c>
      <c r="AF283" s="180">
        <v>102.51648483564345</v>
      </c>
      <c r="AG283" s="181">
        <v>8.058422981536837E-3</v>
      </c>
      <c r="AH283" s="181">
        <v>-1.5055040142942788E-2</v>
      </c>
      <c r="AI283" s="180">
        <v>105.50610292105861</v>
      </c>
      <c r="AJ283" s="181">
        <v>2.4957138742128994E-2</v>
      </c>
      <c r="AK283" s="185">
        <v>8.0558399564329974E-3</v>
      </c>
    </row>
    <row r="284" spans="1:37" s="184" customFormat="1" ht="15.75" customHeight="1">
      <c r="A284" s="179">
        <v>43497</v>
      </c>
      <c r="B284" s="180">
        <v>132.4866532574722</v>
      </c>
      <c r="C284" s="181">
        <v>-3.7289567610908026E-3</v>
      </c>
      <c r="D284" s="181">
        <v>-2.8018103808927108E-2</v>
      </c>
      <c r="E284" s="180">
        <v>147.12316393314546</v>
      </c>
      <c r="F284" s="181">
        <v>7.7439184850841645E-3</v>
      </c>
      <c r="G284" s="181">
        <v>-2.6636488611440745E-2</v>
      </c>
      <c r="H284" s="180">
        <v>128.03223149046582</v>
      </c>
      <c r="I284" s="181">
        <v>-1.0578604849100248E-3</v>
      </c>
      <c r="J284" s="181">
        <v>-1.8471879662093404E-2</v>
      </c>
      <c r="K284" s="180">
        <v>125.24698518998224</v>
      </c>
      <c r="L284" s="181">
        <v>8.682516640316178E-3</v>
      </c>
      <c r="M284" s="181">
        <v>-9.6762356754207524E-3</v>
      </c>
      <c r="N284" s="180">
        <v>142.8019867502839</v>
      </c>
      <c r="O284" s="181">
        <v>1.4744746178657541E-3</v>
      </c>
      <c r="P284" s="181">
        <v>-1.1386820467583658E-2</v>
      </c>
      <c r="Q284" s="180">
        <v>126.03463581291616</v>
      </c>
      <c r="R284" s="181">
        <v>4.7170698988744151E-4</v>
      </c>
      <c r="S284" s="181">
        <v>1.3119098756663616E-2</v>
      </c>
      <c r="T284" s="180">
        <v>108.68764512073199</v>
      </c>
      <c r="U284" s="181">
        <v>5.2414655156431513E-4</v>
      </c>
      <c r="V284" s="181">
        <v>-4.0356559153427396E-2</v>
      </c>
      <c r="W284" s="180">
        <v>105.26476706801138</v>
      </c>
      <c r="X284" s="181">
        <v>5.8238253071664151E-3</v>
      </c>
      <c r="Y284" s="181">
        <v>-2.9322897316132246E-2</v>
      </c>
      <c r="Z284" s="180">
        <v>104.286639187828</v>
      </c>
      <c r="AA284" s="181">
        <v>-2.0561327739002876E-3</v>
      </c>
      <c r="AB284" s="181">
        <v>-2.1820492778156786E-2</v>
      </c>
      <c r="AC284" s="180">
        <v>106.60501277040426</v>
      </c>
      <c r="AD284" s="181">
        <v>2.1626441813927277E-3</v>
      </c>
      <c r="AE284" s="181">
        <v>-3.0405172919443224E-3</v>
      </c>
      <c r="AF284" s="180">
        <v>101.90983853066054</v>
      </c>
      <c r="AG284" s="181">
        <v>-5.9175488308588079E-3</v>
      </c>
      <c r="AH284" s="181">
        <v>-2.1450263349208187E-2</v>
      </c>
      <c r="AI284" s="180">
        <v>104.91469153376755</v>
      </c>
      <c r="AJ284" s="181">
        <v>-5.6054708772019209E-3</v>
      </c>
      <c r="AK284" s="185">
        <v>1.1966138772553814E-2</v>
      </c>
    </row>
    <row r="285" spans="1:37" s="184" customFormat="1" ht="15.75" customHeight="1">
      <c r="A285" s="179">
        <v>43525</v>
      </c>
      <c r="B285" s="180">
        <v>132.36434817484152</v>
      </c>
      <c r="C285" s="181">
        <v>-9.2315021644478806E-4</v>
      </c>
      <c r="D285" s="181">
        <v>-2.7102158501053131E-2</v>
      </c>
      <c r="E285" s="180">
        <v>147.17387681936248</v>
      </c>
      <c r="F285" s="181">
        <v>3.4469681633588769E-4</v>
      </c>
      <c r="G285" s="181">
        <v>-2.3805185003823892E-2</v>
      </c>
      <c r="H285" s="180">
        <v>127.72801675765929</v>
      </c>
      <c r="I285" s="181">
        <v>-2.3760792830450671E-3</v>
      </c>
      <c r="J285" s="181">
        <v>-2.4742651580293318E-2</v>
      </c>
      <c r="K285" s="180">
        <v>126.28884783133115</v>
      </c>
      <c r="L285" s="181">
        <v>8.318464829860539E-3</v>
      </c>
      <c r="M285" s="181">
        <v>-4.2756161808616966E-3</v>
      </c>
      <c r="N285" s="180">
        <v>142.81348277021081</v>
      </c>
      <c r="O285" s="181">
        <v>8.0503221198306997E-5</v>
      </c>
      <c r="P285" s="181">
        <v>-7.9942483372072992E-3</v>
      </c>
      <c r="Q285" s="180">
        <v>125.23310087381118</v>
      </c>
      <c r="R285" s="181">
        <v>-6.3596402206038327E-3</v>
      </c>
      <c r="S285" s="181">
        <v>8.5483458054644856E-3</v>
      </c>
      <c r="T285" s="180">
        <v>107.76252972226251</v>
      </c>
      <c r="U285" s="181">
        <v>-8.5116886785231681E-3</v>
      </c>
      <c r="V285" s="181">
        <v>-4.9306348893295882E-2</v>
      </c>
      <c r="W285" s="180">
        <v>105.82239820196089</v>
      </c>
      <c r="X285" s="181">
        <v>5.2974147901664768E-3</v>
      </c>
      <c r="Y285" s="181">
        <v>-1.7334020023983987E-2</v>
      </c>
      <c r="Z285" s="180">
        <v>104.56719660112817</v>
      </c>
      <c r="AA285" s="181">
        <v>2.6902527062441406E-3</v>
      </c>
      <c r="AB285" s="181">
        <v>-2.9852657550832662E-2</v>
      </c>
      <c r="AC285" s="180">
        <v>106.91664425501878</v>
      </c>
      <c r="AD285" s="181">
        <v>2.9232348134105514E-3</v>
      </c>
      <c r="AE285" s="181">
        <v>-1.601500849779891E-2</v>
      </c>
      <c r="AF285" s="180">
        <v>100.70276808086635</v>
      </c>
      <c r="AG285" s="181">
        <v>-1.1844493791745507E-2</v>
      </c>
      <c r="AH285" s="181">
        <v>-3.0225592819981717E-2</v>
      </c>
      <c r="AI285" s="180">
        <v>103.6046651361047</v>
      </c>
      <c r="AJ285" s="181">
        <v>-1.2486586754546232E-2</v>
      </c>
      <c r="AK285" s="185">
        <v>1.5948233374108334E-2</v>
      </c>
    </row>
    <row r="286" spans="1:37" s="184" customFormat="1" ht="15.75" customHeight="1">
      <c r="A286" s="179">
        <v>43556</v>
      </c>
      <c r="B286" s="180">
        <v>131.84951994751523</v>
      </c>
      <c r="C286" s="181">
        <v>-3.8894780537600624E-3</v>
      </c>
      <c r="D286" s="181">
        <v>-2.9458528953339003E-2</v>
      </c>
      <c r="E286" s="180">
        <v>146.27731699779773</v>
      </c>
      <c r="F286" s="181">
        <v>-6.0918407596557891E-3</v>
      </c>
      <c r="G286" s="181">
        <v>-2.5629082083721832E-2</v>
      </c>
      <c r="H286" s="180">
        <v>126.9522711479209</v>
      </c>
      <c r="I286" s="181">
        <v>-6.0734177937659273E-3</v>
      </c>
      <c r="J286" s="181">
        <v>-2.920434285842155E-2</v>
      </c>
      <c r="K286" s="180">
        <v>125.00275361946842</v>
      </c>
      <c r="L286" s="181">
        <v>-1.0183751249203055E-2</v>
      </c>
      <c r="M286" s="181">
        <v>-4.4463581927478568E-3</v>
      </c>
      <c r="N286" s="180">
        <v>143.28686386856262</v>
      </c>
      <c r="O286" s="181">
        <v>3.314680723202239E-3</v>
      </c>
      <c r="P286" s="181">
        <v>-8.0188209768756735E-3</v>
      </c>
      <c r="Q286" s="180">
        <v>124.97215025778314</v>
      </c>
      <c r="R286" s="181">
        <v>-2.0837191941049161E-3</v>
      </c>
      <c r="S286" s="181">
        <v>-1.3136399201714166E-3</v>
      </c>
      <c r="T286" s="180">
        <v>107.56760580033772</v>
      </c>
      <c r="U286" s="181">
        <v>-1.8088283787247028E-3</v>
      </c>
      <c r="V286" s="181">
        <v>-4.9286130718676713E-2</v>
      </c>
      <c r="W286" s="180">
        <v>104.61242697562153</v>
      </c>
      <c r="X286" s="181">
        <v>-1.1433980394492197E-2</v>
      </c>
      <c r="Y286" s="181">
        <v>-3.0415159794487612E-2</v>
      </c>
      <c r="Z286" s="180">
        <v>104.20781035334859</v>
      </c>
      <c r="AA286" s="181">
        <v>-3.4368928254857514E-3</v>
      </c>
      <c r="AB286" s="181">
        <v>-3.3245792849092459E-2</v>
      </c>
      <c r="AC286" s="180">
        <v>107.12931116623261</v>
      </c>
      <c r="AD286" s="181">
        <v>1.9890907790425815E-3</v>
      </c>
      <c r="AE286" s="181">
        <v>-5.7494936174986577E-3</v>
      </c>
      <c r="AF286" s="180">
        <v>100.63526561467903</v>
      </c>
      <c r="AG286" s="181">
        <v>-6.7031390967439816E-4</v>
      </c>
      <c r="AH286" s="181">
        <v>-2.3611003770740324E-2</v>
      </c>
      <c r="AI286" s="180">
        <v>102.79108006002278</v>
      </c>
      <c r="AJ286" s="181">
        <v>-7.8527841870162512E-3</v>
      </c>
      <c r="AK286" s="185">
        <v>1.4483632303698979E-2</v>
      </c>
    </row>
    <row r="287" spans="1:37" s="184" customFormat="1" ht="15.75" customHeight="1">
      <c r="A287" s="179">
        <v>43586</v>
      </c>
      <c r="B287" s="180">
        <v>131.34220374062076</v>
      </c>
      <c r="C287" s="181">
        <v>-3.8476909669174896E-3</v>
      </c>
      <c r="D287" s="181">
        <v>-3.1807472907358636E-2</v>
      </c>
      <c r="E287" s="180">
        <v>145.49109056735324</v>
      </c>
      <c r="F287" s="181">
        <v>-5.374903276741996E-3</v>
      </c>
      <c r="G287" s="181">
        <v>-2.8206029072742056E-2</v>
      </c>
      <c r="H287" s="180">
        <v>127.21007105531928</v>
      </c>
      <c r="I287" s="181">
        <v>2.0306836976392573E-3</v>
      </c>
      <c r="J287" s="181">
        <v>-2.7318684386991809E-2</v>
      </c>
      <c r="K287" s="180">
        <v>124.06591440735643</v>
      </c>
      <c r="L287" s="181">
        <v>-7.4945485998164528E-3</v>
      </c>
      <c r="M287" s="181">
        <v>-8.3334840475335348E-3</v>
      </c>
      <c r="N287" s="180">
        <v>143.90339699976141</v>
      </c>
      <c r="O287" s="181">
        <v>4.3027889267248385E-3</v>
      </c>
      <c r="P287" s="181">
        <v>-1.9943225394114528E-3</v>
      </c>
      <c r="Q287" s="180">
        <v>124.91962830329506</v>
      </c>
      <c r="R287" s="181">
        <v>-4.2026927103154809E-4</v>
      </c>
      <c r="S287" s="181">
        <v>-1.7408787746898691E-3</v>
      </c>
      <c r="T287" s="180">
        <v>108.67091787997241</v>
      </c>
      <c r="U287" s="181">
        <v>1.0256917697718535E-2</v>
      </c>
      <c r="V287" s="181">
        <v>-4.5425243789487091E-2</v>
      </c>
      <c r="W287" s="180">
        <v>104.73494128670796</v>
      </c>
      <c r="X287" s="181">
        <v>1.1711257890517168E-3</v>
      </c>
      <c r="Y287" s="181">
        <v>-2.5319192713958216E-2</v>
      </c>
      <c r="Z287" s="180">
        <v>103.89550148131984</v>
      </c>
      <c r="AA287" s="181">
        <v>-2.9969814255741988E-3</v>
      </c>
      <c r="AB287" s="181">
        <v>-3.5969596500433854E-2</v>
      </c>
      <c r="AC287" s="180">
        <v>106.9643766097177</v>
      </c>
      <c r="AD287" s="181">
        <v>-1.5395838423620579E-3</v>
      </c>
      <c r="AE287" s="181">
        <v>-5.6059076313288436E-3</v>
      </c>
      <c r="AF287" s="180">
        <v>100.54904075121918</v>
      </c>
      <c r="AG287" s="181">
        <v>-8.5680564296405578E-4</v>
      </c>
      <c r="AH287" s="181">
        <v>-2.3800688881285836E-2</v>
      </c>
      <c r="AI287" s="180">
        <v>102.09111984027298</v>
      </c>
      <c r="AJ287" s="181">
        <v>-6.8095424169205424E-3</v>
      </c>
      <c r="AK287" s="185">
        <v>1.2481383923865108E-2</v>
      </c>
    </row>
    <row r="288" spans="1:37" s="184" customFormat="1" ht="15.75" customHeight="1">
      <c r="A288" s="179">
        <v>43617</v>
      </c>
      <c r="B288" s="180">
        <v>131.24600439434326</v>
      </c>
      <c r="C288" s="181">
        <v>-7.3243286268811049E-4</v>
      </c>
      <c r="D288" s="181">
        <v>-3.1751373891858337E-2</v>
      </c>
      <c r="E288" s="180">
        <v>144.9550289338585</v>
      </c>
      <c r="F288" s="181">
        <v>-3.6844980088082211E-3</v>
      </c>
      <c r="G288" s="181">
        <v>-2.6259989992387656E-2</v>
      </c>
      <c r="H288" s="180">
        <v>126.61705479209806</v>
      </c>
      <c r="I288" s="181">
        <v>-4.6617084504522689E-3</v>
      </c>
      <c r="J288" s="181">
        <v>-2.7611100436808256E-2</v>
      </c>
      <c r="K288" s="180">
        <v>123.9</v>
      </c>
      <c r="L288" s="181">
        <v>-2E-3</v>
      </c>
      <c r="M288" s="181">
        <v>-6.0000000000000001E-3</v>
      </c>
      <c r="N288" s="180">
        <v>143.58475127467057</v>
      </c>
      <c r="O288" s="181">
        <v>-2.2143030097571325E-3</v>
      </c>
      <c r="P288" s="181">
        <v>-4.4162405991093889E-3</v>
      </c>
      <c r="Q288" s="180">
        <v>124.54698218273326</v>
      </c>
      <c r="R288" s="181">
        <v>-2.9830870106100082E-3</v>
      </c>
      <c r="S288" s="181">
        <v>-3.0909851443556846E-3</v>
      </c>
      <c r="T288" s="180">
        <v>108.5498980758651</v>
      </c>
      <c r="U288" s="181">
        <v>-1.1136356117004409E-3</v>
      </c>
      <c r="V288" s="181">
        <v>-4.1684890739560387E-2</v>
      </c>
      <c r="W288" s="180">
        <v>104.04652450760562</v>
      </c>
      <c r="X288" s="181">
        <v>-6.5729428082441288E-3</v>
      </c>
      <c r="Y288" s="181">
        <v>-2.935936376477577E-2</v>
      </c>
      <c r="Z288" s="180">
        <v>103.67018062568525</v>
      </c>
      <c r="AA288" s="181">
        <v>-2.1687258102806874E-3</v>
      </c>
      <c r="AB288" s="181">
        <v>-3.729006805742896E-2</v>
      </c>
      <c r="AC288" s="180">
        <v>107.64970136344468</v>
      </c>
      <c r="AD288" s="181">
        <v>6.4070373282080735E-3</v>
      </c>
      <c r="AE288" s="181">
        <v>-5.693240764187868E-3</v>
      </c>
      <c r="AF288" s="180">
        <v>100.51059809204394</v>
      </c>
      <c r="AG288" s="181">
        <v>-3.823274582038727E-4</v>
      </c>
      <c r="AH288" s="181">
        <v>-2.0916774976721286E-2</v>
      </c>
      <c r="AI288" s="180">
        <v>102.22482541679678</v>
      </c>
      <c r="AJ288" s="181">
        <v>1.3096690165901625E-3</v>
      </c>
      <c r="AK288" s="185">
        <v>1.5924881808347502E-2</v>
      </c>
    </row>
    <row r="289" spans="1:37" s="184" customFormat="1" ht="15.75" customHeight="1">
      <c r="A289" s="179">
        <v>43647</v>
      </c>
      <c r="B289" s="180">
        <v>130.97289735757289</v>
      </c>
      <c r="C289" s="181">
        <v>-2.0808788658418509E-3</v>
      </c>
      <c r="D289" s="181">
        <v>-3.1340569818609443E-2</v>
      </c>
      <c r="E289" s="180">
        <v>144.4278813096831</v>
      </c>
      <c r="F289" s="181">
        <v>-3.6366287396344377E-3</v>
      </c>
      <c r="G289" s="181">
        <v>-2.8761956415160106E-2</v>
      </c>
      <c r="H289" s="180">
        <v>126.17579047365513</v>
      </c>
      <c r="I289" s="181">
        <v>-3.4850306632663174E-3</v>
      </c>
      <c r="J289" s="181">
        <v>-2.8057204269551272E-2</v>
      </c>
      <c r="K289" s="180">
        <v>123.82565909512387</v>
      </c>
      <c r="L289" s="181">
        <v>-3.1021736871401196E-4</v>
      </c>
      <c r="M289" s="181">
        <v>-2.5948383951142073E-3</v>
      </c>
      <c r="N289" s="180">
        <v>142.12674925733884</v>
      </c>
      <c r="O289" s="181">
        <v>-1.0154295664326107E-2</v>
      </c>
      <c r="P289" s="181">
        <v>-1.2584116847773164E-2</v>
      </c>
      <c r="Q289" s="180">
        <v>124.12159818738238</v>
      </c>
      <c r="R289" s="181">
        <v>-3.4154500405860588E-3</v>
      </c>
      <c r="S289" s="181">
        <v>-4.4802228591643845E-3</v>
      </c>
      <c r="T289" s="180">
        <v>109.45086787634887</v>
      </c>
      <c r="U289" s="181">
        <v>8.3000520171293331E-3</v>
      </c>
      <c r="V289" s="181">
        <v>-2.8652725045678062E-2</v>
      </c>
      <c r="W289" s="180">
        <v>103.58640595488303</v>
      </c>
      <c r="X289" s="181">
        <v>-4.4222385601064484E-3</v>
      </c>
      <c r="Y289" s="181">
        <v>-2.9985812477442142E-2</v>
      </c>
      <c r="Z289" s="180">
        <v>102.62249353098966</v>
      </c>
      <c r="AA289" s="181">
        <v>-1.010596382076738E-2</v>
      </c>
      <c r="AB289" s="181">
        <v>-4.0614584943292398E-2</v>
      </c>
      <c r="AC289" s="180">
        <v>106.88418556894288</v>
      </c>
      <c r="AD289" s="181">
        <v>-7.1111743442490204E-3</v>
      </c>
      <c r="AE289" s="181">
        <v>-2.3149384020830777E-3</v>
      </c>
      <c r="AF289" s="180">
        <v>100.33814062373382</v>
      </c>
      <c r="AG289" s="181">
        <v>-1.7158137707247744E-3</v>
      </c>
      <c r="AH289" s="181">
        <v>-1.5346850356193653E-2</v>
      </c>
      <c r="AI289" s="180">
        <v>102.5416196834759</v>
      </c>
      <c r="AJ289" s="181">
        <v>3.0989954288254797E-3</v>
      </c>
      <c r="AK289" s="185">
        <v>1.9645317633439907E-2</v>
      </c>
    </row>
    <row r="290" spans="1:37" s="184" customFormat="1" ht="15.75" customHeight="1">
      <c r="A290" s="179">
        <v>43678</v>
      </c>
      <c r="B290" s="180">
        <v>130.9092340601691</v>
      </c>
      <c r="C290" s="181">
        <v>-4.860799347668543E-4</v>
      </c>
      <c r="D290" s="181">
        <v>-2.8794270339442041E-2</v>
      </c>
      <c r="E290" s="180">
        <v>143.5588452408029</v>
      </c>
      <c r="F290" s="181">
        <v>-6.0170935209996838E-3</v>
      </c>
      <c r="G290" s="181">
        <v>-2.9706005783968759E-2</v>
      </c>
      <c r="H290" s="180">
        <v>125.78397871353646</v>
      </c>
      <c r="I290" s="181">
        <v>-3.1052847669734238E-3</v>
      </c>
      <c r="J290" s="181">
        <v>-2.51656564794287E-2</v>
      </c>
      <c r="K290" s="180">
        <v>123.67215324302107</v>
      </c>
      <c r="L290" s="181">
        <v>-1.2396933981580816E-3</v>
      </c>
      <c r="M290" s="181">
        <v>-4.1213350948090532E-3</v>
      </c>
      <c r="N290" s="180">
        <v>141.27437994145936</v>
      </c>
      <c r="O290" s="181">
        <v>-5.9972476703605638E-3</v>
      </c>
      <c r="P290" s="181">
        <v>-1.9879570539633407E-2</v>
      </c>
      <c r="Q290" s="180">
        <v>123.49162404258102</v>
      </c>
      <c r="R290" s="181">
        <v>-5.0754595010152719E-3</v>
      </c>
      <c r="S290" s="181">
        <v>-6.866722282680815E-3</v>
      </c>
      <c r="T290" s="180">
        <v>108.47507500886341</v>
      </c>
      <c r="U290" s="181">
        <v>-8.9153506629829106E-3</v>
      </c>
      <c r="V290" s="181">
        <v>-2.7604773101981617E-2</v>
      </c>
      <c r="W290" s="180">
        <v>103.31537646036169</v>
      </c>
      <c r="X290" s="181">
        <v>-2.616458134857873E-3</v>
      </c>
      <c r="Y290" s="181">
        <v>-3.0136357403811154E-2</v>
      </c>
      <c r="Z290" s="180">
        <v>101.3657928313269</v>
      </c>
      <c r="AA290" s="181">
        <v>-1.224586010749455E-2</v>
      </c>
      <c r="AB290" s="181">
        <v>-5.1675294521906223E-2</v>
      </c>
      <c r="AC290" s="180">
        <v>107.19602013140199</v>
      </c>
      <c r="AD290" s="181">
        <v>2.9174995421373316E-3</v>
      </c>
      <c r="AE290" s="181">
        <v>-2.9686718540755663E-3</v>
      </c>
      <c r="AF290" s="180">
        <v>100.67473675710197</v>
      </c>
      <c r="AG290" s="181">
        <v>3.3546180074273259E-3</v>
      </c>
      <c r="AH290" s="181">
        <v>-9.8534732804063108E-3</v>
      </c>
      <c r="AI290" s="180">
        <v>102.26380981143271</v>
      </c>
      <c r="AJ290" s="181">
        <v>-2.7092401397669909E-3</v>
      </c>
      <c r="AK290" s="185">
        <v>2.2614016301967022E-2</v>
      </c>
    </row>
    <row r="291" spans="1:37" s="184" customFormat="1" ht="15.75" customHeight="1">
      <c r="A291" s="179">
        <v>43709</v>
      </c>
      <c r="B291" s="180">
        <v>130.56398690602438</v>
      </c>
      <c r="C291" s="181">
        <v>-2.6373017657871567E-3</v>
      </c>
      <c r="D291" s="181">
        <v>-2.9336839559170991E-2</v>
      </c>
      <c r="E291" s="180">
        <v>142.83627268349488</v>
      </c>
      <c r="F291" s="181">
        <v>-5.0332848254384839E-3</v>
      </c>
      <c r="G291" s="181">
        <v>-3.3061484538256414E-2</v>
      </c>
      <c r="H291" s="180">
        <v>125.56269176181637</v>
      </c>
      <c r="I291" s="181">
        <v>-1.7592618231933122E-3</v>
      </c>
      <c r="J291" s="181">
        <v>-2.1234872682767136E-2</v>
      </c>
      <c r="K291" s="180">
        <v>123.0715769880035</v>
      </c>
      <c r="L291" s="181">
        <v>-4.8561963163802633E-3</v>
      </c>
      <c r="M291" s="181">
        <v>-6.7733168098226271E-3</v>
      </c>
      <c r="N291" s="180">
        <v>140.27755295180893</v>
      </c>
      <c r="O291" s="181">
        <v>-7.055964358601341E-3</v>
      </c>
      <c r="P291" s="181">
        <v>-1.5775731486455391E-2</v>
      </c>
      <c r="Q291" s="180">
        <v>123.24670166765114</v>
      </c>
      <c r="R291" s="181">
        <v>-1.9833116361433144E-3</v>
      </c>
      <c r="S291" s="181">
        <v>-1.5120564728029473E-2</v>
      </c>
      <c r="T291" s="180">
        <v>108.36313094111196</v>
      </c>
      <c r="U291" s="181">
        <v>-1.0319796298117034E-3</v>
      </c>
      <c r="V291" s="181">
        <v>-2.0132788788202016E-2</v>
      </c>
      <c r="W291" s="180">
        <v>102.96679116081614</v>
      </c>
      <c r="X291" s="181">
        <v>-3.3739924441865731E-3</v>
      </c>
      <c r="Y291" s="181">
        <v>-3.0664889742779367E-2</v>
      </c>
      <c r="Z291" s="180">
        <v>101.39132133370094</v>
      </c>
      <c r="AA291" s="181">
        <v>2.5184533816570599E-4</v>
      </c>
      <c r="AB291" s="181">
        <v>-4.1837056139216622E-2</v>
      </c>
      <c r="AC291" s="180">
        <v>107.18685954687621</v>
      </c>
      <c r="AD291" s="181">
        <v>-8.5456386482904995E-5</v>
      </c>
      <c r="AE291" s="181">
        <v>-1.5738867574076609E-3</v>
      </c>
      <c r="AF291" s="180">
        <v>99.560930888786615</v>
      </c>
      <c r="AG291" s="181">
        <v>-1.1063409790706857E-2</v>
      </c>
      <c r="AH291" s="181">
        <v>-1.591482673686595E-2</v>
      </c>
      <c r="AI291" s="180">
        <v>102.52340831059531</v>
      </c>
      <c r="AJ291" s="181">
        <v>2.5385177771226706E-3</v>
      </c>
      <c r="AK291" s="185">
        <v>2.5841017219258688E-2</v>
      </c>
    </row>
    <row r="292" spans="1:37" s="184" customFormat="1" ht="15.75" customHeight="1">
      <c r="A292" s="179">
        <v>43739</v>
      </c>
      <c r="B292" s="180">
        <v>130.04274941970553</v>
      </c>
      <c r="C292" s="181">
        <v>-3.9921995235487426E-3</v>
      </c>
      <c r="D292" s="181">
        <v>-2.9507875802100236E-2</v>
      </c>
      <c r="E292" s="180">
        <v>142.64313371662763</v>
      </c>
      <c r="F292" s="181">
        <v>-1.3521703082746939E-3</v>
      </c>
      <c r="G292" s="181">
        <v>-3.2371517966182872E-2</v>
      </c>
      <c r="H292" s="180">
        <v>124.81571367997572</v>
      </c>
      <c r="I292" s="181">
        <v>-5.9490448266083049E-3</v>
      </c>
      <c r="J292" s="181">
        <v>-2.6100299485523726E-2</v>
      </c>
      <c r="K292" s="180">
        <v>122.59554085221734</v>
      </c>
      <c r="L292" s="181">
        <v>-3.8679616158048226E-3</v>
      </c>
      <c r="M292" s="181">
        <v>-7.1495553077928209E-3</v>
      </c>
      <c r="N292" s="180">
        <v>139.85443298832743</v>
      </c>
      <c r="O292" s="181">
        <v>-3.0163055640617499E-3</v>
      </c>
      <c r="P292" s="181">
        <v>-2.0006550505882847E-2</v>
      </c>
      <c r="Q292" s="180">
        <v>123.2171258298371</v>
      </c>
      <c r="R292" s="181">
        <v>-2.3997265171267436E-4</v>
      </c>
      <c r="S292" s="181">
        <v>-1.0229094020240526E-2</v>
      </c>
      <c r="T292" s="180">
        <v>108.21751803814884</v>
      </c>
      <c r="U292" s="181">
        <v>-1.3437494994700061E-3</v>
      </c>
      <c r="V292" s="181">
        <v>-2.6202209806900134E-2</v>
      </c>
      <c r="W292" s="180">
        <v>102.57674286002786</v>
      </c>
      <c r="X292" s="181">
        <v>-3.7880980497788539E-3</v>
      </c>
      <c r="Y292" s="181">
        <v>-3.106335942301286E-2</v>
      </c>
      <c r="Z292" s="180">
        <v>101.11514106550504</v>
      </c>
      <c r="AA292" s="181">
        <v>-2.723904418672405E-3</v>
      </c>
      <c r="AB292" s="181">
        <v>-4.4847904595446964E-2</v>
      </c>
      <c r="AC292" s="180">
        <v>107.56602102693877</v>
      </c>
      <c r="AD292" s="181">
        <v>3.5373877139924879E-3</v>
      </c>
      <c r="AE292" s="181">
        <v>5.3562111137517299E-4</v>
      </c>
      <c r="AF292" s="180">
        <v>98.994686954988452</v>
      </c>
      <c r="AG292" s="181">
        <v>-5.6874110029232318E-3</v>
      </c>
      <c r="AH292" s="181">
        <v>-2.5447367896430095E-2</v>
      </c>
      <c r="AI292" s="180">
        <v>102.69939203488299</v>
      </c>
      <c r="AJ292" s="181">
        <v>1.716522374622289E-3</v>
      </c>
      <c r="AK292" s="185">
        <v>2.377199686715703E-2</v>
      </c>
    </row>
    <row r="293" spans="1:37" s="184" customFormat="1" ht="15.75" customHeight="1">
      <c r="A293" s="179">
        <v>43770</v>
      </c>
      <c r="B293" s="180">
        <v>129.87128030275463</v>
      </c>
      <c r="C293" s="181">
        <v>-1.31855960994393E-3</v>
      </c>
      <c r="D293" s="181">
        <v>-2.9246039879389341E-2</v>
      </c>
      <c r="E293" s="180">
        <v>142.29125065857914</v>
      </c>
      <c r="F293" s="181">
        <v>-2.4668769458438878E-3</v>
      </c>
      <c r="G293" s="181">
        <v>-3.1855909262373583E-2</v>
      </c>
      <c r="H293" s="180">
        <v>125.00662975240647</v>
      </c>
      <c r="I293" s="181">
        <v>1.5295836301530352E-3</v>
      </c>
      <c r="J293" s="181">
        <v>-2.5193612773912188E-2</v>
      </c>
      <c r="K293" s="180">
        <v>122.43925304615463</v>
      </c>
      <c r="L293" s="181">
        <v>-1.2748245570457727E-3</v>
      </c>
      <c r="M293" s="181">
        <v>-1.1717379992409849E-2</v>
      </c>
      <c r="N293" s="180">
        <v>138.85215485133185</v>
      </c>
      <c r="O293" s="181">
        <v>-7.1665811056502359E-3</v>
      </c>
      <c r="P293" s="181">
        <v>-2.491202127750225E-2</v>
      </c>
      <c r="Q293" s="180">
        <v>123.27663793860502</v>
      </c>
      <c r="R293" s="181">
        <v>4.8298569186004057E-4</v>
      </c>
      <c r="S293" s="181">
        <v>-1.2903310994630157E-2</v>
      </c>
      <c r="T293" s="180">
        <v>107.69672274335015</v>
      </c>
      <c r="U293" s="181">
        <v>-4.8124860395993797E-3</v>
      </c>
      <c r="V293" s="181">
        <v>-2.9887767714509295E-2</v>
      </c>
      <c r="W293" s="180">
        <v>102.52510963708525</v>
      </c>
      <c r="X293" s="181">
        <v>-5.0336188791909157E-4</v>
      </c>
      <c r="Y293" s="181">
        <v>-3.4493580121575662E-2</v>
      </c>
      <c r="Z293" s="180">
        <v>100.64551057301307</v>
      </c>
      <c r="AA293" s="181">
        <v>-4.6445120636061654E-3</v>
      </c>
      <c r="AB293" s="181">
        <v>-4.2934815853133412E-2</v>
      </c>
      <c r="AC293" s="180">
        <v>107.96707833268906</v>
      </c>
      <c r="AD293" s="181">
        <v>3.7284757948781301E-3</v>
      </c>
      <c r="AE293" s="181">
        <v>3.5762140243138507E-3</v>
      </c>
      <c r="AF293" s="180">
        <v>98.634990390209836</v>
      </c>
      <c r="AG293" s="181">
        <v>-3.6334936332711389E-3</v>
      </c>
      <c r="AH293" s="181">
        <v>-3.069075636610763E-2</v>
      </c>
      <c r="AI293" s="180">
        <v>102.55939451320113</v>
      </c>
      <c r="AJ293" s="181">
        <v>-1.3631777063910543E-3</v>
      </c>
      <c r="AK293" s="185">
        <v>1.1107543611694304E-2</v>
      </c>
    </row>
    <row r="294" spans="1:37" s="184" customFormat="1" ht="15.75" customHeight="1">
      <c r="A294" s="179">
        <v>43800</v>
      </c>
      <c r="B294" s="180">
        <v>129.28391187448369</v>
      </c>
      <c r="C294" s="181">
        <v>-4.5226968341396103E-3</v>
      </c>
      <c r="D294" s="181">
        <v>-2.6878258671414135E-2</v>
      </c>
      <c r="E294" s="180">
        <v>141.55205760838749</v>
      </c>
      <c r="F294" s="181">
        <v>-5.194929742836538E-3</v>
      </c>
      <c r="G294" s="181">
        <v>-2.678840821511852E-2</v>
      </c>
      <c r="H294" s="180">
        <v>123.53225739177452</v>
      </c>
      <c r="I294" s="181">
        <v>-1.1794353335916288E-2</v>
      </c>
      <c r="J294" s="181">
        <v>-3.8428733568358631E-2</v>
      </c>
      <c r="K294" s="180">
        <v>122.45178191915744</v>
      </c>
      <c r="L294" s="181">
        <v>1.0232725773081874E-4</v>
      </c>
      <c r="M294" s="181">
        <v>-1.1567395135116287E-2</v>
      </c>
      <c r="N294" s="180">
        <v>139.29019371498046</v>
      </c>
      <c r="O294" s="181">
        <v>3.1547141930753832E-3</v>
      </c>
      <c r="P294" s="181">
        <v>-2.465473908560778E-2</v>
      </c>
      <c r="Q294" s="180">
        <v>121.75380175468369</v>
      </c>
      <c r="R294" s="181">
        <v>-1.2352998989798357E-2</v>
      </c>
      <c r="S294" s="181">
        <v>-2.6767373310823794E-2</v>
      </c>
      <c r="T294" s="180">
        <v>105.76697000614124</v>
      </c>
      <c r="U294" s="181">
        <v>-1.7918397960982279E-2</v>
      </c>
      <c r="V294" s="181">
        <v>-2.2443077072406115E-2</v>
      </c>
      <c r="W294" s="180">
        <v>102.01861927615401</v>
      </c>
      <c r="X294" s="181">
        <v>-4.9401591739242278E-3</v>
      </c>
      <c r="Y294" s="181">
        <v>-2.8175997723383417E-2</v>
      </c>
      <c r="Z294" s="180">
        <v>99.963567468362527</v>
      </c>
      <c r="AA294" s="181">
        <v>-6.7756932303087991E-3</v>
      </c>
      <c r="AB294" s="181">
        <v>-4.0052259561795478E-2</v>
      </c>
      <c r="AC294" s="180">
        <v>107.03595363804772</v>
      </c>
      <c r="AD294" s="181">
        <v>-8.6241538533827437E-3</v>
      </c>
      <c r="AE294" s="181">
        <v>7.674580555038224E-3</v>
      </c>
      <c r="AF294" s="180">
        <v>98.378878940267697</v>
      </c>
      <c r="AG294" s="181">
        <v>-2.5965577624018875E-3</v>
      </c>
      <c r="AH294" s="181">
        <v>-3.2627213874804384E-2</v>
      </c>
      <c r="AI294" s="180">
        <v>103.50379035209366</v>
      </c>
      <c r="AJ294" s="181">
        <v>9.2082821215463458E-3</v>
      </c>
      <c r="AK294" s="185">
        <v>5.5053297497216214E-3</v>
      </c>
    </row>
    <row r="295" spans="1:37" s="184" customFormat="1" ht="15.75" customHeight="1">
      <c r="A295" s="179">
        <v>43831</v>
      </c>
      <c r="B295" s="180">
        <v>129.04064606685793</v>
      </c>
      <c r="C295" s="181">
        <v>-1.8816402141509281E-3</v>
      </c>
      <c r="D295" s="181">
        <v>-2.9642187221597061E-2</v>
      </c>
      <c r="E295" s="180">
        <v>141.12606436304873</v>
      </c>
      <c r="F295" s="181">
        <v>-3.0094458006205073E-3</v>
      </c>
      <c r="G295" s="181">
        <v>-3.3334185456867171E-2</v>
      </c>
      <c r="H295" s="180">
        <v>124.2282587645186</v>
      </c>
      <c r="I295" s="181">
        <v>5.6341670381424612E-3</v>
      </c>
      <c r="J295" s="181">
        <v>-3.0737485758001837E-2</v>
      </c>
      <c r="K295" s="180">
        <v>122.19559834228195</v>
      </c>
      <c r="L295" s="181">
        <v>-2.092117998287788E-3</v>
      </c>
      <c r="M295" s="181">
        <v>-1.589197160076028E-2</v>
      </c>
      <c r="N295" s="180">
        <v>139.45989446778185</v>
      </c>
      <c r="O295" s="181">
        <v>1.2183251977423871E-3</v>
      </c>
      <c r="P295" s="181">
        <v>-2.1963715486562396E-2</v>
      </c>
      <c r="Q295" s="180">
        <v>122.30390282616929</v>
      </c>
      <c r="R295" s="181">
        <v>4.5181428715792846E-3</v>
      </c>
      <c r="S295" s="181">
        <v>-2.9143110996452282E-2</v>
      </c>
      <c r="T295" s="180">
        <v>105.00857372657663</v>
      </c>
      <c r="U295" s="181">
        <v>-7.170445362295743E-3</v>
      </c>
      <c r="V295" s="181">
        <v>-3.3343546162273086E-2</v>
      </c>
      <c r="W295" s="180">
        <v>102.66563797650338</v>
      </c>
      <c r="X295" s="181">
        <v>6.3421628810515166E-3</v>
      </c>
      <c r="Y295" s="181">
        <v>-1.9011321704545892E-2</v>
      </c>
      <c r="Z295" s="180">
        <v>98.980923609619992</v>
      </c>
      <c r="AA295" s="181">
        <v>-9.8300199125399244E-3</v>
      </c>
      <c r="AB295" s="181">
        <v>-5.2827797905253493E-2</v>
      </c>
      <c r="AC295" s="180">
        <v>107.61562112011836</v>
      </c>
      <c r="AD295" s="181">
        <v>5.4156333677452696E-3</v>
      </c>
      <c r="AE295" s="181">
        <v>1.1663078632468071E-2</v>
      </c>
      <c r="AF295" s="180">
        <v>98.313583398330081</v>
      </c>
      <c r="AG295" s="181">
        <v>-6.6371504372666589E-4</v>
      </c>
      <c r="AH295" s="181">
        <v>-4.0997322957878946E-2</v>
      </c>
      <c r="AI295" s="180">
        <v>106.01370500346387</v>
      </c>
      <c r="AJ295" s="181">
        <v>2.4249495045854101E-2</v>
      </c>
      <c r="AK295" s="185">
        <v>4.8111158345507388E-3</v>
      </c>
    </row>
    <row r="296" spans="1:37" s="184" customFormat="1" ht="15.75" customHeight="1">
      <c r="A296" s="179">
        <v>43862</v>
      </c>
      <c r="B296" s="180">
        <v>129.02887100885593</v>
      </c>
      <c r="C296" s="181">
        <v>-9.1250767575223876E-5</v>
      </c>
      <c r="D296" s="181">
        <v>-2.6099098766548812E-2</v>
      </c>
      <c r="E296" s="180">
        <v>142.13338244389539</v>
      </c>
      <c r="F296" s="181">
        <v>7.1377182194728552E-3</v>
      </c>
      <c r="G296" s="181">
        <v>-3.391567551876129E-2</v>
      </c>
      <c r="H296" s="180">
        <v>124.03058313174056</v>
      </c>
      <c r="I296" s="181">
        <v>-1.5912291997326712E-3</v>
      </c>
      <c r="J296" s="181">
        <v>-3.1255007525376577E-2</v>
      </c>
      <c r="K296" s="180">
        <v>122.75637223321144</v>
      </c>
      <c r="L296" s="181">
        <v>4.5891496791784191E-3</v>
      </c>
      <c r="M296" s="181">
        <v>-1.9885612040823952E-2</v>
      </c>
      <c r="N296" s="180">
        <v>139.58313321984636</v>
      </c>
      <c r="O296" s="181">
        <v>8.8368596961029282E-4</v>
      </c>
      <c r="P296" s="181">
        <v>-2.2540677505182849E-2</v>
      </c>
      <c r="Q296" s="180">
        <v>122.10868358389872</v>
      </c>
      <c r="R296" s="181">
        <v>-1.596181624294022E-3</v>
      </c>
      <c r="S296" s="181">
        <v>-3.1149788339493112E-2</v>
      </c>
      <c r="T296" s="180">
        <v>104.81664346986965</v>
      </c>
      <c r="U296" s="181">
        <v>-1.827757961999652E-3</v>
      </c>
      <c r="V296" s="181">
        <v>-3.5615838824756607E-2</v>
      </c>
      <c r="W296" s="180">
        <v>101.74804427482047</v>
      </c>
      <c r="X296" s="181">
        <v>-8.9376905434797593E-3</v>
      </c>
      <c r="Y296" s="181">
        <v>-3.3408355816897051E-2</v>
      </c>
      <c r="Z296" s="180">
        <v>99.531110489799858</v>
      </c>
      <c r="AA296" s="181">
        <v>5.5585143087752333E-3</v>
      </c>
      <c r="AB296" s="181">
        <v>-4.5600555690198052E-2</v>
      </c>
      <c r="AC296" s="180">
        <v>107.84204587664976</v>
      </c>
      <c r="AD296" s="181">
        <v>2.1040138427363031E-3</v>
      </c>
      <c r="AE296" s="181">
        <v>1.1603892482145328E-2</v>
      </c>
      <c r="AF296" s="180">
        <v>98.059220120082969</v>
      </c>
      <c r="AG296" s="181">
        <v>-2.5872648463694261E-3</v>
      </c>
      <c r="AH296" s="181">
        <v>-3.7784560019875513E-2</v>
      </c>
      <c r="AI296" s="180">
        <v>105.19170311835441</v>
      </c>
      <c r="AJ296" s="181">
        <v>-7.7537322658669146E-3</v>
      </c>
      <c r="AK296" s="185">
        <v>2.640350751045295E-3</v>
      </c>
    </row>
    <row r="297" spans="1:37" s="184" customFormat="1" ht="15.75" customHeight="1">
      <c r="A297" s="179">
        <v>43891</v>
      </c>
      <c r="B297" s="180">
        <v>128.4804750818715</v>
      </c>
      <c r="C297" s="181">
        <v>-4.2501800000000001E-3</v>
      </c>
      <c r="D297" s="181">
        <v>-2.934229002389499E-2</v>
      </c>
      <c r="E297" s="180">
        <v>141.75756046070637</v>
      </c>
      <c r="F297" s="181">
        <v>-2.6441500000000001E-3</v>
      </c>
      <c r="G297" s="181">
        <v>-3.6802158614765323E-2</v>
      </c>
      <c r="H297" s="180">
        <v>123.31994122354644</v>
      </c>
      <c r="I297" s="181">
        <v>-5.7295699999999998E-3</v>
      </c>
      <c r="J297" s="181">
        <v>-3.4511422364573163E-2</v>
      </c>
      <c r="K297" s="180">
        <v>121.37730259626909</v>
      </c>
      <c r="L297" s="181">
        <v>-1.1234200000000001E-2</v>
      </c>
      <c r="M297" s="181">
        <v>-3.8891361505030364E-2</v>
      </c>
      <c r="N297" s="180">
        <v>139.42851419151606</v>
      </c>
      <c r="O297" s="181">
        <v>-1.10772E-3</v>
      </c>
      <c r="P297" s="181">
        <v>-2.3702023877824052E-2</v>
      </c>
      <c r="Q297" s="180">
        <v>122.00742153899364</v>
      </c>
      <c r="R297" s="181">
        <v>-8.2927800000000013E-4</v>
      </c>
      <c r="S297" s="181">
        <v>-2.5757402095056614E-2</v>
      </c>
      <c r="T297" s="180">
        <v>104.42962373635368</v>
      </c>
      <c r="U297" s="181">
        <v>-3.6923499999999996E-3</v>
      </c>
      <c r="V297" s="181">
        <v>-3.0928245601683391E-2</v>
      </c>
      <c r="W297" s="180">
        <v>101.92116450223232</v>
      </c>
      <c r="X297" s="181">
        <v>1.7014600000000001E-3</v>
      </c>
      <c r="Y297" s="181">
        <v>-3.6865859836998971E-2</v>
      </c>
      <c r="Z297" s="180">
        <v>97.97310025174778</v>
      </c>
      <c r="AA297" s="181">
        <v>-1.5653500000000001E-2</v>
      </c>
      <c r="AB297" s="181">
        <v>-6.3060850474299213E-2</v>
      </c>
      <c r="AC297" s="180">
        <v>106.56171275538841</v>
      </c>
      <c r="AD297" s="181">
        <v>-1.1872300000000001E-2</v>
      </c>
      <c r="AE297" s="181">
        <v>-3.3197029527393118E-3</v>
      </c>
      <c r="AF297" s="180">
        <v>98.134026557335972</v>
      </c>
      <c r="AG297" s="181">
        <v>7.6287000000000013E-4</v>
      </c>
      <c r="AH297" s="181">
        <v>-2.5508152084435465E-2</v>
      </c>
      <c r="AI297" s="180">
        <v>102.87501364472733</v>
      </c>
      <c r="AJ297" s="181">
        <v>-2.2023500000000001E-2</v>
      </c>
      <c r="AK297" s="185">
        <v>-7.0426509310062002E-3</v>
      </c>
    </row>
    <row r="298" spans="1:37" s="184" customFormat="1" ht="15.75" customHeight="1">
      <c r="A298" s="179">
        <v>43922</v>
      </c>
      <c r="B298" s="180">
        <v>127.77151596595549</v>
      </c>
      <c r="C298" s="181">
        <v>-5.5180300000000002E-3</v>
      </c>
      <c r="D298" s="181">
        <v>-3.0929228890503757E-2</v>
      </c>
      <c r="E298" s="180">
        <v>140.23304295248775</v>
      </c>
      <c r="F298" s="181">
        <v>-1.0754399999999999E-2</v>
      </c>
      <c r="G298" s="181">
        <v>-4.1320651549829668E-2</v>
      </c>
      <c r="H298" s="180">
        <v>122.60607291378864</v>
      </c>
      <c r="I298" s="181">
        <v>-5.7887500000000005E-3</v>
      </c>
      <c r="J298" s="181">
        <v>-3.4234899421911158E-2</v>
      </c>
      <c r="K298" s="180">
        <v>118.85732772841665</v>
      </c>
      <c r="L298" s="181">
        <v>-2.0761500000000002E-2</v>
      </c>
      <c r="M298" s="181">
        <v>-4.9162324133751434E-2</v>
      </c>
      <c r="N298" s="180">
        <v>140.24998238000794</v>
      </c>
      <c r="O298" s="181">
        <v>5.8916799999999998E-3</v>
      </c>
      <c r="P298" s="181">
        <v>-2.1194416616867384E-2</v>
      </c>
      <c r="Q298" s="180">
        <v>121.15344157259939</v>
      </c>
      <c r="R298" s="181">
        <v>-6.9994100000000002E-3</v>
      </c>
      <c r="S298" s="181">
        <v>-3.0556477401619486E-2</v>
      </c>
      <c r="T298" s="180">
        <v>104.31266882354637</v>
      </c>
      <c r="U298" s="181">
        <v>-1.11994E-3</v>
      </c>
      <c r="V298" s="181">
        <v>-3.0259453601979569E-2</v>
      </c>
      <c r="W298" s="180">
        <v>101.73915368666424</v>
      </c>
      <c r="X298" s="181">
        <v>-1.7858000000000001E-3</v>
      </c>
      <c r="Y298" s="181">
        <v>-2.7465888824344642E-2</v>
      </c>
      <c r="Z298" s="180">
        <v>95.392968859307985</v>
      </c>
      <c r="AA298" s="181">
        <v>-2.6335099999999997E-2</v>
      </c>
      <c r="AB298" s="181">
        <v>-8.4589067404364227E-2</v>
      </c>
      <c r="AC298" s="180">
        <v>106.64835605935728</v>
      </c>
      <c r="AD298" s="181">
        <v>8.1308100000000011E-4</v>
      </c>
      <c r="AE298" s="181">
        <v>-4.489481932064554E-3</v>
      </c>
      <c r="AF298" s="180">
        <v>97.877815296779289</v>
      </c>
      <c r="AG298" s="181">
        <v>-2.6108300000000002E-3</v>
      </c>
      <c r="AH298" s="181">
        <v>-2.7400437620522577E-2</v>
      </c>
      <c r="AI298" s="180">
        <v>102.35711613603651</v>
      </c>
      <c r="AJ298" s="181">
        <v>-5.0342399999999997E-3</v>
      </c>
      <c r="AK298" s="185">
        <v>-4.221805274668422E-3</v>
      </c>
    </row>
    <row r="299" spans="1:37" s="184" customFormat="1" ht="15.75" customHeight="1">
      <c r="A299" s="179">
        <v>43952</v>
      </c>
      <c r="B299" s="180">
        <v>127.19498249551926</v>
      </c>
      <c r="C299" s="181">
        <v>-4.51222219661111E-3</v>
      </c>
      <c r="D299" s="181">
        <v>-3.1575694079959082E-2</v>
      </c>
      <c r="E299" s="180">
        <v>139.54390427428558</v>
      </c>
      <c r="F299" s="181">
        <v>-4.9142389246710503E-3</v>
      </c>
      <c r="G299" s="181">
        <v>-4.0876635606181599E-2</v>
      </c>
      <c r="H299" s="180">
        <v>121.97226116984059</v>
      </c>
      <c r="I299" s="181">
        <v>-5.1694971454938499E-3</v>
      </c>
      <c r="J299" s="181">
        <v>-4.1174490683217546E-2</v>
      </c>
      <c r="K299" s="180">
        <v>118.35963294129836</v>
      </c>
      <c r="L299" s="181">
        <v>-4.1873294363096196E-3</v>
      </c>
      <c r="M299" s="181">
        <v>-4.5993950016941287E-2</v>
      </c>
      <c r="N299" s="180">
        <v>140.67771724784578</v>
      </c>
      <c r="O299" s="181">
        <v>3.0498033623912301E-3</v>
      </c>
      <c r="P299" s="181">
        <v>-2.2415591425690828E-2</v>
      </c>
      <c r="Q299" s="180">
        <v>121.10659304558962</v>
      </c>
      <c r="R299" s="181">
        <v>-3.8668754598846595E-4</v>
      </c>
      <c r="S299" s="181">
        <v>-3.052390812793393E-2</v>
      </c>
      <c r="T299" s="180">
        <v>103.97093920444317</v>
      </c>
      <c r="U299" s="181">
        <v>-3.2760126162745401E-3</v>
      </c>
      <c r="V299" s="181">
        <v>-4.3249645509761736E-2</v>
      </c>
      <c r="W299" s="180">
        <v>101.92169245299341</v>
      </c>
      <c r="X299" s="181">
        <v>1.7941840453218798E-3</v>
      </c>
      <c r="Y299" s="181">
        <v>-2.6860652225062065E-2</v>
      </c>
      <c r="Z299" s="180">
        <v>94.333007073763724</v>
      </c>
      <c r="AA299" s="181">
        <v>-1.1111529478735201E-2</v>
      </c>
      <c r="AB299" s="181">
        <v>-9.2039542340294989E-2</v>
      </c>
      <c r="AC299" s="180">
        <v>106.63848225123236</v>
      </c>
      <c r="AD299" s="181">
        <v>-9.2582844122095494E-5</v>
      </c>
      <c r="AE299" s="181">
        <v>-3.0467560211605571E-3</v>
      </c>
      <c r="AF299" s="180">
        <v>97.453612297473498</v>
      </c>
      <c r="AG299" s="181">
        <v>-4.3340055968714803E-3</v>
      </c>
      <c r="AH299" s="181">
        <v>-3.0785260909693468E-2</v>
      </c>
      <c r="AI299" s="180">
        <v>102.11237690777182</v>
      </c>
      <c r="AJ299" s="181">
        <v>-2.3910328612563301E-3</v>
      </c>
      <c r="AK299" s="185">
        <v>2.0821661601999608E-4</v>
      </c>
    </row>
    <row r="300" spans="1:37" s="184" customFormat="1" ht="15.75" customHeight="1">
      <c r="A300" s="179">
        <v>43983</v>
      </c>
      <c r="B300" s="180">
        <v>127.05222412095688</v>
      </c>
      <c r="C300" s="181">
        <v>-1.12235853774661E-3</v>
      </c>
      <c r="D300" s="181">
        <v>-3.195358436044804E-2</v>
      </c>
      <c r="E300" s="180">
        <v>140.34398004272978</v>
      </c>
      <c r="F300" s="181">
        <v>5.7335056848602491E-3</v>
      </c>
      <c r="G300" s="181">
        <v>-3.1810202964622114E-2</v>
      </c>
      <c r="H300" s="180">
        <v>121.65523525043089</v>
      </c>
      <c r="I300" s="181">
        <v>-2.5991640752502797E-3</v>
      </c>
      <c r="J300" s="181">
        <v>-3.9187608255573103E-2</v>
      </c>
      <c r="K300" s="180">
        <v>118.29885573339187</v>
      </c>
      <c r="L300" s="181">
        <v>-5.1349608304905397E-4</v>
      </c>
      <c r="M300" s="181">
        <v>-4.4930119993995543E-2</v>
      </c>
      <c r="N300" s="180">
        <v>140.51078161059357</v>
      </c>
      <c r="O300" s="181">
        <v>-1.1866530145502E-3</v>
      </c>
      <c r="P300" s="181">
        <v>-2.1408747355049162E-2</v>
      </c>
      <c r="Q300" s="180">
        <v>121.40272788721742</v>
      </c>
      <c r="R300" s="181">
        <v>2.4452412885260901E-3</v>
      </c>
      <c r="S300" s="181">
        <v>-2.5245527755161756E-2</v>
      </c>
      <c r="T300" s="180">
        <v>103.63108405534685</v>
      </c>
      <c r="U300" s="181">
        <v>-3.2687513616478097E-3</v>
      </c>
      <c r="V300" s="181">
        <v>-4.5313852041394931E-2</v>
      </c>
      <c r="W300" s="180">
        <v>101.72479959325604</v>
      </c>
      <c r="X300" s="181">
        <v>-1.9318052418348499E-3</v>
      </c>
      <c r="Y300" s="181">
        <v>-2.2314295699323194E-2</v>
      </c>
      <c r="Z300" s="180">
        <v>94.065566375915949</v>
      </c>
      <c r="AA300" s="181">
        <v>-2.83507020653599E-3</v>
      </c>
      <c r="AB300" s="181">
        <v>-9.2645871665334667E-2</v>
      </c>
      <c r="AC300" s="180">
        <v>106.73765398126804</v>
      </c>
      <c r="AD300" s="181">
        <v>9.2998069685621494E-4</v>
      </c>
      <c r="AE300" s="181">
        <v>-8.472363328695165E-3</v>
      </c>
      <c r="AF300" s="180">
        <v>97.647265760097426</v>
      </c>
      <c r="AG300" s="181">
        <v>1.9871347819597398E-3</v>
      </c>
      <c r="AH300" s="181">
        <v>-2.8487864825203602E-2</v>
      </c>
      <c r="AI300" s="180">
        <v>101.73397500316095</v>
      </c>
      <c r="AJ300" s="181">
        <v>-3.70573985318776E-3</v>
      </c>
      <c r="AK300" s="185">
        <v>-4.8016752450737998E-3</v>
      </c>
    </row>
    <row r="301" spans="1:37" s="184" customFormat="1" ht="15.75" customHeight="1">
      <c r="A301" s="179">
        <v>44013</v>
      </c>
      <c r="B301" s="180">
        <v>126.94747952301454</v>
      </c>
      <c r="C301" s="181">
        <v>-8.2442160038558412E-4</v>
      </c>
      <c r="D301" s="181">
        <v>-3.0734739138956746E-2</v>
      </c>
      <c r="E301" s="180">
        <v>140.37508240495018</v>
      </c>
      <c r="F301" s="181">
        <v>2.21615221478822E-4</v>
      </c>
      <c r="G301" s="181">
        <v>-2.8061056272388862E-2</v>
      </c>
      <c r="H301" s="180">
        <v>121.65683984106984</v>
      </c>
      <c r="I301" s="181">
        <v>1.3189655468850499E-5</v>
      </c>
      <c r="J301" s="181">
        <v>-3.5814720206003514E-2</v>
      </c>
      <c r="K301" s="180">
        <v>118.05842447140471</v>
      </c>
      <c r="L301" s="181">
        <v>-2.0324056432888598E-3</v>
      </c>
      <c r="M301" s="181">
        <v>-4.6575440549754932E-2</v>
      </c>
      <c r="N301" s="180">
        <v>139.43245204382691</v>
      </c>
      <c r="O301" s="181">
        <v>-7.6743546253631697E-3</v>
      </c>
      <c r="P301" s="181">
        <v>-1.8957003010274698E-2</v>
      </c>
      <c r="Q301" s="180">
        <v>121.99789365371254</v>
      </c>
      <c r="R301" s="181">
        <v>4.9024085113476504E-3</v>
      </c>
      <c r="S301" s="181">
        <v>-1.7109871002980115E-2</v>
      </c>
      <c r="T301" s="180">
        <v>105.18107227989478</v>
      </c>
      <c r="U301" s="181">
        <v>1.4956788676649402E-2</v>
      </c>
      <c r="V301" s="181">
        <v>-3.9011071171019429E-2</v>
      </c>
      <c r="W301" s="180">
        <v>101.70554936776642</v>
      </c>
      <c r="X301" s="181">
        <v>-1.89238273917369E-4</v>
      </c>
      <c r="Y301" s="181">
        <v>-1.8157368911281835E-2</v>
      </c>
      <c r="Z301" s="180">
        <v>93.650156529381277</v>
      </c>
      <c r="AA301" s="181">
        <v>-4.4161733409923895E-3</v>
      </c>
      <c r="AB301" s="181">
        <v>-8.7430510533238359E-2</v>
      </c>
      <c r="AC301" s="180">
        <v>106.64493936997201</v>
      </c>
      <c r="AD301" s="181">
        <v>-8.6862140807685896E-4</v>
      </c>
      <c r="AE301" s="181">
        <v>-2.2383685453313262E-3</v>
      </c>
      <c r="AF301" s="180">
        <v>97.568949740830064</v>
      </c>
      <c r="AG301" s="181">
        <v>-8.0202982293198016E-4</v>
      </c>
      <c r="AH301" s="181">
        <v>-2.7598586795505531E-2</v>
      </c>
      <c r="AI301" s="180">
        <v>101.95207346109244</v>
      </c>
      <c r="AJ301" s="181">
        <v>2.1438114250888099E-3</v>
      </c>
      <c r="AK301" s="185">
        <v>-5.7493359691729307E-3</v>
      </c>
    </row>
    <row r="302" spans="1:37" s="184" customFormat="1" ht="15.75" customHeight="1">
      <c r="A302" s="179">
        <v>44044</v>
      </c>
      <c r="B302" s="180">
        <v>126.80041118051327</v>
      </c>
      <c r="C302" s="181">
        <v>-1.1584975381460901E-3</v>
      </c>
      <c r="D302" s="181">
        <v>-3.1386807119865301E-2</v>
      </c>
      <c r="E302" s="180">
        <v>140.9314008325303</v>
      </c>
      <c r="F302" s="181">
        <v>3.9630853143527997E-3</v>
      </c>
      <c r="G302" s="181">
        <v>-1.8302211917805344E-2</v>
      </c>
      <c r="H302" s="180">
        <v>121.96309959187008</v>
      </c>
      <c r="I302" s="181">
        <v>2.51740675822531E-3</v>
      </c>
      <c r="J302" s="181">
        <v>-3.0376516633872308E-2</v>
      </c>
      <c r="K302" s="180">
        <v>117.34390006759625</v>
      </c>
      <c r="L302" s="181">
        <v>-6.0522949294611198E-3</v>
      </c>
      <c r="M302" s="181">
        <v>-5.1169588379281539E-2</v>
      </c>
      <c r="N302" s="180">
        <v>139.27633894755067</v>
      </c>
      <c r="O302" s="181">
        <v>-1.1196324384167801E-3</v>
      </c>
      <c r="P302" s="181">
        <v>-1.4142981867884541E-2</v>
      </c>
      <c r="Q302" s="180">
        <v>122.30125179492609</v>
      </c>
      <c r="R302" s="181">
        <v>2.4865850723179497E-3</v>
      </c>
      <c r="S302" s="181">
        <v>-9.6392954330609681E-3</v>
      </c>
      <c r="T302" s="180">
        <v>105.89469786234869</v>
      </c>
      <c r="U302" s="181">
        <v>6.7847338592908098E-3</v>
      </c>
      <c r="V302" s="181">
        <v>-2.3787742449626115E-2</v>
      </c>
      <c r="W302" s="180">
        <v>101.79949389405655</v>
      </c>
      <c r="X302" s="181">
        <v>9.2369125258283608E-4</v>
      </c>
      <c r="Y302" s="181">
        <v>-1.4672380997292511E-2</v>
      </c>
      <c r="Z302" s="180">
        <v>93.228874638024735</v>
      </c>
      <c r="AA302" s="181">
        <v>-4.4984643589396104E-3</v>
      </c>
      <c r="AB302" s="181">
        <v>-8.0272821491585766E-2</v>
      </c>
      <c r="AC302" s="180">
        <v>106.89842097805459</v>
      </c>
      <c r="AD302" s="181">
        <v>2.3768742293828003E-3</v>
      </c>
      <c r="AE302" s="181">
        <v>-2.7762145738490229E-3</v>
      </c>
      <c r="AF302" s="180">
        <v>97.45715820414091</v>
      </c>
      <c r="AG302" s="181">
        <v>-1.1457696017646598E-3</v>
      </c>
      <c r="AH302" s="181">
        <v>-3.1960138726005449E-2</v>
      </c>
      <c r="AI302" s="180">
        <v>101.6422873667162</v>
      </c>
      <c r="AJ302" s="181">
        <v>-3.03854628806989E-3</v>
      </c>
      <c r="AK302" s="185">
        <v>-6.0776382755790559E-3</v>
      </c>
    </row>
    <row r="303" spans="1:37" s="184" customFormat="1" ht="15.75" customHeight="1">
      <c r="A303" s="179">
        <v>44075</v>
      </c>
      <c r="B303" s="180">
        <v>126.3997224274344</v>
      </c>
      <c r="C303" s="181">
        <v>-3.1599956920363497E-3</v>
      </c>
      <c r="D303" s="181">
        <v>-3.1894434118247994E-2</v>
      </c>
      <c r="E303" s="180">
        <v>141.54976903844127</v>
      </c>
      <c r="F303" s="181">
        <v>4.3877248239785702E-3</v>
      </c>
      <c r="G303" s="181">
        <v>-9.0068413357742294E-3</v>
      </c>
      <c r="H303" s="180">
        <v>122.14444538111583</v>
      </c>
      <c r="I303" s="181">
        <v>1.4868906239068099E-3</v>
      </c>
      <c r="J303" s="181">
        <v>-2.7223423874861763E-2</v>
      </c>
      <c r="K303" s="180">
        <v>117.03661394577551</v>
      </c>
      <c r="L303" s="181">
        <v>-2.6186799794767402E-3</v>
      </c>
      <c r="M303" s="181">
        <v>-4.9036204702376129E-2</v>
      </c>
      <c r="N303" s="180">
        <v>139.19171514305737</v>
      </c>
      <c r="O303" s="181">
        <v>-6.0759641682696592E-4</v>
      </c>
      <c r="P303" s="181">
        <v>-7.7406383694517134E-3</v>
      </c>
      <c r="Q303" s="180">
        <v>122.57310547194788</v>
      </c>
      <c r="R303" s="181">
        <v>2.2228200695577297E-3</v>
      </c>
      <c r="S303" s="181">
        <v>-5.465429797218313E-3</v>
      </c>
      <c r="T303" s="180">
        <v>106.82099658900951</v>
      </c>
      <c r="U303" s="181">
        <v>8.7473570004882699E-3</v>
      </c>
      <c r="V303" s="181">
        <v>-1.4231171974354417E-2</v>
      </c>
      <c r="W303" s="180">
        <v>101.832451268756</v>
      </c>
      <c r="X303" s="181">
        <v>3.2374792289002698E-4</v>
      </c>
      <c r="Y303" s="181">
        <v>-1.1016560575229484E-2</v>
      </c>
      <c r="Z303" s="180">
        <v>93.174045950429203</v>
      </c>
      <c r="AA303" s="181">
        <v>-5.8810843537917005E-4</v>
      </c>
      <c r="AB303" s="181">
        <v>-8.1045155297137295E-2</v>
      </c>
      <c r="AC303" s="180">
        <v>106.67070337618908</v>
      </c>
      <c r="AD303" s="181">
        <v>-2.1302241864943304E-3</v>
      </c>
      <c r="AE303" s="181">
        <v>-4.8154799279420679E-3</v>
      </c>
      <c r="AF303" s="180">
        <v>97.768265970942537</v>
      </c>
      <c r="AG303" s="181">
        <v>3.1922515753020604E-3</v>
      </c>
      <c r="AH303" s="181">
        <v>-1.8005706674705135E-2</v>
      </c>
      <c r="AI303" s="180">
        <v>101.9200027922483</v>
      </c>
      <c r="AJ303" s="181">
        <v>2.7322823278278603E-3</v>
      </c>
      <c r="AK303" s="185">
        <v>-5.8855390031415933E-3</v>
      </c>
    </row>
    <row r="304" spans="1:37" s="184" customFormat="1" ht="15.75" customHeight="1">
      <c r="A304" s="179">
        <v>44105</v>
      </c>
      <c r="B304" s="180">
        <v>126.22433420531621</v>
      </c>
      <c r="C304" s="181">
        <v>-1.3875680954828101E-3</v>
      </c>
      <c r="D304" s="181">
        <v>-2.9362769023481672E-2</v>
      </c>
      <c r="E304" s="180">
        <v>142.04230816857918</v>
      </c>
      <c r="F304" s="181">
        <v>3.4796180416524903E-3</v>
      </c>
      <c r="G304" s="181">
        <v>-4.2120888148884372E-3</v>
      </c>
      <c r="H304" s="180">
        <v>122.47183737657738</v>
      </c>
      <c r="I304" s="181">
        <v>2.6803674488842001E-3</v>
      </c>
      <c r="J304" s="181">
        <v>-1.877869568096191E-2</v>
      </c>
      <c r="K304" s="180">
        <v>116.95715017699769</v>
      </c>
      <c r="L304" s="181">
        <v>-6.7896503580187396E-4</v>
      </c>
      <c r="M304" s="181">
        <v>-4.5991808804991097E-2</v>
      </c>
      <c r="N304" s="180">
        <v>139.15846495301881</v>
      </c>
      <c r="O304" s="181">
        <v>-2.3888052535596602E-4</v>
      </c>
      <c r="P304" s="181">
        <v>-4.9763745091062628E-3</v>
      </c>
      <c r="Q304" s="180">
        <v>123.36203006702404</v>
      </c>
      <c r="R304" s="181">
        <v>6.4363596894973993E-3</v>
      </c>
      <c r="S304" s="181">
        <v>1.1760072815449885E-3</v>
      </c>
      <c r="T304" s="180">
        <v>107.34051630924623</v>
      </c>
      <c r="U304" s="181">
        <v>4.8634607130239602E-3</v>
      </c>
      <c r="V304" s="181">
        <v>-8.1040643400586143E-3</v>
      </c>
      <c r="W304" s="180">
        <v>102.21882877922837</v>
      </c>
      <c r="X304" s="181">
        <v>3.79424737064076E-3</v>
      </c>
      <c r="Y304" s="181">
        <v>-3.4892322647432916E-3</v>
      </c>
      <c r="Z304" s="180">
        <v>93.430708521831917</v>
      </c>
      <c r="AA304" s="181">
        <v>2.7546573596178405E-3</v>
      </c>
      <c r="AB304" s="181">
        <v>-7.5996853316902868E-2</v>
      </c>
      <c r="AC304" s="180">
        <v>106.71114297450787</v>
      </c>
      <c r="AD304" s="181">
        <v>3.7910688726016002E-4</v>
      </c>
      <c r="AE304" s="181">
        <v>-7.9474730427818718E-3</v>
      </c>
      <c r="AF304" s="180">
        <v>97.452278128962405</v>
      </c>
      <c r="AG304" s="181">
        <v>-3.23200824768684E-3</v>
      </c>
      <c r="AH304" s="181">
        <v>-1.5580723304144173E-2</v>
      </c>
      <c r="AI304" s="180">
        <v>101.94591679644816</v>
      </c>
      <c r="AJ304" s="181">
        <v>2.5425827599988402E-4</v>
      </c>
      <c r="AK304" s="185">
        <v>-7.3367059288812486E-3</v>
      </c>
    </row>
    <row r="305" spans="1:37" s="184" customFormat="1" ht="15.75" customHeight="1">
      <c r="A305" s="179">
        <v>44136</v>
      </c>
      <c r="B305" s="180">
        <v>126.30848518926318</v>
      </c>
      <c r="C305" s="181">
        <v>6.6667797835296002E-4</v>
      </c>
      <c r="D305" s="181">
        <v>-2.7433279360809415E-2</v>
      </c>
      <c r="E305" s="180">
        <v>142.94552165543297</v>
      </c>
      <c r="F305" s="181">
        <v>6.3587637972049504E-3</v>
      </c>
      <c r="G305" s="181">
        <v>4.5981112248687506E-3</v>
      </c>
      <c r="H305" s="180">
        <v>122.85632918848371</v>
      </c>
      <c r="I305" s="181">
        <v>3.1394304204328798E-3</v>
      </c>
      <c r="J305" s="181">
        <v>-1.7201492178308686E-2</v>
      </c>
      <c r="K305" s="180">
        <v>116.79728407625154</v>
      </c>
      <c r="L305" s="181">
        <v>-1.36687753167896E-3</v>
      </c>
      <c r="M305" s="181">
        <v>-4.6079740193909036E-2</v>
      </c>
      <c r="N305" s="180">
        <v>138.86587752188265</v>
      </c>
      <c r="O305" s="181">
        <v>-2.10254856745473E-3</v>
      </c>
      <c r="P305" s="181">
        <v>9.882936685778887E-5</v>
      </c>
      <c r="Q305" s="180">
        <v>123.4386893921321</v>
      </c>
      <c r="R305" s="181">
        <v>6.2141750639507396E-4</v>
      </c>
      <c r="S305" s="181">
        <v>1.3145349860026467E-3</v>
      </c>
      <c r="T305" s="180">
        <v>107.47584759506618</v>
      </c>
      <c r="U305" s="181">
        <v>1.2607661158446099E-3</v>
      </c>
      <c r="V305" s="181">
        <v>-2.0508994392552937E-3</v>
      </c>
      <c r="W305" s="180">
        <v>102.30022933156562</v>
      </c>
      <c r="X305" s="181">
        <v>7.9633618687861797E-4</v>
      </c>
      <c r="Y305" s="181">
        <v>-2.1934168743213966E-3</v>
      </c>
      <c r="Z305" s="180">
        <v>93.02021642242704</v>
      </c>
      <c r="AA305" s="181">
        <v>-4.3935458255564101E-3</v>
      </c>
      <c r="AB305" s="181">
        <v>-7.5763877665008028E-2</v>
      </c>
      <c r="AC305" s="180">
        <v>107.56517306002522</v>
      </c>
      <c r="AD305" s="181">
        <v>8.0031949964340498E-3</v>
      </c>
      <c r="AE305" s="181">
        <v>-3.7224798417292426E-3</v>
      </c>
      <c r="AF305" s="180">
        <v>97.616425569539928</v>
      </c>
      <c r="AG305" s="181">
        <v>1.68438792534231E-3</v>
      </c>
      <c r="AH305" s="181">
        <v>-1.032660738993707E-2</v>
      </c>
      <c r="AI305" s="180">
        <v>102.35698079629604</v>
      </c>
      <c r="AJ305" s="181">
        <v>4.0321771853662394E-3</v>
      </c>
      <c r="AK305" s="185">
        <v>-1.9736243360819472E-3</v>
      </c>
    </row>
    <row r="306" spans="1:37" s="184" customFormat="1" ht="15.75" customHeight="1">
      <c r="A306" s="179">
        <v>44166</v>
      </c>
      <c r="B306" s="180">
        <v>126.05806431992167</v>
      </c>
      <c r="C306" s="181">
        <v>-1.9826131947214601E-3</v>
      </c>
      <c r="D306" s="181">
        <v>-2.4951654910425836E-2</v>
      </c>
      <c r="E306" s="180">
        <v>142.43105449875463</v>
      </c>
      <c r="F306" s="181">
        <v>-3.5990435427453197E-3</v>
      </c>
      <c r="G306" s="181">
        <v>6.2097076172424881E-3</v>
      </c>
      <c r="H306" s="180">
        <v>122.64785482032305</v>
      </c>
      <c r="I306" s="181">
        <v>-1.6968956303490201E-3</v>
      </c>
      <c r="J306" s="181">
        <v>-7.1592844664584154E-3</v>
      </c>
      <c r="K306" s="180">
        <v>116.74397798195501</v>
      </c>
      <c r="L306" s="181">
        <v>-4.5639840616258398E-4</v>
      </c>
      <c r="M306" s="181">
        <v>-4.6612665391596475E-2</v>
      </c>
      <c r="N306" s="180">
        <v>138.49659755340548</v>
      </c>
      <c r="O306" s="181">
        <v>-2.6592563635294605E-3</v>
      </c>
      <c r="P306" s="181">
        <v>-5.6974302383329123E-3</v>
      </c>
      <c r="Q306" s="180">
        <v>123.80333128244658</v>
      </c>
      <c r="R306" s="181">
        <v>2.9540324197391797E-3</v>
      </c>
      <c r="S306" s="181">
        <v>1.6833392454491003E-2</v>
      </c>
      <c r="T306" s="180">
        <v>106.32940090274124</v>
      </c>
      <c r="U306" s="181">
        <v>-1.0667016990127599E-2</v>
      </c>
      <c r="V306" s="181">
        <v>5.3176421388203554E-3</v>
      </c>
      <c r="W306" s="180">
        <v>101.54974051527618</v>
      </c>
      <c r="X306" s="181">
        <v>-7.3361401161381005E-3</v>
      </c>
      <c r="Y306" s="181">
        <v>-4.5960116320395983E-3</v>
      </c>
      <c r="Z306" s="180">
        <v>93.152568821923936</v>
      </c>
      <c r="AA306" s="181">
        <v>1.4228347835255201E-3</v>
      </c>
      <c r="AB306" s="181">
        <v>-6.8134809700486132E-2</v>
      </c>
      <c r="AC306" s="180">
        <v>107.1590334897098</v>
      </c>
      <c r="AD306" s="181">
        <v>-3.7757534224276902E-3</v>
      </c>
      <c r="AE306" s="181">
        <v>1.1498926059769765E-3</v>
      </c>
      <c r="AF306" s="180">
        <v>97.406583189915708</v>
      </c>
      <c r="AG306" s="181">
        <v>-2.1496626044224102E-3</v>
      </c>
      <c r="AH306" s="181">
        <v>-9.8831757469236559E-3</v>
      </c>
      <c r="AI306" s="180">
        <v>103.59221825046829</v>
      </c>
      <c r="AJ306" s="181">
        <v>1.2067935616726699E-2</v>
      </c>
      <c r="AK306" s="185">
        <v>8.5434454210631117E-4</v>
      </c>
    </row>
    <row r="307" spans="1:37" s="184" customFormat="1" ht="15.75" customHeight="1">
      <c r="A307" s="179">
        <v>44197</v>
      </c>
      <c r="B307" s="180">
        <v>126.22567123627748</v>
      </c>
      <c r="C307" s="181">
        <v>1.3296009046310001E-3</v>
      </c>
      <c r="D307" s="181">
        <v>-2.1814636832506062E-2</v>
      </c>
      <c r="E307" s="180">
        <v>143.45301986767916</v>
      </c>
      <c r="F307" s="181">
        <v>7.1751583425471201E-3</v>
      </c>
      <c r="G307" s="181">
        <v>1.6488488608626506E-2</v>
      </c>
      <c r="H307" s="180">
        <v>123.5665471818569</v>
      </c>
      <c r="I307" s="181">
        <v>7.4904886259912293E-3</v>
      </c>
      <c r="J307" s="181">
        <v>-5.3265785839919921E-3</v>
      </c>
      <c r="K307" s="180">
        <v>117.20794810166281</v>
      </c>
      <c r="L307" s="181">
        <v>3.9742531283241504E-3</v>
      </c>
      <c r="M307" s="181">
        <v>-4.0816938648217449E-2</v>
      </c>
      <c r="N307" s="180">
        <v>138.9087402424876</v>
      </c>
      <c r="O307" s="181">
        <v>2.9758325934553598E-3</v>
      </c>
      <c r="P307" s="181">
        <v>-3.9520625438418389E-3</v>
      </c>
      <c r="Q307" s="180">
        <v>123.81587205901273</v>
      </c>
      <c r="R307" s="181">
        <v>1.0129595412539501E-4</v>
      </c>
      <c r="S307" s="181">
        <v>1.2362395621932087E-2</v>
      </c>
      <c r="T307" s="180">
        <v>107.67760178035785</v>
      </c>
      <c r="U307" s="181">
        <v>1.26794740323027E-2</v>
      </c>
      <c r="V307" s="181">
        <v>2.5417239364957878E-2</v>
      </c>
      <c r="W307" s="180">
        <v>101.47302302189091</v>
      </c>
      <c r="X307" s="181">
        <v>-7.5546715329842908E-4</v>
      </c>
      <c r="Y307" s="181">
        <v>-1.1616495821955675E-2</v>
      </c>
      <c r="Z307" s="180">
        <v>93.676570610380026</v>
      </c>
      <c r="AA307" s="181">
        <v>5.6251995525514395E-3</v>
      </c>
      <c r="AB307" s="181">
        <v>-5.3589649457710609E-2</v>
      </c>
      <c r="AC307" s="180">
        <v>107.72685756703976</v>
      </c>
      <c r="AD307" s="181">
        <v>5.2988913658360195E-3</v>
      </c>
      <c r="AE307" s="181">
        <v>1.0336459127735509E-3</v>
      </c>
      <c r="AF307" s="180">
        <v>97.850023793599036</v>
      </c>
      <c r="AG307" s="181">
        <v>4.5524705739728296E-3</v>
      </c>
      <c r="AH307" s="181">
        <v>-4.7151124870800087E-3</v>
      </c>
      <c r="AI307" s="180">
        <v>103.93716068712649</v>
      </c>
      <c r="AJ307" s="181">
        <v>3.32981031281907E-3</v>
      </c>
      <c r="AK307" s="185">
        <v>-1.9587508202543513E-2</v>
      </c>
    </row>
    <row r="308" spans="1:37" s="184" customFormat="1" ht="15.75" customHeight="1">
      <c r="A308" s="179">
        <v>44228</v>
      </c>
      <c r="B308" s="180">
        <v>126.12526356718519</v>
      </c>
      <c r="C308" s="181">
        <v>-7.9546155792944106E-4</v>
      </c>
      <c r="D308" s="181">
        <v>-2.2503548383922989E-2</v>
      </c>
      <c r="E308" s="180">
        <v>144.1011713501498</v>
      </c>
      <c r="F308" s="181">
        <v>4.5182142771793901E-3</v>
      </c>
      <c r="G308" s="181">
        <v>1.3844663881345198E-2</v>
      </c>
      <c r="H308" s="180">
        <v>124.36489547161484</v>
      </c>
      <c r="I308" s="181">
        <v>6.4608772193253602E-3</v>
      </c>
      <c r="J308" s="181">
        <v>2.6954024679477495E-3</v>
      </c>
      <c r="K308" s="180">
        <v>116.92103782269623</v>
      </c>
      <c r="L308" s="181">
        <v>-2.44787391651734E-3</v>
      </c>
      <c r="M308" s="181">
        <v>-4.7535898172595736E-2</v>
      </c>
      <c r="N308" s="180">
        <v>139.34751555520307</v>
      </c>
      <c r="O308" s="181">
        <v>3.1587307749642701E-3</v>
      </c>
      <c r="P308" s="181">
        <v>-1.6880095696962805E-3</v>
      </c>
      <c r="Q308" s="180">
        <v>123.74110686672857</v>
      </c>
      <c r="R308" s="181">
        <v>-6.03841745334043E-4</v>
      </c>
      <c r="S308" s="181">
        <v>1.3368609298848311E-2</v>
      </c>
      <c r="T308" s="180">
        <v>108.11331521788154</v>
      </c>
      <c r="U308" s="181">
        <v>4.0464630556359196E-3</v>
      </c>
      <c r="V308" s="181">
        <v>3.1451796574267776E-2</v>
      </c>
      <c r="W308" s="180">
        <v>102.12016559091526</v>
      </c>
      <c r="X308" s="181">
        <v>6.37748388440892E-3</v>
      </c>
      <c r="Y308" s="181">
        <v>3.6572822479976619E-3</v>
      </c>
      <c r="Z308" s="180">
        <v>93.83592181513518</v>
      </c>
      <c r="AA308" s="181">
        <v>1.7010785484229702E-3</v>
      </c>
      <c r="AB308" s="181">
        <v>-5.7220186197443623E-2</v>
      </c>
      <c r="AC308" s="180">
        <v>107.98268706150273</v>
      </c>
      <c r="AD308" s="181">
        <v>2.37479770821081E-3</v>
      </c>
      <c r="AE308" s="181">
        <v>1.3041405484262025E-3</v>
      </c>
      <c r="AF308" s="180">
        <v>98.32784932089794</v>
      </c>
      <c r="AG308" s="181">
        <v>4.8832438539495497E-3</v>
      </c>
      <c r="AH308" s="181">
        <v>2.7394588748106408E-3</v>
      </c>
      <c r="AI308" s="180">
        <v>103.70344579850962</v>
      </c>
      <c r="AJ308" s="181">
        <v>-2.2486172132448403E-3</v>
      </c>
      <c r="AK308" s="185">
        <v>-1.4148048522137802E-2</v>
      </c>
    </row>
    <row r="309" spans="1:37" s="184" customFormat="1" ht="15.75" customHeight="1">
      <c r="A309" s="179">
        <v>44256</v>
      </c>
      <c r="B309" s="180">
        <v>126.43926861197038</v>
      </c>
      <c r="C309" s="181">
        <v>2.4896284527320999E-3</v>
      </c>
      <c r="D309" s="181">
        <v>-1.5887289244536307E-2</v>
      </c>
      <c r="E309" s="180">
        <v>144.67489644455759</v>
      </c>
      <c r="F309" s="181">
        <v>3.9814047938148099E-3</v>
      </c>
      <c r="G309" s="181">
        <v>2.0579755847730308E-2</v>
      </c>
      <c r="H309" s="180">
        <v>124.86946338163646</v>
      </c>
      <c r="I309" s="181">
        <v>4.0571570305929297E-3</v>
      </c>
      <c r="J309" s="181">
        <v>1.2565057546379821E-2</v>
      </c>
      <c r="K309" s="180">
        <v>117.56968156541707</v>
      </c>
      <c r="L309" s="181">
        <v>5.5477077076964195E-3</v>
      </c>
      <c r="M309" s="181">
        <v>-3.1370123980404396E-2</v>
      </c>
      <c r="N309" s="180">
        <v>139.54805602872239</v>
      </c>
      <c r="O309" s="181">
        <v>1.4391392104860302E-3</v>
      </c>
      <c r="P309" s="181">
        <v>8.5737008602215781E-4</v>
      </c>
      <c r="Q309" s="180">
        <v>123.2581023481504</v>
      </c>
      <c r="R309" s="181">
        <v>-3.903347325787E-3</v>
      </c>
      <c r="S309" s="181">
        <v>1.025085845910656E-2</v>
      </c>
      <c r="T309" s="180">
        <v>108.81916429463431</v>
      </c>
      <c r="U309" s="181">
        <v>6.5287894958198098E-3</v>
      </c>
      <c r="V309" s="181">
        <v>4.2033480551099123E-2</v>
      </c>
      <c r="W309" s="180">
        <v>102.38074948564378</v>
      </c>
      <c r="X309" s="181">
        <v>2.5517378788082103E-3</v>
      </c>
      <c r="Y309" s="181">
        <v>4.5092202944894133E-3</v>
      </c>
      <c r="Z309" s="180">
        <v>94.256159519123628</v>
      </c>
      <c r="AA309" s="181">
        <v>4.4784310300307901E-3</v>
      </c>
      <c r="AB309" s="181">
        <v>-3.7938380260227E-2</v>
      </c>
      <c r="AC309" s="180">
        <v>108.40186529202099</v>
      </c>
      <c r="AD309" s="181">
        <v>3.8819022004842902E-3</v>
      </c>
      <c r="AE309" s="181">
        <v>1.7268421171651401E-2</v>
      </c>
      <c r="AF309" s="180">
        <v>98.79409574913447</v>
      </c>
      <c r="AG309" s="181">
        <v>4.7417535464943303E-3</v>
      </c>
      <c r="AH309" s="181">
        <v>6.7262010431503594E-3</v>
      </c>
      <c r="AI309" s="180">
        <v>102.62774350550301</v>
      </c>
      <c r="AJ309" s="181">
        <v>-1.0372869336440899E-2</v>
      </c>
      <c r="AK309" s="185">
        <v>-2.403597632348875E-3</v>
      </c>
    </row>
    <row r="310" spans="1:37" s="184" customFormat="1" ht="15.75" customHeight="1">
      <c r="A310" s="179">
        <v>44287</v>
      </c>
      <c r="B310" s="180">
        <v>126.19229967617763</v>
      </c>
      <c r="C310" s="181">
        <v>-1.95326134439033E-3</v>
      </c>
      <c r="D310" s="181">
        <v>-1.2359689699530829E-2</v>
      </c>
      <c r="E310" s="180">
        <v>145.19193919921616</v>
      </c>
      <c r="F310" s="181">
        <v>3.57382495073518E-3</v>
      </c>
      <c r="G310" s="181">
        <v>3.536182444824032E-2</v>
      </c>
      <c r="H310" s="180">
        <v>125.37608258484572</v>
      </c>
      <c r="I310" s="181">
        <v>4.0571905211194397E-3</v>
      </c>
      <c r="J310" s="181">
        <v>2.2592760743628482E-2</v>
      </c>
      <c r="K310" s="180">
        <v>117.51105331322198</v>
      </c>
      <c r="L310" s="181">
        <v>-4.9866812101950905E-4</v>
      </c>
      <c r="M310" s="181">
        <v>-1.1326810394650999E-2</v>
      </c>
      <c r="N310" s="180">
        <v>140.04261272078119</v>
      </c>
      <c r="O310" s="181">
        <v>3.5439884017950201E-3</v>
      </c>
      <c r="P310" s="181">
        <v>-1.478571731045708E-3</v>
      </c>
      <c r="Q310" s="180">
        <v>122.74522418727018</v>
      </c>
      <c r="R310" s="181">
        <v>-4.1610097114068104E-3</v>
      </c>
      <c r="S310" s="181">
        <v>1.3138567043652127E-2</v>
      </c>
      <c r="T310" s="180">
        <v>110.0692647284159</v>
      </c>
      <c r="U310" s="181">
        <v>1.1487870191659099E-2</v>
      </c>
      <c r="V310" s="181">
        <v>5.5185970887268621E-2</v>
      </c>
      <c r="W310" s="180">
        <v>102.75940532966663</v>
      </c>
      <c r="X310" s="181">
        <v>3.69850627120043E-3</v>
      </c>
      <c r="Y310" s="181">
        <v>1.0028112147900892E-2</v>
      </c>
      <c r="Z310" s="180">
        <v>94.373015157641632</v>
      </c>
      <c r="AA310" s="181">
        <v>1.2397666010812601E-3</v>
      </c>
      <c r="AB310" s="181">
        <v>-1.0692126619632258E-2</v>
      </c>
      <c r="AC310" s="180">
        <v>108.94667935264539</v>
      </c>
      <c r="AD310" s="181">
        <v>5.0258734861871298E-3</v>
      </c>
      <c r="AE310" s="181">
        <v>2.1550480271903316E-2</v>
      </c>
      <c r="AF310" s="180">
        <v>98.955687958993124</v>
      </c>
      <c r="AG310" s="181">
        <v>1.63564642839575E-3</v>
      </c>
      <c r="AH310" s="181">
        <v>1.1012430742815216E-2</v>
      </c>
      <c r="AI310" s="180">
        <v>102.09187105782304</v>
      </c>
      <c r="AJ310" s="181">
        <v>-5.2215164182307207E-3</v>
      </c>
      <c r="AK310" s="185">
        <v>-2.5913692005639088E-3</v>
      </c>
    </row>
    <row r="311" spans="1:37" s="184" customFormat="1" ht="15.75" customHeight="1">
      <c r="A311" s="179">
        <v>44317</v>
      </c>
      <c r="B311" s="180">
        <v>125.84025683764611</v>
      </c>
      <c r="C311" s="181">
        <v>-2.7897331250392996E-3</v>
      </c>
      <c r="D311" s="181">
        <v>-1.0650779073937633E-2</v>
      </c>
      <c r="E311" s="180">
        <v>145.11996143138296</v>
      </c>
      <c r="F311" s="181">
        <v>-4.9574217570334702E-4</v>
      </c>
      <c r="G311" s="181">
        <v>3.9959159707450675E-2</v>
      </c>
      <c r="H311" s="180">
        <v>125.58246133933186</v>
      </c>
      <c r="I311" s="181">
        <v>1.64607754709907E-3</v>
      </c>
      <c r="J311" s="181">
        <v>2.9598534411559685E-2</v>
      </c>
      <c r="K311" s="180">
        <v>116.73977448758872</v>
      </c>
      <c r="L311" s="181">
        <v>-6.5634576823802105E-3</v>
      </c>
      <c r="M311" s="181">
        <v>-1.3685902984449272E-2</v>
      </c>
      <c r="N311" s="180">
        <v>140.68261864671732</v>
      </c>
      <c r="O311" s="181">
        <v>4.5700798742748698E-3</v>
      </c>
      <c r="P311" s="181">
        <v>3.4841330719848074E-5</v>
      </c>
      <c r="Q311" s="180">
        <v>122.2623356639786</v>
      </c>
      <c r="R311" s="181">
        <v>-3.9340717855942797E-3</v>
      </c>
      <c r="S311" s="181">
        <v>9.5431849689133763E-3</v>
      </c>
      <c r="T311" s="180">
        <v>110.9252283978077</v>
      </c>
      <c r="U311" s="181">
        <v>7.7765911447104999E-3</v>
      </c>
      <c r="V311" s="181">
        <v>6.6886855563456749E-2</v>
      </c>
      <c r="W311" s="180">
        <v>101.97980891889161</v>
      </c>
      <c r="X311" s="181">
        <v>-7.5866185511095294E-3</v>
      </c>
      <c r="Y311" s="181">
        <v>5.7020703345367352E-4</v>
      </c>
      <c r="Z311" s="180">
        <v>94.529544617437708</v>
      </c>
      <c r="AA311" s="181">
        <v>1.65862518575461E-3</v>
      </c>
      <c r="AB311" s="181">
        <v>2.0834440644970087E-3</v>
      </c>
      <c r="AC311" s="180">
        <v>108.83751848967934</v>
      </c>
      <c r="AD311" s="181">
        <v>-1.00196594898244E-3</v>
      </c>
      <c r="AE311" s="181">
        <v>2.0621413508739028E-2</v>
      </c>
      <c r="AF311" s="180">
        <v>98.172526628624567</v>
      </c>
      <c r="AG311" s="181">
        <v>-7.9142629041505496E-3</v>
      </c>
      <c r="AH311" s="181">
        <v>7.3769900797171495E-3</v>
      </c>
      <c r="AI311" s="180">
        <v>101.78404589572138</v>
      </c>
      <c r="AJ311" s="181">
        <v>-3.0151779853983401E-3</v>
      </c>
      <c r="AK311" s="185">
        <v>-3.2153889860676577E-3</v>
      </c>
    </row>
    <row r="312" spans="1:37" s="184" customFormat="1" ht="15.75" customHeight="1">
      <c r="A312" s="179">
        <v>44348</v>
      </c>
      <c r="B312" s="180">
        <v>125.81419148912893</v>
      </c>
      <c r="C312" s="181">
        <v>-2.0713044594943399E-4</v>
      </c>
      <c r="D312" s="181">
        <v>-9.7442814590109617E-3</v>
      </c>
      <c r="E312" s="180">
        <v>143.87004574443395</v>
      </c>
      <c r="F312" s="181">
        <v>-8.6129824913163608E-3</v>
      </c>
      <c r="G312" s="181">
        <v>2.5124452795414642E-2</v>
      </c>
      <c r="H312" s="180">
        <v>125.62512979461549</v>
      </c>
      <c r="I312" s="181">
        <v>3.3976444503926E-4</v>
      </c>
      <c r="J312" s="181">
        <v>3.2632336257559791E-2</v>
      </c>
      <c r="K312" s="180">
        <v>116.63289596250705</v>
      </c>
      <c r="L312" s="181">
        <v>-9.1552793853515906E-4</v>
      </c>
      <c r="M312" s="181">
        <v>-1.4082636392015235E-2</v>
      </c>
      <c r="N312" s="180">
        <v>140.90085869342377</v>
      </c>
      <c r="O312" s="181">
        <v>1.55129360546313E-3</v>
      </c>
      <c r="P312" s="181">
        <v>2.7761363103881997E-3</v>
      </c>
      <c r="Q312" s="180">
        <v>121.5706988988635</v>
      </c>
      <c r="R312" s="181">
        <v>-5.6569896310174192E-3</v>
      </c>
      <c r="S312" s="181">
        <v>1.3835851514154562E-3</v>
      </c>
      <c r="T312" s="180">
        <v>111.73461203483087</v>
      </c>
      <c r="U312" s="181">
        <v>7.2966596392347802E-3</v>
      </c>
      <c r="V312" s="181">
        <v>7.819592020436783E-2</v>
      </c>
      <c r="W312" s="180">
        <v>101.55839257699974</v>
      </c>
      <c r="X312" s="181">
        <v>-4.1323507698180001E-3</v>
      </c>
      <c r="Y312" s="181">
        <v>-1.6358549431572111E-3</v>
      </c>
      <c r="Z312" s="180">
        <v>94.113534631818226</v>
      </c>
      <c r="AA312" s="181">
        <v>-4.40084618309636E-3</v>
      </c>
      <c r="AB312" s="181">
        <v>5.099449006726875E-4</v>
      </c>
      <c r="AC312" s="180">
        <v>108.94673298030771</v>
      </c>
      <c r="AD312" s="181">
        <v>1.0034636230586199E-3</v>
      </c>
      <c r="AE312" s="181">
        <v>2.0696342074628671E-2</v>
      </c>
      <c r="AF312" s="180">
        <v>97.974635077905873</v>
      </c>
      <c r="AG312" s="181">
        <v>-2.0157528538232499E-3</v>
      </c>
      <c r="AH312" s="181">
        <v>3.3525702461831841E-3</v>
      </c>
      <c r="AI312" s="180">
        <v>101.43745936402631</v>
      </c>
      <c r="AJ312" s="181">
        <v>-3.4051164762122898E-3</v>
      </c>
      <c r="AK312" s="185">
        <v>-2.9146176498601184E-3</v>
      </c>
    </row>
    <row r="313" spans="1:37" s="184" customFormat="1" ht="15.75" customHeight="1">
      <c r="A313" s="179">
        <v>44378</v>
      </c>
      <c r="B313" s="180">
        <v>125.8756389037039</v>
      </c>
      <c r="C313" s="181">
        <v>4.8839811985986002E-4</v>
      </c>
      <c r="D313" s="181">
        <v>-8.4431815687708855E-3</v>
      </c>
      <c r="E313" s="180">
        <v>143.70547423791305</v>
      </c>
      <c r="F313" s="181">
        <v>-1.1438899992652701E-3</v>
      </c>
      <c r="G313" s="181">
        <v>2.3724950154297764E-2</v>
      </c>
      <c r="H313" s="180">
        <v>126.06616366047835</v>
      </c>
      <c r="I313" s="181">
        <v>3.5107137129641096E-3</v>
      </c>
      <c r="J313" s="181">
        <v>3.6243945060292271E-2</v>
      </c>
      <c r="K313" s="180">
        <v>116.64738381516302</v>
      </c>
      <c r="L313" s="181">
        <v>1.2421755060105599E-4</v>
      </c>
      <c r="M313" s="181">
        <v>-1.1952053930581297E-2</v>
      </c>
      <c r="N313" s="180">
        <v>141.35593874299047</v>
      </c>
      <c r="O313" s="181">
        <v>3.2297890430665198E-3</v>
      </c>
      <c r="P313" s="181">
        <v>1.3795114917429352E-2</v>
      </c>
      <c r="Q313" s="180">
        <v>120.77231403666396</v>
      </c>
      <c r="R313" s="181">
        <v>-6.5672474488587393E-3</v>
      </c>
      <c r="S313" s="181">
        <v>-1.0045908009914895E-2</v>
      </c>
      <c r="T313" s="180">
        <v>112.16693466558313</v>
      </c>
      <c r="U313" s="181">
        <v>3.8691916755167199E-3</v>
      </c>
      <c r="V313" s="181">
        <v>6.641748590562413E-2</v>
      </c>
      <c r="W313" s="180">
        <v>101.21240037238186</v>
      </c>
      <c r="X313" s="181">
        <v>-3.4068302563528101E-3</v>
      </c>
      <c r="Y313" s="181">
        <v>-4.8487914223965811E-3</v>
      </c>
      <c r="Z313" s="180">
        <v>94.076275183537149</v>
      </c>
      <c r="AA313" s="181">
        <v>-3.9589893660710399E-4</v>
      </c>
      <c r="AB313" s="181">
        <v>4.5501114995165626E-3</v>
      </c>
      <c r="AC313" s="180">
        <v>109.09639082684396</v>
      </c>
      <c r="AD313" s="181">
        <v>1.3736790672126001E-3</v>
      </c>
      <c r="AE313" s="181">
        <v>2.2987039716600099E-2</v>
      </c>
      <c r="AF313" s="180">
        <v>97.838892565433127</v>
      </c>
      <c r="AG313" s="181">
        <v>-1.38548627779846E-3</v>
      </c>
      <c r="AH313" s="181">
        <v>2.766687817385538E-3</v>
      </c>
      <c r="AI313" s="180">
        <v>101.29998321636104</v>
      </c>
      <c r="AJ313" s="181">
        <v>-1.3552798791214198E-3</v>
      </c>
      <c r="AK313" s="185">
        <v>-6.3960469129669129E-3</v>
      </c>
    </row>
    <row r="314" spans="1:37" s="184" customFormat="1" ht="15.75" customHeight="1">
      <c r="A314" s="179">
        <v>44409</v>
      </c>
      <c r="B314" s="180">
        <v>126.11488888198051</v>
      </c>
      <c r="C314" s="181">
        <v>1.90068531417451E-3</v>
      </c>
      <c r="D314" s="181">
        <v>-5.4063097441919838E-3</v>
      </c>
      <c r="E314" s="180">
        <v>145.04343975810983</v>
      </c>
      <c r="F314" s="181">
        <v>9.3104700937258096E-3</v>
      </c>
      <c r="G314" s="181">
        <v>2.917759208585391E-2</v>
      </c>
      <c r="H314" s="180">
        <v>126.67850111816828</v>
      </c>
      <c r="I314" s="181">
        <v>4.8572704991570199E-3</v>
      </c>
      <c r="J314" s="181">
        <v>3.866252614173904E-2</v>
      </c>
      <c r="K314" s="180">
        <v>116.75409698586202</v>
      </c>
      <c r="L314" s="181">
        <v>9.1483552574230008E-4</v>
      </c>
      <c r="M314" s="181">
        <v>-5.0262781567211867E-3</v>
      </c>
      <c r="N314" s="180">
        <v>141.61296271427622</v>
      </c>
      <c r="O314" s="181">
        <v>1.8182750125062099E-3</v>
      </c>
      <c r="P314" s="181">
        <v>1.6776889630947922E-2</v>
      </c>
      <c r="Q314" s="180">
        <v>120.15138625202499</v>
      </c>
      <c r="R314" s="181">
        <v>-5.1413089961202599E-3</v>
      </c>
      <c r="S314" s="181">
        <v>-1.7578442667994687E-2</v>
      </c>
      <c r="T314" s="180">
        <v>111.8023912389163</v>
      </c>
      <c r="U314" s="181">
        <v>-3.2500079257197201E-3</v>
      </c>
      <c r="V314" s="181">
        <v>5.5788377471428729E-2</v>
      </c>
      <c r="W314" s="180">
        <v>101.40685086152233</v>
      </c>
      <c r="X314" s="181">
        <v>1.9212121086450802E-3</v>
      </c>
      <c r="Y314" s="181">
        <v>-3.8570234243291424E-3</v>
      </c>
      <c r="Z314" s="180">
        <v>94.677120891310381</v>
      </c>
      <c r="AA314" s="181">
        <v>6.38679312718359E-3</v>
      </c>
      <c r="AB314" s="181">
        <v>1.5534310147029995E-2</v>
      </c>
      <c r="AC314" s="180">
        <v>108.49727088619767</v>
      </c>
      <c r="AD314" s="181">
        <v>-5.4916568376418293E-3</v>
      </c>
      <c r="AE314" s="181">
        <v>1.4956721469920664E-2</v>
      </c>
      <c r="AF314" s="180">
        <v>98.365510029958187</v>
      </c>
      <c r="AG314" s="181">
        <v>5.3824961701489406E-3</v>
      </c>
      <c r="AH314" s="181">
        <v>9.3205244494671824E-3</v>
      </c>
      <c r="AI314" s="180">
        <v>101.72917841876856</v>
      </c>
      <c r="AJ314" s="181">
        <v>4.2368733812208495E-3</v>
      </c>
      <c r="AK314" s="185">
        <v>8.5487108076254259E-4</v>
      </c>
    </row>
    <row r="315" spans="1:37" s="184" customFormat="1" ht="15.75" customHeight="1">
      <c r="A315" s="179">
        <v>44440</v>
      </c>
      <c r="B315" s="180">
        <v>126.4201202684166</v>
      </c>
      <c r="C315" s="181">
        <v>2.4202644837734797E-3</v>
      </c>
      <c r="D315" s="181">
        <v>1.6137567860496915E-4</v>
      </c>
      <c r="E315" s="180">
        <v>146.13334935966122</v>
      </c>
      <c r="F315" s="181">
        <v>7.5143667536363805E-3</v>
      </c>
      <c r="G315" s="181">
        <v>3.2381404451286455E-2</v>
      </c>
      <c r="H315" s="180">
        <v>127.13874442655268</v>
      </c>
      <c r="I315" s="181">
        <v>3.6331603572974701E-3</v>
      </c>
      <c r="J315" s="181">
        <v>4.0888466355171627E-2</v>
      </c>
      <c r="K315" s="180">
        <v>116.45681374577384</v>
      </c>
      <c r="L315" s="181">
        <v>-2.5462339032451499E-3</v>
      </c>
      <c r="M315" s="181">
        <v>-4.9540069594827818E-3</v>
      </c>
      <c r="N315" s="180">
        <v>142.32624439691281</v>
      </c>
      <c r="O315" s="181">
        <v>5.0368389232539803E-3</v>
      </c>
      <c r="P315" s="181">
        <v>2.2519510235460949E-2</v>
      </c>
      <c r="Q315" s="180">
        <v>120.83019573116663</v>
      </c>
      <c r="R315" s="181">
        <v>5.6496183715914906E-3</v>
      </c>
      <c r="S315" s="181">
        <v>-1.421934880470288E-2</v>
      </c>
      <c r="T315" s="180">
        <v>112.17864444551539</v>
      </c>
      <c r="U315" s="181">
        <v>3.3653413172090403E-3</v>
      </c>
      <c r="V315" s="181">
        <v>5.0155381690729417E-2</v>
      </c>
      <c r="W315" s="180">
        <v>101.32877990750028</v>
      </c>
      <c r="X315" s="181">
        <v>-7.6987849793955611E-4</v>
      </c>
      <c r="Y315" s="181">
        <v>-4.9460791229156698E-3</v>
      </c>
      <c r="Z315" s="180">
        <v>94.857247929666457</v>
      </c>
      <c r="AA315" s="181">
        <v>1.9025403039333001E-3</v>
      </c>
      <c r="AB315" s="181">
        <v>1.8065137797415698E-2</v>
      </c>
      <c r="AC315" s="180">
        <v>108.26336822460758</v>
      </c>
      <c r="AD315" s="181">
        <v>-2.1558391255337901E-3</v>
      </c>
      <c r="AE315" s="181">
        <v>1.4930667915460827E-2</v>
      </c>
      <c r="AF315" s="180">
        <v>98.386337075953634</v>
      </c>
      <c r="AG315" s="181">
        <v>2.1173118493561098E-4</v>
      </c>
      <c r="AH315" s="181">
        <v>6.3217967391873131E-3</v>
      </c>
      <c r="AI315" s="180">
        <v>101.62176900408276</v>
      </c>
      <c r="AJ315" s="181">
        <v>-1.0558368440137999E-3</v>
      </c>
      <c r="AK315" s="185">
        <v>-2.9261556121956689E-3</v>
      </c>
    </row>
    <row r="316" spans="1:37" s="184" customFormat="1" ht="15.75" customHeight="1">
      <c r="A316" s="179">
        <v>44470</v>
      </c>
      <c r="B316" s="180">
        <v>126.84115007870916</v>
      </c>
      <c r="C316" s="181">
        <v>3.3304019122798001E-3</v>
      </c>
      <c r="D316" s="181">
        <v>4.8866637108946342E-3</v>
      </c>
      <c r="E316" s="180">
        <v>146.60825208716903</v>
      </c>
      <c r="F316" s="181">
        <v>3.2497902059233901E-3</v>
      </c>
      <c r="G316" s="181">
        <v>3.2144957213528835E-2</v>
      </c>
      <c r="H316" s="180">
        <v>127.80590345908145</v>
      </c>
      <c r="I316" s="181">
        <v>5.2474879749514706E-3</v>
      </c>
      <c r="J316" s="181">
        <v>4.3553409475705296E-2</v>
      </c>
      <c r="K316" s="180">
        <v>116.271446118889</v>
      </c>
      <c r="L316" s="181">
        <v>-1.59172847790168E-3</v>
      </c>
      <c r="M316" s="181">
        <v>-5.8628656484103203E-3</v>
      </c>
      <c r="N316" s="180">
        <v>142.05472870795359</v>
      </c>
      <c r="O316" s="181">
        <v>-1.9076993853785701E-3</v>
      </c>
      <c r="P316" s="181">
        <v>2.0812702668950633E-2</v>
      </c>
      <c r="Q316" s="180">
        <v>121.26821921875094</v>
      </c>
      <c r="R316" s="181">
        <v>3.6251160972947099E-3</v>
      </c>
      <c r="S316" s="181">
        <v>-1.6972895526569221E-2</v>
      </c>
      <c r="T316" s="180">
        <v>112.85800027329442</v>
      </c>
      <c r="U316" s="181">
        <v>6.0560174455397599E-3</v>
      </c>
      <c r="V316" s="181">
        <v>5.1401690188934923E-2</v>
      </c>
      <c r="W316" s="180">
        <v>101.33339412597483</v>
      </c>
      <c r="X316" s="181">
        <v>4.5537096950663001E-5</v>
      </c>
      <c r="Y316" s="181">
        <v>-8.6621482933041394E-3</v>
      </c>
      <c r="Z316" s="180">
        <v>91.951804929616287</v>
      </c>
      <c r="AA316" s="181">
        <v>-3.0629636253040601E-2</v>
      </c>
      <c r="AB316" s="181">
        <v>-1.5828881270552042E-2</v>
      </c>
      <c r="AC316" s="180">
        <v>109.12423129972633</v>
      </c>
      <c r="AD316" s="181">
        <v>7.9515637582305895E-3</v>
      </c>
      <c r="AE316" s="181">
        <v>2.2613274096360492E-2</v>
      </c>
      <c r="AF316" s="180">
        <v>98.627550668124911</v>
      </c>
      <c r="AG316" s="181">
        <v>2.4516980643874702E-3</v>
      </c>
      <c r="AH316" s="181">
        <v>1.2059980143380722E-2</v>
      </c>
      <c r="AI316" s="180">
        <v>103.12030411634056</v>
      </c>
      <c r="AJ316" s="181">
        <v>1.47462017926257E-2</v>
      </c>
      <c r="AK316" s="185">
        <v>1.1519709241884168E-2</v>
      </c>
    </row>
    <row r="317" spans="1:37" s="184" customFormat="1" ht="15.75" customHeight="1">
      <c r="A317" s="179">
        <v>44501</v>
      </c>
      <c r="B317" s="180">
        <v>127.25675966919718</v>
      </c>
      <c r="C317" s="181">
        <v>3.27661480702531E-3</v>
      </c>
      <c r="D317" s="181">
        <v>7.5076070979165355E-3</v>
      </c>
      <c r="E317" s="180">
        <v>147.47640508762555</v>
      </c>
      <c r="F317" s="181">
        <v>5.9215834586196607E-3</v>
      </c>
      <c r="G317" s="181">
        <v>3.169657488895794E-2</v>
      </c>
      <c r="H317" s="180">
        <v>128.5121093165055</v>
      </c>
      <c r="I317" s="181">
        <v>5.5256121846526994E-3</v>
      </c>
      <c r="J317" s="181">
        <v>4.6035724535972378E-2</v>
      </c>
      <c r="K317" s="180">
        <v>116.55719496164497</v>
      </c>
      <c r="L317" s="181">
        <v>2.4576011763351199E-3</v>
      </c>
      <c r="M317" s="181">
        <v>-2.055605286590656E-3</v>
      </c>
      <c r="N317" s="180">
        <v>142.49443621010758</v>
      </c>
      <c r="O317" s="181">
        <v>3.0953387201771597E-3</v>
      </c>
      <c r="P317" s="181">
        <v>2.6129951813778973E-2</v>
      </c>
      <c r="Q317" s="180">
        <v>122.25369815453304</v>
      </c>
      <c r="R317" s="181">
        <v>8.1264402341428496E-3</v>
      </c>
      <c r="S317" s="181">
        <v>-9.5998365134505326E-3</v>
      </c>
      <c r="T317" s="180">
        <v>113.19046767451293</v>
      </c>
      <c r="U317" s="181">
        <v>2.9458913006913303E-3</v>
      </c>
      <c r="V317" s="181">
        <v>5.3171202715028176E-2</v>
      </c>
      <c r="W317" s="180">
        <v>102.35292675847873</v>
      </c>
      <c r="X317" s="181">
        <v>1.00611712584741E-2</v>
      </c>
      <c r="Y317" s="181">
        <v>5.1512520800245376E-4</v>
      </c>
      <c r="Z317" s="180">
        <v>92.546292489385749</v>
      </c>
      <c r="AA317" s="181">
        <v>6.4652081623030998E-3</v>
      </c>
      <c r="AB317" s="181">
        <v>-5.0948487465251047E-3</v>
      </c>
      <c r="AC317" s="180">
        <v>109.50412823237345</v>
      </c>
      <c r="AD317" s="181">
        <v>3.4813251660272297E-3</v>
      </c>
      <c r="AE317" s="181">
        <v>1.8025863922203067E-2</v>
      </c>
      <c r="AF317" s="180">
        <v>99.152818078394134</v>
      </c>
      <c r="AG317" s="181">
        <v>5.3257675640420599E-3</v>
      </c>
      <c r="AH317" s="181">
        <v>1.5739077720682504E-2</v>
      </c>
      <c r="AI317" s="180">
        <v>104.39313105993661</v>
      </c>
      <c r="AJ317" s="181">
        <v>1.2343126356183301E-2</v>
      </c>
      <c r="AK317" s="185">
        <v>1.989263700238264E-2</v>
      </c>
    </row>
    <row r="318" spans="1:37" s="184" customFormat="1" ht="15.75" customHeight="1">
      <c r="A318" s="179">
        <v>44531</v>
      </c>
      <c r="B318" s="180">
        <v>126.97762999064879</v>
      </c>
      <c r="C318" s="181">
        <v>-2.19343694805669E-3</v>
      </c>
      <c r="D318" s="181">
        <v>7.2947786060981734E-3</v>
      </c>
      <c r="E318" s="180">
        <v>146.56045863766758</v>
      </c>
      <c r="F318" s="181">
        <v>-6.2107999541605495E-3</v>
      </c>
      <c r="G318" s="181">
        <v>2.8992301948793431E-2</v>
      </c>
      <c r="H318" s="180">
        <v>128.08893266796892</v>
      </c>
      <c r="I318" s="181">
        <v>-3.2928931817185502E-3</v>
      </c>
      <c r="J318" s="181">
        <v>4.4363416348512263E-2</v>
      </c>
      <c r="K318" s="180">
        <v>117.37709785646064</v>
      </c>
      <c r="L318" s="181">
        <v>7.0343396225815303E-3</v>
      </c>
      <c r="M318" s="181">
        <v>5.4231480325561687E-3</v>
      </c>
      <c r="N318" s="180">
        <v>141.81020151948584</v>
      </c>
      <c r="O318" s="181">
        <v>-4.8018344352255002E-3</v>
      </c>
      <c r="P318" s="181">
        <v>2.3925526147330789E-2</v>
      </c>
      <c r="Q318" s="180">
        <v>122.53505133012618</v>
      </c>
      <c r="R318" s="181">
        <v>2.3013878503494001E-3</v>
      </c>
      <c r="S318" s="181">
        <v>-1.0244312000191047E-2</v>
      </c>
      <c r="T318" s="180">
        <v>112.6531140889023</v>
      </c>
      <c r="U318" s="181">
        <v>-4.7473395653407201E-3</v>
      </c>
      <c r="V318" s="181">
        <v>5.9472856354615633E-2</v>
      </c>
      <c r="W318" s="180">
        <v>101.18218274872311</v>
      </c>
      <c r="X318" s="181">
        <v>-1.1438305154851201E-2</v>
      </c>
      <c r="Y318" s="181">
        <v>-3.6194850394303257E-3</v>
      </c>
      <c r="Z318" s="180">
        <v>92.661227878590395</v>
      </c>
      <c r="AA318" s="181">
        <v>1.2419232160794499E-3</v>
      </c>
      <c r="AB318" s="181">
        <v>-5.2745828649429782E-3</v>
      </c>
      <c r="AC318" s="180">
        <v>109.6651652063989</v>
      </c>
      <c r="AD318" s="181">
        <v>1.47060185423979E-3</v>
      </c>
      <c r="AE318" s="181">
        <v>2.3387031732884589E-2</v>
      </c>
      <c r="AF318" s="180">
        <v>98.299673913445318</v>
      </c>
      <c r="AG318" s="181">
        <v>-8.6043360287982804E-3</v>
      </c>
      <c r="AH318" s="181">
        <v>9.1686895719187422E-3</v>
      </c>
      <c r="AI318" s="180">
        <v>106.36425197824289</v>
      </c>
      <c r="AJ318" s="181">
        <v>1.8881710877841001E-2</v>
      </c>
      <c r="AK318" s="185">
        <v>2.6759092281162467E-2</v>
      </c>
    </row>
    <row r="319" spans="1:37" s="184" customFormat="1" ht="15.75" customHeight="1">
      <c r="A319" s="179">
        <v>44562</v>
      </c>
      <c r="B319" s="180">
        <v>127.23553143218385</v>
      </c>
      <c r="C319" s="181">
        <v>2.0310777697933298E-3</v>
      </c>
      <c r="D319" s="181">
        <v>8.0004343491748564E-3</v>
      </c>
      <c r="E319" s="180">
        <v>147.50422422640614</v>
      </c>
      <c r="F319" s="181">
        <v>6.4394284618868201E-3</v>
      </c>
      <c r="G319" s="181">
        <v>2.8240634895408956E-2</v>
      </c>
      <c r="H319" s="180">
        <v>128.32630397801532</v>
      </c>
      <c r="I319" s="181">
        <v>1.85317579826926E-3</v>
      </c>
      <c r="J319" s="181">
        <v>3.8519784720967509E-2</v>
      </c>
      <c r="K319" s="180">
        <v>119.04685549747899</v>
      </c>
      <c r="L319" s="181">
        <v>1.4225582941744499E-2</v>
      </c>
      <c r="M319" s="181">
        <v>1.5689272149199018E-2</v>
      </c>
      <c r="N319" s="180">
        <v>142.18278408094591</v>
      </c>
      <c r="O319" s="181">
        <v>2.6273325717604103E-3</v>
      </c>
      <c r="P319" s="181">
        <v>2.3569746818975723E-2</v>
      </c>
      <c r="Q319" s="180">
        <v>122.78315825529634</v>
      </c>
      <c r="R319" s="181">
        <v>2.02478329650938E-3</v>
      </c>
      <c r="S319" s="181">
        <v>-8.3407222882069254E-3</v>
      </c>
      <c r="T319" s="180">
        <v>113.26428929747084</v>
      </c>
      <c r="U319" s="181">
        <v>5.4252846316011601E-3</v>
      </c>
      <c r="V319" s="181">
        <v>5.1883469029230245E-2</v>
      </c>
      <c r="W319" s="180">
        <v>101.36842245941703</v>
      </c>
      <c r="X319" s="181">
        <v>1.8406374090232898E-3</v>
      </c>
      <c r="Y319" s="181">
        <v>-1.0308213883734041E-3</v>
      </c>
      <c r="Z319" s="180">
        <v>92.177227020002803</v>
      </c>
      <c r="AA319" s="181">
        <v>-5.2233374159658995E-3</v>
      </c>
      <c r="AB319" s="181">
        <v>-1.6005534581462144E-2</v>
      </c>
      <c r="AC319" s="180">
        <v>110.63067581740376</v>
      </c>
      <c r="AD319" s="181">
        <v>8.8041686636561294E-3</v>
      </c>
      <c r="AE319" s="181">
        <v>2.6955378778749983E-2</v>
      </c>
      <c r="AF319" s="180">
        <v>98.399029179064655</v>
      </c>
      <c r="AG319" s="181">
        <v>1.0107385066895598E-3</v>
      </c>
      <c r="AH319" s="181">
        <v>5.6106821866868106E-3</v>
      </c>
      <c r="AI319" s="180">
        <v>109.32529798611648</v>
      </c>
      <c r="AJ319" s="181">
        <v>2.7838732965275698E-2</v>
      </c>
      <c r="AK319" s="185">
        <v>5.1840335673681404E-2</v>
      </c>
    </row>
    <row r="320" spans="1:37" s="184" customFormat="1" ht="15.75" customHeight="1">
      <c r="A320" s="179">
        <v>44593</v>
      </c>
      <c r="B320" s="180">
        <v>127.45020973342925</v>
      </c>
      <c r="C320" s="181">
        <v>1.68725118548988E-3</v>
      </c>
      <c r="D320" s="181">
        <v>1.0505002160318799E-2</v>
      </c>
      <c r="E320" s="180">
        <v>148.71984286694783</v>
      </c>
      <c r="F320" s="181">
        <v>8.2412462891627205E-3</v>
      </c>
      <c r="G320" s="181">
        <v>3.2051588987956015E-2</v>
      </c>
      <c r="H320" s="180">
        <v>128.94522706899048</v>
      </c>
      <c r="I320" s="181">
        <v>4.8230415105010695E-3</v>
      </c>
      <c r="J320" s="181">
        <v>3.6829778853640027E-2</v>
      </c>
      <c r="K320" s="180">
        <v>120.49135470314309</v>
      </c>
      <c r="L320" s="181">
        <v>1.21338711520582E-2</v>
      </c>
      <c r="M320" s="181">
        <v>3.0536137438850197E-2</v>
      </c>
      <c r="N320" s="180">
        <v>142.80745667482691</v>
      </c>
      <c r="O320" s="181">
        <v>4.3934474762104495E-3</v>
      </c>
      <c r="P320" s="181">
        <v>2.4829585987510283E-2</v>
      </c>
      <c r="Q320" s="180">
        <v>123.12037771094494</v>
      </c>
      <c r="R320" s="181">
        <v>2.7464634436868002E-3</v>
      </c>
      <c r="S320" s="181">
        <v>-5.0163536718009771E-3</v>
      </c>
      <c r="T320" s="180">
        <v>114.34073034161997</v>
      </c>
      <c r="U320" s="181">
        <v>9.5037990422739398E-3</v>
      </c>
      <c r="V320" s="181">
        <v>5.7600815507213854E-2</v>
      </c>
      <c r="W320" s="180">
        <v>102.74446320757112</v>
      </c>
      <c r="X320" s="181">
        <v>1.35746489367038E-2</v>
      </c>
      <c r="Y320" s="181">
        <v>6.113362753021212E-3</v>
      </c>
      <c r="Z320" s="180">
        <v>92.492194793336296</v>
      </c>
      <c r="AA320" s="181">
        <v>3.4169803487920903E-3</v>
      </c>
      <c r="AB320" s="181">
        <v>-1.4319963994664398E-2</v>
      </c>
      <c r="AC320" s="180">
        <v>110.10180195300886</v>
      </c>
      <c r="AD320" s="181">
        <v>-4.7805354210056598E-3</v>
      </c>
      <c r="AE320" s="181">
        <v>1.9624580098651867E-2</v>
      </c>
      <c r="AF320" s="180">
        <v>98.488525579100525</v>
      </c>
      <c r="AG320" s="181">
        <v>9.09525233963417E-4</v>
      </c>
      <c r="AH320" s="181">
        <v>1.6340869785345102E-3</v>
      </c>
      <c r="AI320" s="180">
        <v>109.24230523091715</v>
      </c>
      <c r="AJ320" s="181">
        <v>-7.5913586999663591E-4</v>
      </c>
      <c r="AK320" s="185">
        <v>5.3410563070095618E-2</v>
      </c>
    </row>
    <row r="321" spans="1:37" s="184" customFormat="1" ht="15.75" customHeight="1">
      <c r="A321" s="179">
        <v>44621</v>
      </c>
      <c r="B321" s="180">
        <v>127.78418816379944</v>
      </c>
      <c r="C321" s="181">
        <v>2.6204619911472898E-3</v>
      </c>
      <c r="D321" s="181">
        <v>1.0636881774098939E-2</v>
      </c>
      <c r="E321" s="180">
        <v>148.94029257447474</v>
      </c>
      <c r="F321" s="181">
        <v>1.4823153607292599E-3</v>
      </c>
      <c r="G321" s="181">
        <v>2.9482627841739939E-2</v>
      </c>
      <c r="H321" s="180">
        <v>128.38242669544132</v>
      </c>
      <c r="I321" s="181">
        <v>-4.3646468065701898E-3</v>
      </c>
      <c r="J321" s="181">
        <v>2.8133085693403226E-2</v>
      </c>
      <c r="K321" s="180">
        <v>122.21549388427309</v>
      </c>
      <c r="L321" s="181">
        <v>1.4309235591033E-2</v>
      </c>
      <c r="M321" s="181">
        <v>3.9515394249588276E-2</v>
      </c>
      <c r="N321" s="180">
        <v>144.01240794603149</v>
      </c>
      <c r="O321" s="181">
        <v>8.4375935211021304E-3</v>
      </c>
      <c r="P321" s="181">
        <v>3.1991502027016727E-2</v>
      </c>
      <c r="Q321" s="180">
        <v>122.80494098574039</v>
      </c>
      <c r="R321" s="181">
        <v>-2.5620188231157397E-3</v>
      </c>
      <c r="S321" s="181">
        <v>-3.676523926435582E-3</v>
      </c>
      <c r="T321" s="180">
        <v>113.72125515397519</v>
      </c>
      <c r="U321" s="181">
        <v>-5.4177998145887498E-3</v>
      </c>
      <c r="V321" s="181">
        <v>4.5048047291267546E-2</v>
      </c>
      <c r="W321" s="180">
        <v>102.84095498909033</v>
      </c>
      <c r="X321" s="181">
        <v>9.3914337091117192E-4</v>
      </c>
      <c r="Y321" s="181">
        <v>4.4950394069060984E-3</v>
      </c>
      <c r="Z321" s="180">
        <v>94.191621662989462</v>
      </c>
      <c r="AA321" s="181">
        <v>1.83737327614545E-2</v>
      </c>
      <c r="AB321" s="181">
        <v>-6.8470704157086448E-4</v>
      </c>
      <c r="AC321" s="180">
        <v>110.55471699827366</v>
      </c>
      <c r="AD321" s="181">
        <v>4.1136024772609695E-3</v>
      </c>
      <c r="AE321" s="181">
        <v>1.9859913853448541E-2</v>
      </c>
      <c r="AF321" s="180">
        <v>99.711165999233714</v>
      </c>
      <c r="AG321" s="181">
        <v>1.2414039228876701E-2</v>
      </c>
      <c r="AH321" s="181">
        <v>9.2826422788254703E-3</v>
      </c>
      <c r="AI321" s="180">
        <v>109.31997894308317</v>
      </c>
      <c r="AJ321" s="181">
        <v>7.1102227293565494E-4</v>
      </c>
      <c r="AK321" s="185">
        <v>6.5208833488785922E-2</v>
      </c>
    </row>
    <row r="322" spans="1:37" s="184" customFormat="1" ht="15.75" customHeight="1">
      <c r="A322" s="179">
        <v>44652</v>
      </c>
      <c r="B322" s="180">
        <v>127.88500243685139</v>
      </c>
      <c r="C322" s="181">
        <v>7.8894168754830999E-4</v>
      </c>
      <c r="D322" s="181">
        <v>1.3413677102465105E-2</v>
      </c>
      <c r="E322" s="180">
        <v>149.94260084244172</v>
      </c>
      <c r="F322" s="181">
        <v>6.7295978183054602E-3</v>
      </c>
      <c r="G322" s="181">
        <v>3.27198718429349E-2</v>
      </c>
      <c r="H322" s="180">
        <v>128.63712319357504</v>
      </c>
      <c r="I322" s="181">
        <v>1.98388910919973E-3</v>
      </c>
      <c r="J322" s="181">
        <v>2.6010069396788404E-2</v>
      </c>
      <c r="K322" s="180">
        <v>121.08758157118537</v>
      </c>
      <c r="L322" s="181">
        <v>-9.2288815209939697E-3</v>
      </c>
      <c r="M322" s="181">
        <v>3.0435675258822403E-2</v>
      </c>
      <c r="N322" s="180">
        <v>145.01792362689375</v>
      </c>
      <c r="O322" s="181">
        <v>6.9821461581219199E-3</v>
      </c>
      <c r="P322" s="181">
        <v>3.5527121420052321E-2</v>
      </c>
      <c r="Q322" s="180">
        <v>122.96229687879335</v>
      </c>
      <c r="R322" s="181">
        <v>1.28134822418287E-3</v>
      </c>
      <c r="S322" s="181">
        <v>1.7684817715757362E-3</v>
      </c>
      <c r="T322" s="180">
        <v>113.7703110135605</v>
      </c>
      <c r="U322" s="181">
        <v>4.3136931191004404E-4</v>
      </c>
      <c r="V322" s="181">
        <v>3.3624702538683549E-2</v>
      </c>
      <c r="W322" s="180">
        <v>102.85822963370316</v>
      </c>
      <c r="X322" s="181">
        <v>1.6797436988661902E-4</v>
      </c>
      <c r="Y322" s="181">
        <v>9.6170568250641963E-4</v>
      </c>
      <c r="Z322" s="180">
        <v>93.410467915749621</v>
      </c>
      <c r="AA322" s="181">
        <v>-8.2932402420541097E-3</v>
      </c>
      <c r="AB322" s="181">
        <v>-1.0199390580921452E-2</v>
      </c>
      <c r="AC322" s="180">
        <v>110.22581452331927</v>
      </c>
      <c r="AD322" s="181">
        <v>-2.9750198262415602E-3</v>
      </c>
      <c r="AE322" s="181">
        <v>1.1740928482395496E-2</v>
      </c>
      <c r="AF322" s="180">
        <v>100.03577207200075</v>
      </c>
      <c r="AG322" s="181">
        <v>3.2554636134688097E-3</v>
      </c>
      <c r="AH322" s="181">
        <v>1.0914825971956477E-2</v>
      </c>
      <c r="AI322" s="180">
        <v>108.95114422492765</v>
      </c>
      <c r="AJ322" s="181">
        <v>-3.37390037687036E-3</v>
      </c>
      <c r="AK322" s="185">
        <v>6.718726080766646E-2</v>
      </c>
    </row>
    <row r="323" spans="1:37" s="184" customFormat="1" ht="15.75" customHeight="1">
      <c r="A323" s="179">
        <v>44682</v>
      </c>
      <c r="B323" s="180">
        <v>128.02543380522951</v>
      </c>
      <c r="C323" s="181">
        <v>1.0981066247190401E-3</v>
      </c>
      <c r="D323" s="181">
        <v>1.7364689348994489E-2</v>
      </c>
      <c r="E323" s="180">
        <v>150.21087144626495</v>
      </c>
      <c r="F323" s="181">
        <v>1.78915533221358E-3</v>
      </c>
      <c r="G323" s="181">
        <v>3.5080701267200309E-2</v>
      </c>
      <c r="H323" s="180">
        <v>128.67818414663634</v>
      </c>
      <c r="I323" s="181">
        <v>3.1919987047218201E-4</v>
      </c>
      <c r="J323" s="181">
        <v>2.465091681026732E-2</v>
      </c>
      <c r="K323" s="180">
        <v>120.87105735515348</v>
      </c>
      <c r="L323" s="181">
        <v>-1.7881620329875799E-3</v>
      </c>
      <c r="M323" s="181">
        <v>3.5388820011845956E-2</v>
      </c>
      <c r="N323" s="180">
        <v>146.21579910478539</v>
      </c>
      <c r="O323" s="181">
        <v>8.260189140299419E-3</v>
      </c>
      <c r="P323" s="181">
        <v>3.9330945864485267E-2</v>
      </c>
      <c r="Q323" s="180">
        <v>123.185996708508</v>
      </c>
      <c r="R323" s="181">
        <v>1.8192554579162302E-3</v>
      </c>
      <c r="S323" s="181">
        <v>7.5547472532175863E-3</v>
      </c>
      <c r="T323" s="180">
        <v>114.13052464061678</v>
      </c>
      <c r="U323" s="181">
        <v>3.1661478627174598E-3</v>
      </c>
      <c r="V323" s="181">
        <v>2.8896007599948481E-2</v>
      </c>
      <c r="W323" s="180">
        <v>102.80996616259476</v>
      </c>
      <c r="X323" s="181">
        <v>-4.6922323357382999E-4</v>
      </c>
      <c r="Y323" s="181">
        <v>8.1404079150944053E-3</v>
      </c>
      <c r="Z323" s="180">
        <v>94.45985468105998</v>
      </c>
      <c r="AA323" s="181">
        <v>1.12341452593606E-2</v>
      </c>
      <c r="AB323" s="181">
        <v>-7.3722915581331261E-4</v>
      </c>
      <c r="AC323" s="180">
        <v>110.49350189906521</v>
      </c>
      <c r="AD323" s="181">
        <v>2.4285361546528602E-3</v>
      </c>
      <c r="AE323" s="181">
        <v>1.5215188956581249E-2</v>
      </c>
      <c r="AF323" s="180">
        <v>100.13976719713455</v>
      </c>
      <c r="AG323" s="181">
        <v>1.03957937225645E-3</v>
      </c>
      <c r="AH323" s="181">
        <v>2.0038605871394388E-2</v>
      </c>
      <c r="AI323" s="180">
        <v>108.92194396803066</v>
      </c>
      <c r="AJ323" s="181">
        <v>-2.6801239312089801E-4</v>
      </c>
      <c r="AK323" s="185">
        <v>7.0127867383284359E-2</v>
      </c>
    </row>
    <row r="324" spans="1:37" s="184" customFormat="1" ht="15.75" customHeight="1">
      <c r="A324" s="179">
        <v>44713</v>
      </c>
      <c r="B324" s="180">
        <v>128.41985681854095</v>
      </c>
      <c r="C324" s="181">
        <v>3.0808176280931101E-3</v>
      </c>
      <c r="D324" s="181">
        <v>2.0710424623578083E-2</v>
      </c>
      <c r="E324" s="180">
        <v>151.59978693464856</v>
      </c>
      <c r="F324" s="181">
        <v>9.2464378577316805E-3</v>
      </c>
      <c r="G324" s="181">
        <v>5.372724496067427E-2</v>
      </c>
      <c r="H324" s="180">
        <v>129.25058720380764</v>
      </c>
      <c r="I324" s="181">
        <v>4.4483302353645598E-3</v>
      </c>
      <c r="J324" s="181">
        <v>2.8859332644029179E-2</v>
      </c>
      <c r="K324" s="180">
        <v>121.30583268313121</v>
      </c>
      <c r="L324" s="181">
        <v>3.5970176607311301E-3</v>
      </c>
      <c r="M324" s="181">
        <v>4.0065340760520263E-2</v>
      </c>
      <c r="N324" s="180">
        <v>146.76187309024579</v>
      </c>
      <c r="O324" s="181">
        <v>3.7347125878581999E-3</v>
      </c>
      <c r="P324" s="181">
        <v>4.1596725890610697E-2</v>
      </c>
      <c r="Q324" s="180">
        <v>123.02234995263044</v>
      </c>
      <c r="R324" s="181">
        <v>-1.3284525859283199E-3</v>
      </c>
      <c r="S324" s="181">
        <v>1.1940797140391535E-2</v>
      </c>
      <c r="T324" s="180">
        <v>115.1764154178571</v>
      </c>
      <c r="U324" s="181">
        <v>9.16398816647606E-3</v>
      </c>
      <c r="V324" s="181">
        <v>3.080337704088798E-2</v>
      </c>
      <c r="W324" s="180">
        <v>103.0541676107696</v>
      </c>
      <c r="X324" s="181">
        <v>2.3752701930533399E-3</v>
      </c>
      <c r="Y324" s="181">
        <v>1.4728226745374995E-2</v>
      </c>
      <c r="Z324" s="180">
        <v>94.90029619905458</v>
      </c>
      <c r="AA324" s="181">
        <v>4.6627376199310996E-3</v>
      </c>
      <c r="AB324" s="181">
        <v>8.359706925409327E-3</v>
      </c>
      <c r="AC324" s="180">
        <v>111.38097573801581</v>
      </c>
      <c r="AD324" s="181">
        <v>8.0319097838105497E-3</v>
      </c>
      <c r="AE324" s="181">
        <v>2.234342133185474E-2</v>
      </c>
      <c r="AF324" s="180">
        <v>100.56579941474423</v>
      </c>
      <c r="AG324" s="181">
        <v>4.2543759540702606E-3</v>
      </c>
      <c r="AH324" s="181">
        <v>2.6447297657990365E-2</v>
      </c>
      <c r="AI324" s="180">
        <v>108.92389426781962</v>
      </c>
      <c r="AJ324" s="181">
        <v>1.79054809150941E-5</v>
      </c>
      <c r="AK324" s="185">
        <v>7.3803454372086685E-2</v>
      </c>
    </row>
    <row r="325" spans="1:37" s="184" customFormat="1" ht="15.75" customHeight="1">
      <c r="A325" s="179">
        <v>44743</v>
      </c>
      <c r="B325" s="180">
        <v>128.52033345198291</v>
      </c>
      <c r="C325" s="181">
        <v>7.8240730001689397E-4</v>
      </c>
      <c r="D325" s="181">
        <v>2.1010376362833982E-2</v>
      </c>
      <c r="E325" s="180">
        <v>151.68683423229001</v>
      </c>
      <c r="F325" s="181">
        <v>5.7419142468165501E-4</v>
      </c>
      <c r="G325" s="181">
        <v>5.553970742383374E-2</v>
      </c>
      <c r="H325" s="180">
        <v>129.30357538745594</v>
      </c>
      <c r="I325" s="181">
        <v>4.0996474209222699E-4</v>
      </c>
      <c r="J325" s="181">
        <v>2.5680258944791756E-2</v>
      </c>
      <c r="K325" s="180">
        <v>121.69367299784095</v>
      </c>
      <c r="L325" s="181">
        <v>3.1972107699291103E-3</v>
      </c>
      <c r="M325" s="181">
        <v>4.3261057536225334E-2</v>
      </c>
      <c r="N325" s="180">
        <v>146.8816422654082</v>
      </c>
      <c r="O325" s="181">
        <v>8.1607826774434593E-4</v>
      </c>
      <c r="P325" s="181">
        <v>3.9090706563552402E-2</v>
      </c>
      <c r="Q325" s="180">
        <v>123.58156751264187</v>
      </c>
      <c r="R325" s="181">
        <v>4.5456582501208296E-3</v>
      </c>
      <c r="S325" s="181">
        <v>2.3260740662177648E-2</v>
      </c>
      <c r="T325" s="180">
        <v>115.85657246903202</v>
      </c>
      <c r="U325" s="181">
        <v>5.9053500554545803E-3</v>
      </c>
      <c r="V325" s="181">
        <v>3.2894166310680095E-2</v>
      </c>
      <c r="W325" s="180">
        <v>102.90617357827377</v>
      </c>
      <c r="X325" s="181">
        <v>-1.43608003370426E-3</v>
      </c>
      <c r="Y325" s="181">
        <v>1.6734838810858577E-2</v>
      </c>
      <c r="Z325" s="180">
        <v>93.700065942582413</v>
      </c>
      <c r="AA325" s="181">
        <v>-1.2647276189261501E-2</v>
      </c>
      <c r="AB325" s="181">
        <v>-3.9989810419340799E-3</v>
      </c>
      <c r="AC325" s="180">
        <v>111.02335337069225</v>
      </c>
      <c r="AD325" s="181">
        <v>-3.2108029666101001E-3</v>
      </c>
      <c r="AE325" s="181">
        <v>1.7662935769403587E-2</v>
      </c>
      <c r="AF325" s="180">
        <v>100.00322512408707</v>
      </c>
      <c r="AG325" s="181">
        <v>-5.5940915692128902E-3</v>
      </c>
      <c r="AH325" s="181">
        <v>2.2121392647677984E-2</v>
      </c>
      <c r="AI325" s="180">
        <v>108.93413282336772</v>
      </c>
      <c r="AJ325" s="181">
        <v>9.39973328801706E-5</v>
      </c>
      <c r="AK325" s="185">
        <v>7.53618052502667E-2</v>
      </c>
    </row>
    <row r="326" spans="1:37" s="184" customFormat="1" ht="15.75" customHeight="1">
      <c r="A326" s="179">
        <v>44774</v>
      </c>
      <c r="B326" s="180">
        <v>128.69984958705064</v>
      </c>
      <c r="C326" s="181">
        <v>1.3967917001616601E-3</v>
      </c>
      <c r="D326" s="181">
        <v>2.0496871764991598E-2</v>
      </c>
      <c r="E326" s="180">
        <v>151.92386428996892</v>
      </c>
      <c r="F326" s="181">
        <v>1.56262775789717E-3</v>
      </c>
      <c r="G326" s="181">
        <v>4.7436992278545143E-2</v>
      </c>
      <c r="H326" s="180">
        <v>129.87208813740341</v>
      </c>
      <c r="I326" s="181">
        <v>4.39672876982658E-3</v>
      </c>
      <c r="J326" s="181">
        <v>2.5210173715712658E-2</v>
      </c>
      <c r="K326" s="180">
        <v>121.89117981555607</v>
      </c>
      <c r="L326" s="181">
        <v>1.62298345386141E-3</v>
      </c>
      <c r="M326" s="181">
        <v>4.399916544527005E-2</v>
      </c>
      <c r="N326" s="180">
        <v>147.03821686630639</v>
      </c>
      <c r="O326" s="181">
        <v>1.0659916275667499E-3</v>
      </c>
      <c r="P326" s="181">
        <v>3.8310434638503921E-2</v>
      </c>
      <c r="Q326" s="180">
        <v>123.95828188772521</v>
      </c>
      <c r="R326" s="181">
        <v>3.0483055253753598E-3</v>
      </c>
      <c r="S326" s="181">
        <v>3.1684159080070939E-2</v>
      </c>
      <c r="T326" s="180">
        <v>115.03400723809618</v>
      </c>
      <c r="U326" s="181">
        <v>-7.0998581557011296E-3</v>
      </c>
      <c r="V326" s="181">
        <v>2.8904712711144809E-2</v>
      </c>
      <c r="W326" s="180">
        <v>102.39137100014726</v>
      </c>
      <c r="X326" s="181">
        <v>-5.0026403686551802E-3</v>
      </c>
      <c r="Y326" s="181">
        <v>9.7086156434278426E-3</v>
      </c>
      <c r="Z326" s="180">
        <v>93.970650635798478</v>
      </c>
      <c r="AA326" s="181">
        <v>2.8877748429961803E-3</v>
      </c>
      <c r="AB326" s="181">
        <v>-7.4618899356153623E-3</v>
      </c>
      <c r="AC326" s="180">
        <v>111.29485977786928</v>
      </c>
      <c r="AD326" s="181">
        <v>2.4454891600194399E-3</v>
      </c>
      <c r="AE326" s="181">
        <v>2.5784877986525512E-2</v>
      </c>
      <c r="AF326" s="180">
        <v>100.33143585387241</v>
      </c>
      <c r="AG326" s="181">
        <v>3.2820014492341799E-3</v>
      </c>
      <c r="AH326" s="181">
        <v>1.9985926198272885E-2</v>
      </c>
      <c r="AI326" s="180">
        <v>109.23437337807269</v>
      </c>
      <c r="AJ326" s="181">
        <v>2.7561660144832102E-3</v>
      </c>
      <c r="AK326" s="185">
        <v>7.3776226997616767E-2</v>
      </c>
    </row>
    <row r="327" spans="1:37" s="184" customFormat="1" ht="15.75" customHeight="1">
      <c r="A327" s="179">
        <v>44805</v>
      </c>
      <c r="B327" s="180">
        <v>128.76292716550094</v>
      </c>
      <c r="C327" s="181">
        <v>4.9011384747289701E-4</v>
      </c>
      <c r="D327" s="181">
        <v>1.8531914794180482E-2</v>
      </c>
      <c r="E327" s="180">
        <v>152.60250099596163</v>
      </c>
      <c r="F327" s="181">
        <v>4.4669526355481295E-3</v>
      </c>
      <c r="G327" s="181">
        <v>4.4268824773040949E-2</v>
      </c>
      <c r="H327" s="180">
        <v>130.4513500720729</v>
      </c>
      <c r="I327" s="181">
        <v>4.4602496423760503E-3</v>
      </c>
      <c r="J327" s="181">
        <v>2.6055044514254222E-2</v>
      </c>
      <c r="K327" s="180">
        <v>122.31377605124034</v>
      </c>
      <c r="L327" s="181">
        <v>3.4669960232047796E-3</v>
      </c>
      <c r="M327" s="181">
        <v>5.0292998040048387E-2</v>
      </c>
      <c r="N327" s="180">
        <v>147.7778991418875</v>
      </c>
      <c r="O327" s="181">
        <v>5.0305443805377607E-3</v>
      </c>
      <c r="P327" s="181">
        <v>3.830393170335733E-2</v>
      </c>
      <c r="Q327" s="180">
        <v>124.30136443522105</v>
      </c>
      <c r="R327" s="181">
        <v>2.7677259015785999E-3</v>
      </c>
      <c r="S327" s="181">
        <v>2.872765936568844E-2</v>
      </c>
      <c r="T327" s="180">
        <v>115.64960604694173</v>
      </c>
      <c r="U327" s="181">
        <v>5.3514506155678395E-3</v>
      </c>
      <c r="V327" s="181">
        <v>3.0941375861536446E-2</v>
      </c>
      <c r="W327" s="180">
        <v>102.68810003744522</v>
      </c>
      <c r="X327" s="181">
        <v>2.8979887113488602E-3</v>
      </c>
      <c r="Y327" s="181">
        <v>1.3414946189876487E-2</v>
      </c>
      <c r="Z327" s="180">
        <v>93.842435311534857</v>
      </c>
      <c r="AA327" s="181">
        <v>-1.36441882009047E-3</v>
      </c>
      <c r="AB327" s="181">
        <v>-1.0698313943116378E-2</v>
      </c>
      <c r="AC327" s="180">
        <v>112.00572258115616</v>
      </c>
      <c r="AD327" s="181">
        <v>6.3872024701381001E-3</v>
      </c>
      <c r="AE327" s="181">
        <v>3.4567133998496535E-2</v>
      </c>
      <c r="AF327" s="180">
        <v>100.45474151224096</v>
      </c>
      <c r="AG327" s="181">
        <v>1.22898329241631E-3</v>
      </c>
      <c r="AH327" s="181">
        <v>2.1023289389161093E-2</v>
      </c>
      <c r="AI327" s="180">
        <v>109.73405116086623</v>
      </c>
      <c r="AJ327" s="181">
        <v>4.5743639784895703E-3</v>
      </c>
      <c r="AK327" s="185">
        <v>7.9828192682392052E-2</v>
      </c>
    </row>
    <row r="328" spans="1:37" s="184" customFormat="1" ht="15.75" customHeight="1">
      <c r="A328" s="179">
        <v>44835</v>
      </c>
      <c r="B328" s="180">
        <v>129.06425849338245</v>
      </c>
      <c r="C328" s="181">
        <v>2.3402025296785402E-3</v>
      </c>
      <c r="D328" s="181">
        <v>1.7526712847477199E-2</v>
      </c>
      <c r="E328" s="180">
        <v>153.01275151278614</v>
      </c>
      <c r="F328" s="181">
        <v>2.6883603751379696E-3</v>
      </c>
      <c r="G328" s="181">
        <v>4.3684440230616683E-2</v>
      </c>
      <c r="H328" s="180">
        <v>130.45722402618688</v>
      </c>
      <c r="I328" s="181">
        <v>4.5027928884740001E-5</v>
      </c>
      <c r="J328" s="181">
        <v>2.0744899064496503E-2</v>
      </c>
      <c r="K328" s="180">
        <v>123.59473326244763</v>
      </c>
      <c r="L328" s="181">
        <v>1.04727141337757E-2</v>
      </c>
      <c r="M328" s="181">
        <v>6.2984398904529559E-2</v>
      </c>
      <c r="N328" s="180">
        <v>148.06303584774969</v>
      </c>
      <c r="O328" s="181">
        <v>1.9294949212156302E-3</v>
      </c>
      <c r="P328" s="181">
        <v>4.229572077215682E-2</v>
      </c>
      <c r="Q328" s="180">
        <v>124.86000439047875</v>
      </c>
      <c r="R328" s="181">
        <v>4.4942383198764597E-3</v>
      </c>
      <c r="S328" s="181">
        <v>2.9618519962338441E-2</v>
      </c>
      <c r="T328" s="180">
        <v>116.16099626128445</v>
      </c>
      <c r="U328" s="181">
        <v>-1.4506070443782702E-3</v>
      </c>
      <c r="V328" s="181">
        <v>2.9266830707540104E-2</v>
      </c>
      <c r="W328" s="180">
        <v>103.34091597769545</v>
      </c>
      <c r="X328" s="181">
        <v>6.3572696350615698E-3</v>
      </c>
      <c r="Y328" s="181">
        <v>1.9811059019940735E-2</v>
      </c>
      <c r="Z328" s="180">
        <v>94.272683712610103</v>
      </c>
      <c r="AA328" s="181">
        <v>4.5847957765261498E-3</v>
      </c>
      <c r="AB328" s="181">
        <v>2.5240165592946395E-2</v>
      </c>
      <c r="AC328" s="180">
        <f t="shared" ref="AC328" si="0">+AC327*(1+AD328)</f>
        <v>112.71808173335931</v>
      </c>
      <c r="AD328" s="181">
        <v>6.36002461112642E-3</v>
      </c>
      <c r="AE328" s="181">
        <v>3.2933569298297494E-2</v>
      </c>
      <c r="AF328" s="180">
        <v>99.884790059917634</v>
      </c>
      <c r="AG328" s="181">
        <v>-5.6737137913383199E-3</v>
      </c>
      <c r="AH328" s="181">
        <v>1.2747344766000035E-2</v>
      </c>
      <c r="AI328" s="180">
        <v>110.12931600431827</v>
      </c>
      <c r="AJ328" s="181">
        <v>3.6020254357746902E-3</v>
      </c>
      <c r="AK328" s="185">
        <v>6.7969270921370839E-2</v>
      </c>
    </row>
    <row r="329" spans="1:37" s="184" customFormat="1" ht="15.75" customHeight="1">
      <c r="A329" s="179">
        <v>44866</v>
      </c>
      <c r="B329" s="180">
        <v>129.68678104962342</v>
      </c>
      <c r="C329" s="181">
        <v>4.8233536031426199E-3</v>
      </c>
      <c r="D329" s="181">
        <v>1.9095420838492583E-2</v>
      </c>
      <c r="E329" s="180">
        <v>154.35245503089502</v>
      </c>
      <c r="F329" s="181">
        <v>8.75550243272963E-3</v>
      </c>
      <c r="G329" s="181">
        <v>4.6624746102157388E-2</v>
      </c>
      <c r="H329" s="180">
        <v>130.45272562405415</v>
      </c>
      <c r="I329" s="181">
        <v>-3.4481817057833098E-5</v>
      </c>
      <c r="J329" s="181">
        <v>1.5100649408603228E-2</v>
      </c>
      <c r="K329" s="180">
        <v>124.51100417996174</v>
      </c>
      <c r="L329" s="181">
        <v>7.4135110237137898E-3</v>
      </c>
      <c r="M329" s="181">
        <v>6.8239538716885706E-2</v>
      </c>
      <c r="N329" s="180">
        <v>148.02894815883889</v>
      </c>
      <c r="O329" s="181">
        <v>-2.3022416577936301E-4</v>
      </c>
      <c r="P329" s="181">
        <v>3.8840196824040829E-2</v>
      </c>
      <c r="Q329" s="180">
        <v>124.77466875186281</v>
      </c>
      <c r="R329" s="181">
        <v>2.4662904731212699E-3</v>
      </c>
      <c r="S329" s="181">
        <v>2.062081258387094E-2</v>
      </c>
      <c r="T329" s="180">
        <v>115.90910652574664</v>
      </c>
      <c r="U329" s="181">
        <v>-2.16845364317659E-3</v>
      </c>
      <c r="V329" s="181">
        <v>2.4018266794791687E-2</v>
      </c>
      <c r="W329" s="180">
        <v>103.57897913498198</v>
      </c>
      <c r="X329" s="181">
        <v>2.3036679618546902E-3</v>
      </c>
      <c r="Y329" s="181">
        <v>1.1978674331378558E-2</v>
      </c>
      <c r="Z329" s="180">
        <v>93.205531408832059</v>
      </c>
      <c r="AA329" s="181">
        <v>-1.1319846447049899E-2</v>
      </c>
      <c r="AB329" s="181">
        <v>7.1233422940408797E-3</v>
      </c>
      <c r="AC329" s="180">
        <v>112.67191098874517</v>
      </c>
      <c r="AD329" s="181">
        <v>-4.0961258304023204E-4</v>
      </c>
      <c r="AE329" s="181">
        <v>2.8928432265581172E-2</v>
      </c>
      <c r="AF329" s="180">
        <v>99.607329554055468</v>
      </c>
      <c r="AG329" s="181">
        <v>-2.7778053665200703E-3</v>
      </c>
      <c r="AH329" s="181">
        <v>4.5839491450658798E-3</v>
      </c>
      <c r="AI329" s="180">
        <v>110.71581844519081</v>
      </c>
      <c r="AJ329" s="181">
        <v>5.3255796199582197E-3</v>
      </c>
      <c r="AK329" s="185">
        <v>6.0566124620058392E-2</v>
      </c>
    </row>
    <row r="330" spans="1:37" s="184" customFormat="1" ht="15.75" customHeight="1">
      <c r="A330" s="179">
        <v>44896</v>
      </c>
      <c r="B330" s="180">
        <v>129.31302017796995</v>
      </c>
      <c r="C330" s="181">
        <v>-2.8820275175960304E-3</v>
      </c>
      <c r="D330" s="181">
        <v>1.8392138737296726E-2</v>
      </c>
      <c r="E330" s="180">
        <v>153.43893208293127</v>
      </c>
      <c r="F330" s="181">
        <v>-5.9184218856830591E-3</v>
      </c>
      <c r="G330" s="181">
        <v>4.6932668669309452E-2</v>
      </c>
      <c r="H330" s="180">
        <v>130.66618929393613</v>
      </c>
      <c r="I330" s="181">
        <v>1.6363297038125902E-3</v>
      </c>
      <c r="J330" s="181">
        <v>2.0120837704596717E-2</v>
      </c>
      <c r="K330" s="180">
        <v>124.02870924035618</v>
      </c>
      <c r="L330" s="181">
        <v>-3.8735125684832899E-3</v>
      </c>
      <c r="M330" s="181">
        <v>5.6668732703118341E-2</v>
      </c>
      <c r="N330" s="180">
        <v>147.73077197028113</v>
      </c>
      <c r="O330" s="181">
        <v>-2.0143099864346602E-3</v>
      </c>
      <c r="P330" s="181">
        <v>4.1749961479194075E-2</v>
      </c>
      <c r="Q330" s="180">
        <v>125.58386520060048</v>
      </c>
      <c r="R330" s="181">
        <v>6.4852622477958501E-3</v>
      </c>
      <c r="S330" s="181">
        <v>2.4881157165882239E-2</v>
      </c>
      <c r="T330" s="180">
        <v>112.74719188115746</v>
      </c>
      <c r="U330" s="181">
        <v>-2.7279259924989797E-2</v>
      </c>
      <c r="V330" s="181">
        <v>8.3511044515760524E-4</v>
      </c>
      <c r="W330" s="180">
        <v>102.60850681697832</v>
      </c>
      <c r="X330" s="181">
        <v>-9.3693945056067002E-3</v>
      </c>
      <c r="Y330" s="181">
        <v>1.4096593189705686E-2</v>
      </c>
      <c r="Z330" s="180">
        <v>92.896391988288585</v>
      </c>
      <c r="AA330" s="181">
        <v>-3.31674972365618E-3</v>
      </c>
      <c r="AB330" s="181">
        <v>2.5378911447873076E-3</v>
      </c>
      <c r="AC330" s="180">
        <v>112.28938796859704</v>
      </c>
      <c r="AD330" s="181">
        <v>-3.3950167063940199E-3</v>
      </c>
      <c r="AE330" s="181">
        <v>2.3929410558577446E-2</v>
      </c>
      <c r="AF330" s="180">
        <v>97.935554754283885</v>
      </c>
      <c r="AG330" s="181">
        <v>-1.6783652440600101E-2</v>
      </c>
      <c r="AH330" s="181">
        <v>-3.7041746392978414E-3</v>
      </c>
      <c r="AI330" s="180">
        <v>111.35987647931753</v>
      </c>
      <c r="AJ330" s="181">
        <v>5.81721783907122E-3</v>
      </c>
      <c r="AK330" s="185">
        <v>4.696713800137009E-2</v>
      </c>
    </row>
    <row r="331" spans="1:37" s="184" customFormat="1" ht="15.75" customHeight="1">
      <c r="A331" s="179">
        <v>44927</v>
      </c>
      <c r="B331" s="180">
        <v>129.66683823509058</v>
      </c>
      <c r="C331" s="181">
        <v>2.7361363661112699E-3</v>
      </c>
      <c r="D331" s="181">
        <v>1.9108709458274253E-2</v>
      </c>
      <c r="E331" s="180">
        <v>154.28028050511551</v>
      </c>
      <c r="F331" s="181">
        <v>5.4832786618295203E-3</v>
      </c>
      <c r="G331" s="181">
        <v>4.5938048989761171E-2</v>
      </c>
      <c r="H331" s="180">
        <v>131.71817315421728</v>
      </c>
      <c r="I331" s="181">
        <v>8.0509263028609897E-3</v>
      </c>
      <c r="J331" s="181">
        <v>2.6431597194469525E-2</v>
      </c>
      <c r="K331" s="180">
        <v>124.78381581118749</v>
      </c>
      <c r="L331" s="181">
        <v>6.0881595515760896E-3</v>
      </c>
      <c r="M331" s="181">
        <v>4.8190775722169343E-2</v>
      </c>
      <c r="N331" s="180">
        <v>147.88159706300229</v>
      </c>
      <c r="O331" s="181">
        <v>1.02094567509275E-3</v>
      </c>
      <c r="P331" s="181">
        <v>4.0080893188953137E-2</v>
      </c>
      <c r="Q331" s="180">
        <v>125.97781741356428</v>
      </c>
      <c r="R331" s="181">
        <v>3.1369651852530501E-3</v>
      </c>
      <c r="S331" s="181">
        <v>2.6018708132799828E-2</v>
      </c>
      <c r="T331" s="180">
        <v>114.24764369315666</v>
      </c>
      <c r="U331" s="181">
        <v>1.33081080509816E-2</v>
      </c>
      <c r="V331" s="181">
        <v>8.6819455786562028E-3</v>
      </c>
      <c r="W331" s="180">
        <v>103.09118399592479</v>
      </c>
      <c r="X331" s="181">
        <v>4.7040659095391206E-3</v>
      </c>
      <c r="Y331" s="181">
        <v>1.6995051266556649E-2</v>
      </c>
      <c r="Z331" s="180">
        <v>92.143952954237236</v>
      </c>
      <c r="AA331" s="181">
        <v>-8.0997659644974195E-3</v>
      </c>
      <c r="AB331" s="181">
        <v>-3.6097924445421814E-4</v>
      </c>
      <c r="AC331" s="180">
        <v>112.58990779403592</v>
      </c>
      <c r="AD331" s="181">
        <v>2.6762976526590499E-3</v>
      </c>
      <c r="AE331" s="181">
        <v>1.770966291361975E-2</v>
      </c>
      <c r="AF331" s="180">
        <v>99.398351516908861</v>
      </c>
      <c r="AG331" s="181">
        <v>1.49363197696186E-2</v>
      </c>
      <c r="AH331" s="181">
        <v>1.0155815013435321E-2</v>
      </c>
      <c r="AI331" s="180">
        <v>111.64246227815734</v>
      </c>
      <c r="AJ331" s="181">
        <v>2.5375908071548696E-3</v>
      </c>
      <c r="AK331" s="185">
        <v>2.1195133557606383E-2</v>
      </c>
    </row>
    <row r="332" spans="1:37" s="184" customFormat="1" ht="15.75" customHeight="1">
      <c r="A332" s="179">
        <v>44958</v>
      </c>
      <c r="B332" s="180">
        <v>129.7700232403233</v>
      </c>
      <c r="C332" s="181">
        <v>7.9577019565825208E-4</v>
      </c>
      <c r="D332" s="181">
        <v>1.8201723729965646E-2</v>
      </c>
      <c r="E332" s="180">
        <v>154.87646026213989</v>
      </c>
      <c r="F332" s="181">
        <v>3.8642641501069105E-3</v>
      </c>
      <c r="G332" s="181">
        <v>4.1397417294880334E-2</v>
      </c>
      <c r="H332" s="180">
        <v>132.43644167496959</v>
      </c>
      <c r="I332" s="181">
        <v>5.4530707764321893E-3</v>
      </c>
      <c r="J332" s="181">
        <v>2.7075175137046159E-2</v>
      </c>
      <c r="K332" s="180">
        <v>125.90324367336258</v>
      </c>
      <c r="L332" s="181">
        <v>8.9709378968576801E-3</v>
      </c>
      <c r="M332" s="181">
        <v>4.4915164109100347E-2</v>
      </c>
      <c r="N332" s="180">
        <v>147.79337262407165</v>
      </c>
      <c r="O332" s="181">
        <v>-5.9658835637985607E-4</v>
      </c>
      <c r="P332" s="181">
        <v>3.4913554693419835E-2</v>
      </c>
      <c r="Q332" s="180">
        <v>125.45019142549413</v>
      </c>
      <c r="R332" s="181">
        <v>-4.1882451919138504E-3</v>
      </c>
      <c r="S332" s="181">
        <v>1.8923055288369905E-2</v>
      </c>
      <c r="T332" s="180">
        <v>115.74254323751357</v>
      </c>
      <c r="U332" s="181">
        <v>1.3084729768010499E-2</v>
      </c>
      <c r="V332" s="181">
        <v>1.2259961010440801E-2</v>
      </c>
      <c r="W332" s="180">
        <v>103.82352144245819</v>
      </c>
      <c r="X332" s="181">
        <v>7.1037834482757098E-3</v>
      </c>
      <c r="Y332" s="181">
        <v>1.050234923810045E-2</v>
      </c>
      <c r="Z332" s="180">
        <v>93.210104615295251</v>
      </c>
      <c r="AA332" s="181">
        <v>1.1570500579539001E-2</v>
      </c>
      <c r="AB332" s="181">
        <v>7.761842213421799E-3</v>
      </c>
      <c r="AC332" s="180">
        <v>113.05880303738735</v>
      </c>
      <c r="AD332" s="181">
        <v>4.1646294285024301E-3</v>
      </c>
      <c r="AE332" s="181">
        <v>2.6856972655547651E-2</v>
      </c>
      <c r="AF332" s="180">
        <v>99.382646888636557</v>
      </c>
      <c r="AG332" s="181">
        <v>-1.5799686848564899E-4</v>
      </c>
      <c r="AH332" s="181">
        <v>9.0784312616998264E-3</v>
      </c>
      <c r="AI332" s="180">
        <v>111.03755441901664</v>
      </c>
      <c r="AJ332" s="181">
        <v>-5.4182597445188397E-3</v>
      </c>
      <c r="AK332" s="185">
        <v>1.6433644313022189E-2</v>
      </c>
    </row>
    <row r="333" spans="1:37" s="184" customFormat="1" ht="15.75" customHeight="1">
      <c r="A333" s="179">
        <v>44986</v>
      </c>
      <c r="B333" s="180">
        <v>129.86645629781441</v>
      </c>
      <c r="C333" s="181">
        <v>7.4310734546547601E-4</v>
      </c>
      <c r="D333" s="181">
        <v>1.6295193982418521E-2</v>
      </c>
      <c r="E333" s="180">
        <v>155.77731168044323</v>
      </c>
      <c r="F333" s="181">
        <v>5.8165806267692398E-3</v>
      </c>
      <c r="G333" s="181">
        <v>4.5904429135922298E-2</v>
      </c>
      <c r="H333" s="180">
        <v>132.66603766810033</v>
      </c>
      <c r="I333" s="181">
        <v>1.7336315460228099E-3</v>
      </c>
      <c r="J333" s="181">
        <v>3.3366022772111315E-2</v>
      </c>
      <c r="K333" s="180">
        <v>126.59110503187149</v>
      </c>
      <c r="L333" s="181">
        <v>5.4634125256809891E-3</v>
      </c>
      <c r="M333" s="181">
        <v>3.5802425768877599E-2</v>
      </c>
      <c r="N333" s="180">
        <v>147.97498517292595</v>
      </c>
      <c r="O333" s="181">
        <v>1.2288274205382501E-3</v>
      </c>
      <c r="P333" s="181">
        <v>2.7515526498101739E-2</v>
      </c>
      <c r="Q333" s="180">
        <v>125.8543006025825</v>
      </c>
      <c r="R333" s="181">
        <v>3.2212719047813297E-3</v>
      </c>
      <c r="S333" s="181">
        <v>2.4830919606045665E-2</v>
      </c>
      <c r="T333" s="180">
        <v>116.12919595560471</v>
      </c>
      <c r="U333" s="181">
        <v>3.3406274588047803E-3</v>
      </c>
      <c r="V333" s="181">
        <v>1.5203616746036763E-2</v>
      </c>
      <c r="W333" s="180">
        <v>103.52556429450551</v>
      </c>
      <c r="X333" s="181">
        <v>-2.8698424385249399E-3</v>
      </c>
      <c r="Y333" s="181">
        <v>6.6569714904709532E-3</v>
      </c>
      <c r="Z333" s="180">
        <v>93.586002567006261</v>
      </c>
      <c r="AA333" s="181">
        <v>4.0328025943373504E-3</v>
      </c>
      <c r="AB333" s="181">
        <v>-6.4296493179623049E-3</v>
      </c>
      <c r="AC333" s="180">
        <v>114.00404530875146</v>
      </c>
      <c r="AD333" s="181">
        <v>8.3606251434621311E-3</v>
      </c>
      <c r="AE333" s="181">
        <v>3.120019121872164E-2</v>
      </c>
      <c r="AF333" s="180">
        <v>100.66910396051649</v>
      </c>
      <c r="AG333" s="181">
        <v>1.29444838928618E-2</v>
      </c>
      <c r="AH333" s="181">
        <v>9.6071282657566037E-3</v>
      </c>
      <c r="AI333" s="180">
        <v>109.60140722588676</v>
      </c>
      <c r="AJ333" s="181">
        <v>-1.29338871037305E-2</v>
      </c>
      <c r="AK333" s="185">
        <v>2.5743536133511213E-3</v>
      </c>
    </row>
    <row r="334" spans="1:37" s="184" customFormat="1" ht="15.75" customHeight="1">
      <c r="A334" s="179">
        <v>45017</v>
      </c>
      <c r="B334" s="180">
        <v>130.18618308543483</v>
      </c>
      <c r="C334" s="181">
        <v>2.4619659050926701E-3</v>
      </c>
      <c r="D334" s="181">
        <v>1.799414008471989E-2</v>
      </c>
      <c r="E334" s="180">
        <v>156.30568469847813</v>
      </c>
      <c r="F334" s="181">
        <v>3.3918483528512498E-3</v>
      </c>
      <c r="G334" s="181">
        <v>4.243679794992139E-2</v>
      </c>
      <c r="H334" s="180">
        <v>132.28319946699006</v>
      </c>
      <c r="I334" s="181">
        <v>-2.8857287655491498E-3</v>
      </c>
      <c r="J334" s="181">
        <v>2.8343888474001044E-2</v>
      </c>
      <c r="K334" s="180">
        <v>126.09834030281453</v>
      </c>
      <c r="L334" s="181">
        <v>-3.8925699316147899E-3</v>
      </c>
      <c r="M334" s="181">
        <v>4.1381276813125867E-2</v>
      </c>
      <c r="N334" s="180">
        <v>148.46608878426164</v>
      </c>
      <c r="O334" s="181">
        <v>3.3188285895876502E-3</v>
      </c>
      <c r="P334" s="181">
        <v>2.3777510194115337E-2</v>
      </c>
      <c r="Q334" s="180">
        <v>126.24339567590741</v>
      </c>
      <c r="R334" s="181">
        <v>3.09163112791493E-3</v>
      </c>
      <c r="S334" s="181">
        <v>2.6683779340494151E-2</v>
      </c>
      <c r="T334" s="180">
        <v>116.52820482273802</v>
      </c>
      <c r="U334" s="181">
        <v>3.4359048458911701E-3</v>
      </c>
      <c r="V334" s="181">
        <v>1.8252516884821324E-2</v>
      </c>
      <c r="W334" s="180">
        <v>103.42564708600325</v>
      </c>
      <c r="X334" s="181">
        <v>-9.6514526806169604E-4</v>
      </c>
      <c r="Y334" s="181">
        <v>5.5165002773309713E-3</v>
      </c>
      <c r="Z334" s="180">
        <v>93.042515034482847</v>
      </c>
      <c r="AA334" s="181">
        <v>-5.80735919492104E-3</v>
      </c>
      <c r="AB334" s="181">
        <v>-3.9390968643754354E-3</v>
      </c>
      <c r="AC334" s="180">
        <v>113.97602588460877</v>
      </c>
      <c r="AD334" s="181">
        <v>-2.4577570091306001E-4</v>
      </c>
      <c r="AE334" s="181">
        <v>3.4022986153539492E-2</v>
      </c>
      <c r="AF334" s="180">
        <v>100.58827296076149</v>
      </c>
      <c r="AG334" s="181">
        <v>-8.0293751086451203E-4</v>
      </c>
      <c r="AH334" s="181">
        <v>5.5230331841999991E-3</v>
      </c>
      <c r="AI334" s="180">
        <v>108.97625435546833</v>
      </c>
      <c r="AJ334" s="181">
        <v>-5.7038763118250702E-3</v>
      </c>
      <c r="AK334" s="185">
        <v>2.3047147158772319E-4</v>
      </c>
    </row>
    <row r="335" spans="1:37" s="184" customFormat="1" ht="15.75" customHeight="1">
      <c r="A335" s="179">
        <v>45047</v>
      </c>
      <c r="B335" s="180">
        <v>130.35318157498546</v>
      </c>
      <c r="C335" s="181">
        <v>1.2827666161857E-3</v>
      </c>
      <c r="D335" s="181">
        <v>1.8181916675222842E-2</v>
      </c>
      <c r="E335" s="180">
        <v>156.55845973213471</v>
      </c>
      <c r="F335" s="181">
        <v>1.6171838800629601E-3</v>
      </c>
      <c r="G335" s="181">
        <v>4.2257848747921711E-2</v>
      </c>
      <c r="H335" s="180">
        <v>131.9013102965128</v>
      </c>
      <c r="I335" s="181">
        <v>-2.88690606226647E-3</v>
      </c>
      <c r="J335" s="181">
        <v>2.5047961091862581E-2</v>
      </c>
      <c r="K335" s="180">
        <v>125.88726478435565</v>
      </c>
      <c r="L335" s="181">
        <v>-1.67389608738708E-3</v>
      </c>
      <c r="M335" s="181">
        <v>4.1500484391918002E-2</v>
      </c>
      <c r="N335" s="180">
        <v>149.35879845197113</v>
      </c>
      <c r="O335" s="181">
        <v>6.0128860066266197E-3</v>
      </c>
      <c r="P335" s="181">
        <v>2.1495620626696521E-2</v>
      </c>
      <c r="Q335" s="180">
        <v>126.4379545493106</v>
      </c>
      <c r="R335" s="181">
        <v>1.5411410027552301E-3</v>
      </c>
      <c r="S335" s="181">
        <v>2.9633863578329533E-2</v>
      </c>
      <c r="T335" s="180">
        <v>116.40561313281322</v>
      </c>
      <c r="U335" s="181">
        <v>-1.05203448479518E-3</v>
      </c>
      <c r="V335" s="181">
        <v>1.3970898330223136E-2</v>
      </c>
      <c r="W335" s="180">
        <v>103.81477940851094</v>
      </c>
      <c r="X335" s="181">
        <v>3.7624354642336899E-3</v>
      </c>
      <c r="Y335" s="181">
        <v>9.7735004048835616E-3</v>
      </c>
      <c r="Z335" s="180">
        <v>92.641559896877624</v>
      </c>
      <c r="AA335" s="181">
        <v>-4.3093755307089402E-3</v>
      </c>
      <c r="AB335" s="181">
        <v>-1.9249392139356503E-2</v>
      </c>
      <c r="AC335" s="180">
        <v>115.40285336258822</v>
      </c>
      <c r="AD335" s="181">
        <v>1.2518663174166101E-2</v>
      </c>
      <c r="AE335" s="181">
        <v>4.4431132864334977E-2</v>
      </c>
      <c r="AF335" s="180">
        <v>101.55627925675545</v>
      </c>
      <c r="AG335" s="181">
        <v>9.6234508009850599E-3</v>
      </c>
      <c r="AH335" s="181">
        <v>1.414535003693751E-2</v>
      </c>
      <c r="AI335" s="180">
        <v>109.37496436477326</v>
      </c>
      <c r="AJ335" s="181">
        <v>3.65868703841099E-3</v>
      </c>
      <c r="AK335" s="185">
        <v>4.1591288241749069E-3</v>
      </c>
    </row>
    <row r="336" spans="1:37" s="184" customFormat="1" ht="15.75" customHeight="1">
      <c r="A336" s="179">
        <v>45078</v>
      </c>
      <c r="B336" s="180">
        <v>130.71241721369137</v>
      </c>
      <c r="C336" s="181">
        <v>2.7558639870961499E-3</v>
      </c>
      <c r="D336" s="181">
        <v>1.7852070948730647E-2</v>
      </c>
      <c r="E336" s="180">
        <v>157.10717267253685</v>
      </c>
      <c r="F336" s="181">
        <v>3.5048437583059398E-3</v>
      </c>
      <c r="G336" s="181">
        <v>3.6328453022578477E-2</v>
      </c>
      <c r="H336" s="180">
        <v>132.19955126882394</v>
      </c>
      <c r="I336" s="181">
        <v>2.2610918090250703E-3</v>
      </c>
      <c r="J336" s="181">
        <v>2.2815865899055821E-2</v>
      </c>
      <c r="K336" s="180">
        <v>126.25668026877153</v>
      </c>
      <c r="L336" s="181">
        <v>2.9344944863858801E-3</v>
      </c>
      <c r="M336" s="181">
        <v>4.0812939296766215E-2</v>
      </c>
      <c r="N336" s="180">
        <v>149.60004749765153</v>
      </c>
      <c r="O336" s="181">
        <v>1.6202753858926599E-3</v>
      </c>
      <c r="P336" s="181">
        <v>1.9343768832780217E-2</v>
      </c>
      <c r="Q336" s="180">
        <v>126.57558287363018</v>
      </c>
      <c r="R336" s="181">
        <v>1.08850483076992E-3</v>
      </c>
      <c r="S336" s="181">
        <v>3.2125755141179102E-2</v>
      </c>
      <c r="T336" s="180">
        <v>116.17774491139689</v>
      </c>
      <c r="U336" s="181">
        <v>-1.9575363703152899E-3</v>
      </c>
      <c r="V336" s="181">
        <v>2.7963990837125419E-3</v>
      </c>
      <c r="W336" s="180">
        <v>103.80767754561862</v>
      </c>
      <c r="X336" s="181">
        <v>-6.8408977342059401E-5</v>
      </c>
      <c r="Y336" s="181">
        <v>7.3117851739388229E-3</v>
      </c>
      <c r="Z336" s="180">
        <v>93.301002445117419</v>
      </c>
      <c r="AA336" s="181">
        <v>7.1182150751115001E-3</v>
      </c>
      <c r="AB336" s="181">
        <v>-1.6852357874443502E-2</v>
      </c>
      <c r="AC336" s="180">
        <v>115.44945996148346</v>
      </c>
      <c r="AD336" s="181">
        <v>4.0386002197718903E-4</v>
      </c>
      <c r="AE336" s="181">
        <v>3.6527640348898771E-2</v>
      </c>
      <c r="AF336" s="180">
        <v>101.76128982316739</v>
      </c>
      <c r="AG336" s="181">
        <v>2.0186892224913601E-3</v>
      </c>
      <c r="AH336" s="181">
        <v>1.1887643864817443E-2</v>
      </c>
      <c r="AI336" s="180">
        <v>109.29700186042017</v>
      </c>
      <c r="AJ336" s="181">
        <v>-7.1280027203552906E-4</v>
      </c>
      <c r="AK336" s="185">
        <v>3.4253971096842584E-3</v>
      </c>
    </row>
    <row r="337" spans="1:37" s="184" customFormat="1" ht="15.75" customHeight="1">
      <c r="A337" s="179">
        <v>45108</v>
      </c>
      <c r="B337" s="180">
        <v>131.00570198833944</v>
      </c>
      <c r="C337" s="181">
        <v>2.2437407317516598E-3</v>
      </c>
      <c r="D337" s="181">
        <v>1.9338329349146255E-2</v>
      </c>
      <c r="E337" s="180">
        <v>157.03327915685574</v>
      </c>
      <c r="F337" s="181">
        <v>-4.7033826924710898E-4</v>
      </c>
      <c r="G337" s="181">
        <v>3.5246598372395965E-2</v>
      </c>
      <c r="H337" s="180">
        <v>133.2637584154144</v>
      </c>
      <c r="I337" s="181">
        <v>8.0500057403857499E-3</v>
      </c>
      <c r="J337" s="181">
        <v>3.0627018750965185E-2</v>
      </c>
      <c r="K337" s="180">
        <v>126.97067091307458</v>
      </c>
      <c r="L337" s="181">
        <v>5.6550722130751995E-3</v>
      </c>
      <c r="M337" s="181">
        <v>4.3362960335064038E-2</v>
      </c>
      <c r="N337" s="180">
        <v>150.0029932963528</v>
      </c>
      <c r="O337" s="181">
        <v>2.6934871040570603E-3</v>
      </c>
      <c r="P337" s="181">
        <v>2.1255933355715628E-2</v>
      </c>
      <c r="Q337" s="180">
        <v>126.66548033649507</v>
      </c>
      <c r="R337" s="181">
        <v>7.1022752432935697E-4</v>
      </c>
      <c r="S337" s="181">
        <v>2.818502153525726E-2</v>
      </c>
      <c r="T337" s="180">
        <v>116.4489047108883</v>
      </c>
      <c r="U337" s="181">
        <v>2.33400811573857E-3</v>
      </c>
      <c r="V337" s="181">
        <v>-7.6390491193312204E-4</v>
      </c>
      <c r="W337" s="180">
        <v>104.11561362591664</v>
      </c>
      <c r="X337" s="181">
        <v>2.9664094947379799E-3</v>
      </c>
      <c r="Y337" s="181">
        <v>1.1752842473760072E-2</v>
      </c>
      <c r="Z337" s="180">
        <v>93.369919547238027</v>
      </c>
      <c r="AA337" s="181">
        <v>7.3865339400989993E-4</v>
      </c>
      <c r="AB337" s="181">
        <v>-3.5234382390583185E-3</v>
      </c>
      <c r="AC337" s="180">
        <v>116.4226526907659</v>
      </c>
      <c r="AD337" s="181">
        <v>8.4295996673100712E-3</v>
      </c>
      <c r="AE337" s="181">
        <v>4.8632104473066207E-2</v>
      </c>
      <c r="AF337" s="180">
        <v>102.44097288018899</v>
      </c>
      <c r="AG337" s="181">
        <v>6.6791906647675802E-3</v>
      </c>
      <c r="AH337" s="181">
        <v>2.4376691382473892E-2</v>
      </c>
      <c r="AI337" s="180">
        <v>109.4415020927557</v>
      </c>
      <c r="AJ337" s="181">
        <v>1.3220877963338001E-3</v>
      </c>
      <c r="AK337" s="185">
        <v>4.6575784489022443E-3</v>
      </c>
    </row>
    <row r="338" spans="1:37" s="184" customFormat="1" ht="15.75" customHeight="1">
      <c r="A338" s="179">
        <v>45139</v>
      </c>
      <c r="B338" s="180">
        <v>131.1032865101806</v>
      </c>
      <c r="C338" s="181">
        <v>7.4488759160927108E-4</v>
      </c>
      <c r="D338" s="181">
        <v>1.8674745392801118E-2</v>
      </c>
      <c r="E338" s="180">
        <v>157.60353155989716</v>
      </c>
      <c r="F338" s="181">
        <v>3.6314111639470298E-3</v>
      </c>
      <c r="G338" s="181">
        <v>3.7384957896330118E-2</v>
      </c>
      <c r="H338" s="180">
        <v>132.75503834599857</v>
      </c>
      <c r="I338" s="181">
        <v>-3.8173924813827598E-3</v>
      </c>
      <c r="J338" s="181">
        <v>2.2198381884374063E-2</v>
      </c>
      <c r="K338" s="180">
        <v>127.45236760830748</v>
      </c>
      <c r="L338" s="181">
        <v>3.7937634870235598E-3</v>
      </c>
      <c r="M338" s="181">
        <v>4.5624201859121527E-2</v>
      </c>
      <c r="N338" s="180">
        <v>149.07530176580602</v>
      </c>
      <c r="O338" s="181">
        <v>-6.1844867903002396E-3</v>
      </c>
      <c r="P338" s="181">
        <v>1.3859224081958832E-2</v>
      </c>
      <c r="Q338" s="180">
        <v>126.15981974406439</v>
      </c>
      <c r="R338" s="181">
        <v>-3.9920946976819902E-3</v>
      </c>
      <c r="S338" s="181">
        <v>2.0968186598110616E-2</v>
      </c>
      <c r="T338" s="180">
        <v>115.00950548459593</v>
      </c>
      <c r="U338" s="181">
        <v>-1.23607794325418E-2</v>
      </c>
      <c r="V338" s="181">
        <v>-6.0583974914903971E-3</v>
      </c>
      <c r="W338" s="180">
        <v>103.5304785685793</v>
      </c>
      <c r="X338" s="181">
        <v>-5.6200509890831996E-3</v>
      </c>
      <c r="Y338" s="181">
        <v>1.1125034827694558E-2</v>
      </c>
      <c r="Z338" s="180">
        <v>93.744034484856627</v>
      </c>
      <c r="AA338" s="181">
        <v>4.00680368402074E-3</v>
      </c>
      <c r="AB338" s="181">
        <v>-2.4115630721781578E-3</v>
      </c>
      <c r="AC338" s="180">
        <v>116.41153871135651</v>
      </c>
      <c r="AD338" s="181">
        <v>-9.5462344762982894E-5</v>
      </c>
      <c r="AE338" s="181">
        <v>4.5974081316059845E-2</v>
      </c>
      <c r="AF338" s="180">
        <v>102.71590130756034</v>
      </c>
      <c r="AG338" s="181">
        <v>2.6837740763443804E-3</v>
      </c>
      <c r="AH338" s="181">
        <v>2.3765885870115522E-2</v>
      </c>
      <c r="AI338" s="180">
        <v>110.35785367108164</v>
      </c>
      <c r="AJ338" s="181">
        <v>8.3729806408294801E-3</v>
      </c>
      <c r="AK338" s="185">
        <v>1.0285043601801602E-2</v>
      </c>
    </row>
    <row r="339" spans="1:37" s="184" customFormat="1" ht="15.75" customHeight="1">
      <c r="A339" s="179">
        <v>45170</v>
      </c>
      <c r="B339" s="180">
        <v>131.2077369804023</v>
      </c>
      <c r="C339" s="181">
        <v>7.9670367541555503E-4</v>
      </c>
      <c r="D339" s="181">
        <v>1.8986907712644774E-2</v>
      </c>
      <c r="E339" s="180">
        <v>157.34517117328332</v>
      </c>
      <c r="F339" s="181">
        <v>-1.6393058204767599E-3</v>
      </c>
      <c r="G339" s="181">
        <v>3.1078587482961328E-2</v>
      </c>
      <c r="H339" s="180">
        <v>132.04180322746805</v>
      </c>
      <c r="I339" s="181">
        <v>-5.3725653460445499E-3</v>
      </c>
      <c r="J339" s="181">
        <v>1.2191925606875209E-2</v>
      </c>
      <c r="K339" s="180">
        <v>127.68947872828946</v>
      </c>
      <c r="L339" s="181">
        <v>1.86039007694768E-3</v>
      </c>
      <c r="M339" s="181">
        <v>4.3950099903686146E-2</v>
      </c>
      <c r="N339" s="180">
        <v>150.15211117313603</v>
      </c>
      <c r="O339" s="181">
        <v>7.2232582766907508E-3</v>
      </c>
      <c r="P339" s="181">
        <v>1.6071199849080786E-2</v>
      </c>
      <c r="Q339" s="180">
        <v>126.58479492371565</v>
      </c>
      <c r="R339" s="181">
        <v>3.3685461862057297E-3</v>
      </c>
      <c r="S339" s="181">
        <v>2.1579911906596916E-2</v>
      </c>
      <c r="T339" s="180">
        <v>113.44656727170943</v>
      </c>
      <c r="U339" s="181">
        <v>-1.35896437977107E-2</v>
      </c>
      <c r="V339" s="181">
        <v>-2.4784527267174061E-2</v>
      </c>
      <c r="W339" s="180">
        <v>103.76636244640092</v>
      </c>
      <c r="X339" s="181">
        <v>2.27840034242058E-3</v>
      </c>
      <c r="Y339" s="181">
        <v>1.0500363806151825E-2</v>
      </c>
      <c r="Z339" s="180">
        <v>94.141383421956917</v>
      </c>
      <c r="AA339" s="181">
        <v>4.2386583773976203E-3</v>
      </c>
      <c r="AB339" s="181">
        <v>3.1856388789317513E-3</v>
      </c>
      <c r="AC339" s="180">
        <v>116.34863236215573</v>
      </c>
      <c r="AD339" s="181">
        <v>-5.4037898559836106E-4</v>
      </c>
      <c r="AE339" s="181">
        <v>3.8773999050386143E-2</v>
      </c>
      <c r="AF339" s="180">
        <v>102.7256306939649</v>
      </c>
      <c r="AG339" s="181">
        <v>9.4721326305900394E-5</v>
      </c>
      <c r="AH339" s="181">
        <v>2.2606092530208954E-2</v>
      </c>
      <c r="AI339" s="180">
        <v>110.69776220562522</v>
      </c>
      <c r="AJ339" s="181">
        <v>3.0800574969195799E-3</v>
      </c>
      <c r="AK339" s="185">
        <v>8.7822424722681092E-3</v>
      </c>
    </row>
    <row r="340" spans="1:37" s="184" customFormat="1" ht="15.75" customHeight="1">
      <c r="A340" s="179">
        <v>45200</v>
      </c>
      <c r="B340" s="180">
        <v>131.22693664316148</v>
      </c>
      <c r="C340" s="181">
        <v>1.4633026375619599E-4</v>
      </c>
      <c r="D340" s="181">
        <v>1.6756599968301256E-2</v>
      </c>
      <c r="E340" s="180">
        <v>158.10818506845314</v>
      </c>
      <c r="F340" s="181">
        <v>4.8492997241682398E-3</v>
      </c>
      <c r="G340" s="181">
        <v>3.3300711903355484E-2</v>
      </c>
      <c r="H340" s="180">
        <v>132.11650078156791</v>
      </c>
      <c r="I340" s="181">
        <v>5.6571140558553704E-4</v>
      </c>
      <c r="J340" s="181">
        <v>1.2718933487715134E-2</v>
      </c>
      <c r="K340" s="180">
        <v>127.22606540438505</v>
      </c>
      <c r="L340" s="181">
        <v>-3.6292208921182602E-3</v>
      </c>
      <c r="M340" s="181">
        <v>2.9380961842657705E-2</v>
      </c>
      <c r="N340" s="180">
        <v>150.30472418205517</v>
      </c>
      <c r="O340" s="181">
        <v>1.0163893649364701E-3</v>
      </c>
      <c r="P340" s="181">
        <v>1.5145206290791302E-2</v>
      </c>
      <c r="Q340" s="180">
        <v>127.05521771241142</v>
      </c>
      <c r="R340" s="181">
        <v>3.7162661517069202E-3</v>
      </c>
      <c r="S340" s="181">
        <v>2.07887070308439E-2</v>
      </c>
      <c r="T340" s="180">
        <v>112.22011270582354</v>
      </c>
      <c r="U340" s="181">
        <v>-1.0810856559004401E-2</v>
      </c>
      <c r="V340" s="181">
        <v>-3.3926048177105539E-2</v>
      </c>
      <c r="W340" s="180">
        <v>103.82304128596287</v>
      </c>
      <c r="X340" s="181">
        <v>5.4621592417511498E-4</v>
      </c>
      <c r="Y340" s="181">
        <v>4.6653864416248414E-3</v>
      </c>
      <c r="Z340" s="180">
        <v>93.737154444185151</v>
      </c>
      <c r="AA340" s="181">
        <v>-4.2938499847612298E-3</v>
      </c>
      <c r="AB340" s="181">
        <v>-5.6806409591299012E-3</v>
      </c>
      <c r="AC340" s="180">
        <v>115.97868465001272</v>
      </c>
      <c r="AD340" s="181">
        <v>-3.1796481370874601E-3</v>
      </c>
      <c r="AE340" s="181">
        <v>2.8927061803327492E-2</v>
      </c>
      <c r="AF340" s="180">
        <v>102.6486189673879</v>
      </c>
      <c r="AG340" s="181">
        <v>-7.4968365788310207E-4</v>
      </c>
      <c r="AH340" s="181">
        <v>2.7670167858513173E-2</v>
      </c>
      <c r="AI340" s="180">
        <v>110.38036187217806</v>
      </c>
      <c r="AJ340" s="181">
        <v>-2.8672696459535701E-3</v>
      </c>
      <c r="AK340" s="185">
        <v>2.2795553170416039E-3</v>
      </c>
    </row>
    <row r="341" spans="1:37" s="184" customFormat="1" ht="15.75" customHeight="1">
      <c r="A341" s="179">
        <v>45231</v>
      </c>
      <c r="B341" s="180">
        <v>131.1824443265366</v>
      </c>
      <c r="C341" s="181">
        <v>-3.3904865695272795E-4</v>
      </c>
      <c r="D341" s="181">
        <v>1.15328892028006E-2</v>
      </c>
      <c r="E341" s="180">
        <v>158.26263160318396</v>
      </c>
      <c r="F341" s="181">
        <v>9.7684085529122595E-4</v>
      </c>
      <c r="G341" s="181">
        <v>2.5332778617005447E-2</v>
      </c>
      <c r="H341" s="180">
        <v>131.950675371317</v>
      </c>
      <c r="I341" s="181">
        <v>-1.25514533968071E-3</v>
      </c>
      <c r="J341" s="181">
        <v>1.1482701799422124E-2</v>
      </c>
      <c r="K341" s="180">
        <v>127.54700702680279</v>
      </c>
      <c r="L341" s="181">
        <v>2.5226090376813696E-3</v>
      </c>
      <c r="M341" s="181">
        <v>2.4383409858721894E-2</v>
      </c>
      <c r="N341" s="180">
        <v>150.36190639131408</v>
      </c>
      <c r="O341" s="181">
        <v>3.8044186282310097E-4</v>
      </c>
      <c r="P341" s="181">
        <v>1.5765263734579316E-2</v>
      </c>
      <c r="Q341" s="180">
        <v>127.31804178339735</v>
      </c>
      <c r="R341" s="181">
        <v>2.0685814854202798E-3</v>
      </c>
      <c r="S341" s="181">
        <v>2.0383728981020255E-2</v>
      </c>
      <c r="T341" s="180">
        <v>110.82646140932292</v>
      </c>
      <c r="U341" s="181">
        <v>-1.24189083658646E-2</v>
      </c>
      <c r="V341" s="181">
        <v>-4.385026568464423E-2</v>
      </c>
      <c r="W341" s="180">
        <v>115.77851893868912</v>
      </c>
      <c r="X341" s="181">
        <v>-1.7258836132488101E-3</v>
      </c>
      <c r="Y341" s="181">
        <v>2.7572159934824203E-2</v>
      </c>
      <c r="Z341" s="180">
        <v>93.454026767289946</v>
      </c>
      <c r="AA341" s="181">
        <v>-3.0204424123390799E-3</v>
      </c>
      <c r="AB341" s="181">
        <v>2.6661009781479006E-3</v>
      </c>
      <c r="AC341" s="180">
        <v>115.77851893868912</v>
      </c>
      <c r="AD341" s="181">
        <v>-1.7258836132488101E-3</v>
      </c>
      <c r="AE341" s="181">
        <v>2.7572159934824203E-2</v>
      </c>
      <c r="AF341" s="180">
        <v>101.61129026863209</v>
      </c>
      <c r="AG341" s="181">
        <v>-1.01056274228626E-2</v>
      </c>
      <c r="AH341" s="181">
        <v>2.0118606969470987E-2</v>
      </c>
      <c r="AI341" s="180">
        <v>110.85065985115853</v>
      </c>
      <c r="AJ341" s="181">
        <v>4.2607033624791901E-3</v>
      </c>
      <c r="AK341" s="185">
        <v>1.2179055157730545E-3</v>
      </c>
    </row>
    <row r="342" spans="1:37" s="184" customFormat="1" ht="15.75" customHeight="1">
      <c r="A342" s="179">
        <v>45261</v>
      </c>
      <c r="B342" s="180">
        <v>130.62237056096663</v>
      </c>
      <c r="C342" s="181">
        <v>-4.2694262059626798E-3</v>
      </c>
      <c r="D342" s="181">
        <v>1.0125433472937706E-2</v>
      </c>
      <c r="E342" s="180">
        <v>157.47270938318923</v>
      </c>
      <c r="F342" s="181">
        <v>-4.9912112037623401E-3</v>
      </c>
      <c r="G342" s="181">
        <v>2.6289138261714085E-2</v>
      </c>
      <c r="H342" s="180">
        <v>131.58972427542201</v>
      </c>
      <c r="I342" s="181">
        <v>-2.7355001774659301E-3</v>
      </c>
      <c r="J342" s="181">
        <v>7.0678955778558095E-3</v>
      </c>
      <c r="K342" s="180">
        <v>127.64953450452838</v>
      </c>
      <c r="L342" s="181">
        <v>8.0384071814430997E-4</v>
      </c>
      <c r="M342" s="181">
        <v>2.9193444697996229E-2</v>
      </c>
      <c r="N342" s="180">
        <v>149.96506979663562</v>
      </c>
      <c r="O342" s="181">
        <v>-2.6392096522486201E-3</v>
      </c>
      <c r="P342" s="181">
        <v>1.5129231194028092E-2</v>
      </c>
      <c r="Q342" s="180">
        <v>126.52452045358983</v>
      </c>
      <c r="R342" s="181">
        <v>-6.2325913805484998E-3</v>
      </c>
      <c r="S342" s="181">
        <v>7.4902556270806109E-3</v>
      </c>
      <c r="T342" s="180">
        <v>105.53926116228719</v>
      </c>
      <c r="U342" s="181">
        <v>-4.7707020325300699E-2</v>
      </c>
      <c r="V342" s="181">
        <v>-6.3930024319079126E-2</v>
      </c>
      <c r="W342" s="180">
        <v>114.86186812995348</v>
      </c>
      <c r="X342" s="181">
        <v>-7.9172787589471012E-3</v>
      </c>
      <c r="Y342" s="181">
        <v>2.2909379130963581E-2</v>
      </c>
      <c r="Z342" s="180">
        <v>92.171880122415089</v>
      </c>
      <c r="AA342" s="181">
        <v>-1.3719544135508801E-2</v>
      </c>
      <c r="AB342" s="181">
        <v>-7.7991389155871449E-3</v>
      </c>
      <c r="AC342" s="180">
        <v>114.86186812995348</v>
      </c>
      <c r="AD342" s="181">
        <v>-7.9172787589471012E-3</v>
      </c>
      <c r="AE342" s="181">
        <v>2.2909379130963581E-2</v>
      </c>
      <c r="AF342" s="180">
        <v>100.15702519587235</v>
      </c>
      <c r="AG342" s="181">
        <v>-1.4312042184633899E-2</v>
      </c>
      <c r="AH342" s="181">
        <v>2.2682982162729681E-2</v>
      </c>
      <c r="AI342" s="180">
        <v>111.78842676701414</v>
      </c>
      <c r="AJ342" s="181">
        <v>8.4597323743023992E-3</v>
      </c>
      <c r="AK342" s="185">
        <v>3.8483365934425251E-3</v>
      </c>
    </row>
    <row r="343" spans="1:37" s="184" customFormat="1" ht="15.75" customHeight="1">
      <c r="A343" s="179">
        <v>45292</v>
      </c>
      <c r="B343" s="180">
        <v>130.27083893965809</v>
      </c>
      <c r="C343" s="181">
        <v>-2.6912053410060098E-3</v>
      </c>
      <c r="D343" s="181">
        <v>4.6580969566978325E-3</v>
      </c>
      <c r="E343" s="180">
        <v>157.67406222050195</v>
      </c>
      <c r="F343" s="181">
        <v>1.2786522699801501E-3</v>
      </c>
      <c r="G343" s="181">
        <v>2.1997508069567573E-2</v>
      </c>
      <c r="H343" s="180">
        <v>132.12615292883825</v>
      </c>
      <c r="I343" s="181">
        <v>4.0765238803408899E-3</v>
      </c>
      <c r="J343" s="181">
        <v>3.097368911602727E-3</v>
      </c>
      <c r="K343" s="180">
        <v>128.32690769609539</v>
      </c>
      <c r="L343" s="181">
        <v>5.3065073382072107E-3</v>
      </c>
      <c r="M343" s="181">
        <v>2.8393841475957249E-2</v>
      </c>
      <c r="N343" s="180">
        <v>147.60298791013756</v>
      </c>
      <c r="O343" s="181">
        <v>-1.5750880453036301E-2</v>
      </c>
      <c r="P343" s="181">
        <v>-1.8789753142637311E-3</v>
      </c>
      <c r="Q343" s="180">
        <v>125.56470450863132</v>
      </c>
      <c r="R343" s="181">
        <v>-7.5860073724648104E-3</v>
      </c>
      <c r="S343" s="181">
        <v>-3.2792511682971925E-3</v>
      </c>
      <c r="T343" s="180">
        <v>105.88021684929691</v>
      </c>
      <c r="U343" s="181">
        <v>3.2306052103724197E-3</v>
      </c>
      <c r="V343" s="181">
        <v>-7.3239382217218929E-2</v>
      </c>
      <c r="W343" s="180">
        <v>115.32381935465784</v>
      </c>
      <c r="X343" s="181">
        <v>4.02179794065099E-3</v>
      </c>
      <c r="Y343" s="181">
        <v>2.4282030371879815E-2</v>
      </c>
      <c r="Z343" s="180">
        <v>91.227467889523211</v>
      </c>
      <c r="AA343" s="181">
        <v>-1.0246207754877E-2</v>
      </c>
      <c r="AB343" s="181">
        <v>-9.94623125371219E-3</v>
      </c>
      <c r="AC343" s="180">
        <v>115.32381935465784</v>
      </c>
      <c r="AD343" s="181">
        <v>4.02179794065099E-3</v>
      </c>
      <c r="AE343" s="181">
        <v>2.4282030371879815E-2</v>
      </c>
      <c r="AF343" s="180">
        <v>100.76270044127561</v>
      </c>
      <c r="AG343" s="181">
        <v>6.0472567372959994E-3</v>
      </c>
      <c r="AH343" s="181">
        <v>1.3726071947326668E-2</v>
      </c>
      <c r="AI343" s="180">
        <v>112.36213391445811</v>
      </c>
      <c r="AJ343" s="181">
        <v>5.1320799839115801E-3</v>
      </c>
      <c r="AK343" s="185">
        <v>6.4462178781734547E-3</v>
      </c>
    </row>
    <row r="344" spans="1:37" s="184" customFormat="1" ht="15.75" customHeight="1">
      <c r="A344" s="179">
        <v>45323</v>
      </c>
      <c r="B344" s="180">
        <v>129.7584843278317</v>
      </c>
      <c r="C344" s="181">
        <v>-3.9329954116877905E-3</v>
      </c>
      <c r="D344" s="181">
        <v>-8.8918166179507985E-5</v>
      </c>
      <c r="E344" s="180">
        <v>158.02967038741548</v>
      </c>
      <c r="F344" s="181">
        <v>2.2553371296810602E-3</v>
      </c>
      <c r="G344" s="181">
        <v>2.0359518289212897E-2</v>
      </c>
      <c r="H344" s="180">
        <v>132.12890780541437</v>
      </c>
      <c r="I344" s="181">
        <v>2.0850350328549199E-5</v>
      </c>
      <c r="J344" s="181">
        <v>-2.3221242255208052E-3</v>
      </c>
      <c r="K344" s="180">
        <v>128.01121745039194</v>
      </c>
      <c r="L344" s="181">
        <v>-2.46004716681143E-3</v>
      </c>
      <c r="M344" s="181">
        <v>1.6742807536382243E-2</v>
      </c>
      <c r="N344" s="180">
        <v>146.22105215338513</v>
      </c>
      <c r="O344" s="181">
        <v>-9.3625188508633904E-3</v>
      </c>
      <c r="P344" s="181">
        <v>-1.0633657783366446E-2</v>
      </c>
      <c r="Q344" s="180">
        <v>124.8684649894074</v>
      </c>
      <c r="R344" s="181">
        <v>-5.5448664650508492E-3</v>
      </c>
      <c r="S344" s="181">
        <v>-4.637110788565213E-3</v>
      </c>
      <c r="T344" s="180">
        <v>105.4760998329335</v>
      </c>
      <c r="U344" s="181">
        <v>-3.8167377097330503E-3</v>
      </c>
      <c r="V344" s="181">
        <v>-8.870068962898503E-2</v>
      </c>
      <c r="W344" s="180">
        <v>115.36153590458352</v>
      </c>
      <c r="X344" s="181">
        <v>3.2704908783568002E-4</v>
      </c>
      <c r="Y344" s="181">
        <v>2.0367568073710096E-2</v>
      </c>
      <c r="Z344" s="180">
        <v>90.538074691320475</v>
      </c>
      <c r="AA344" s="181">
        <v>-7.5568599474622198E-3</v>
      </c>
      <c r="AB344" s="181">
        <v>-2.8666740961218795E-2</v>
      </c>
      <c r="AC344" s="180">
        <v>115.36153590458352</v>
      </c>
      <c r="AD344" s="181">
        <v>3.2704908783568002E-4</v>
      </c>
      <c r="AE344" s="181">
        <v>2.0367568073710096E-2</v>
      </c>
      <c r="AF344" s="180">
        <v>101.38922590540434</v>
      </c>
      <c r="AG344" s="181">
        <v>6.2178312151714198E-3</v>
      </c>
      <c r="AH344" s="181">
        <v>2.0190436455332694E-2</v>
      </c>
      <c r="AI344" s="180">
        <v>112.18958576901237</v>
      </c>
      <c r="AJ344" s="181">
        <v>-1.5356431872067E-3</v>
      </c>
      <c r="AK344" s="185">
        <v>1.0375150605788308E-2</v>
      </c>
    </row>
    <row r="345" spans="1:37" s="184" customFormat="1" ht="15.75" customHeight="1">
      <c r="A345" s="179">
        <v>45352</v>
      </c>
      <c r="B345" s="180">
        <v>129.08805453944399</v>
      </c>
      <c r="C345" s="181">
        <v>-5.1667510749731803E-3</v>
      </c>
      <c r="D345" s="181">
        <v>-5.9938630849013519E-3</v>
      </c>
      <c r="E345" s="180">
        <v>156.8329222700599</v>
      </c>
      <c r="F345" s="181">
        <v>-7.5729330727685997E-3</v>
      </c>
      <c r="G345" s="181">
        <v>6.7764077979604043E-3</v>
      </c>
      <c r="H345" s="180">
        <v>131.18695410671515</v>
      </c>
      <c r="I345" s="181">
        <v>-7.12905082123609E-3</v>
      </c>
      <c r="J345" s="181">
        <v>-1.1148923924942267E-2</v>
      </c>
      <c r="K345" s="180">
        <v>126.33902637663412</v>
      </c>
      <c r="L345" s="181">
        <v>-1.3062847983660799E-2</v>
      </c>
      <c r="M345" s="181">
        <v>-1.9912825247390131E-3</v>
      </c>
      <c r="N345" s="180">
        <v>146.09827656523433</v>
      </c>
      <c r="O345" s="181">
        <v>-8.3965739777336703E-4</v>
      </c>
      <c r="P345" s="181">
        <v>-1.2677635346313831E-2</v>
      </c>
      <c r="Q345" s="180">
        <v>123.55166831902467</v>
      </c>
      <c r="R345" s="181">
        <v>-1.0545470151286301E-2</v>
      </c>
      <c r="S345" s="181">
        <v>-1.8296015889270101E-2</v>
      </c>
      <c r="T345" s="180"/>
      <c r="U345" s="181"/>
      <c r="V345" s="181"/>
      <c r="W345" s="180">
        <v>100.23743137080771</v>
      </c>
      <c r="X345" s="181">
        <v>-1.2814176733954E-3</v>
      </c>
      <c r="Y345" s="181">
        <v>-3.176155518789392E-2</v>
      </c>
      <c r="Z345" s="180">
        <v>89.915508072263762</v>
      </c>
      <c r="AA345" s="181">
        <v>-6.8762962011206996E-3</v>
      </c>
      <c r="AB345" s="181">
        <v>-3.9220550018839395E-2</v>
      </c>
      <c r="AC345" s="180">
        <v>115.23716519109149</v>
      </c>
      <c r="AD345" s="181">
        <v>-1.0780951598538401E-3</v>
      </c>
      <c r="AE345" s="181">
        <v>1.0816457249393618E-2</v>
      </c>
      <c r="AF345" s="180">
        <v>101.48657174808906</v>
      </c>
      <c r="AG345" s="181">
        <v>9.6012018846582602E-4</v>
      </c>
      <c r="AH345" s="181">
        <v>8.1203443302046985E-3</v>
      </c>
      <c r="AI345" s="180">
        <v>112.09229704428101</v>
      </c>
      <c r="AJ345" s="181">
        <v>-8.6718142387704009E-4</v>
      </c>
      <c r="AK345" s="185">
        <v>2.2726805078885137E-2</v>
      </c>
    </row>
    <row r="346" spans="1:37" s="184" customFormat="1" ht="15.75" customHeight="1">
      <c r="A346" s="179">
        <v>45383</v>
      </c>
      <c r="B346" s="180">
        <v>128.47934459368642</v>
      </c>
      <c r="C346" s="181">
        <v>-4.7154630064672196E-3</v>
      </c>
      <c r="D346" s="181">
        <v>-1.311074993748218E-2</v>
      </c>
      <c r="E346" s="180">
        <v>155.75675137573887</v>
      </c>
      <c r="F346" s="181">
        <v>-6.8618940382166801E-3</v>
      </c>
      <c r="G346" s="181">
        <v>-3.5119216796124508E-3</v>
      </c>
      <c r="H346" s="180">
        <v>131.3557739365032</v>
      </c>
      <c r="I346" s="181">
        <v>1.2868644671080202E-3</v>
      </c>
      <c r="J346" s="181">
        <v>-7.0109094293435703E-3</v>
      </c>
      <c r="K346" s="180">
        <v>124.69265220878439</v>
      </c>
      <c r="L346" s="181">
        <v>-1.3031398254896E-2</v>
      </c>
      <c r="M346" s="181">
        <v>-1.114755428703107E-2</v>
      </c>
      <c r="N346" s="180">
        <v>147.54685150491912</v>
      </c>
      <c r="O346" s="181">
        <v>9.9150720579374192E-3</v>
      </c>
      <c r="P346" s="181">
        <v>-6.1865594156869097E-3</v>
      </c>
      <c r="Q346" s="180">
        <v>123.426966828953</v>
      </c>
      <c r="R346" s="181">
        <v>-1.0093064041003599E-3</v>
      </c>
      <c r="S346" s="181">
        <v>-2.2309514346277259E-2</v>
      </c>
      <c r="T346" s="180"/>
      <c r="U346" s="181"/>
      <c r="V346" s="181"/>
      <c r="W346" s="180">
        <v>100.25706030158521</v>
      </c>
      <c r="X346" s="181">
        <v>1.9582435931437902E-4</v>
      </c>
      <c r="Y346" s="181">
        <v>-3.0636373797915062E-2</v>
      </c>
      <c r="Z346" s="180">
        <v>89.427019115940524</v>
      </c>
      <c r="AA346" s="181">
        <v>-5.43275533660602E-3</v>
      </c>
      <c r="AB346" s="181">
        <v>-3.8858535984354736E-2</v>
      </c>
      <c r="AC346" s="180">
        <v>115.77603054454597</v>
      </c>
      <c r="AD346" s="181">
        <v>4.6761420463693896E-3</v>
      </c>
      <c r="AE346" s="181">
        <v>1.5792835782496573E-2</v>
      </c>
      <c r="AF346" s="180">
        <v>100.98477579992316</v>
      </c>
      <c r="AG346" s="181">
        <v>-4.9444565869411396E-3</v>
      </c>
      <c r="AH346" s="181">
        <v>3.9418396150050494E-3</v>
      </c>
      <c r="AI346" s="180">
        <v>111.08233558720596</v>
      </c>
      <c r="AJ346" s="181">
        <v>-9.0100879695245092E-3</v>
      </c>
      <c r="AK346" s="185">
        <v>1.9326056343135445E-2</v>
      </c>
    </row>
    <row r="347" spans="1:37" s="184" customFormat="1" ht="15.75" customHeight="1">
      <c r="A347" s="179">
        <v>45413</v>
      </c>
      <c r="B347" s="180">
        <v>128.12148916371669</v>
      </c>
      <c r="C347" s="181">
        <v>-2.7853148776672497E-3</v>
      </c>
      <c r="D347" s="181">
        <v>-1.7120352447899334E-2</v>
      </c>
      <c r="E347" s="180">
        <v>154.2900444290477</v>
      </c>
      <c r="F347" s="181">
        <v>-9.4166508593452811E-3</v>
      </c>
      <c r="G347" s="181">
        <v>-1.4489254090569004E-2</v>
      </c>
      <c r="H347" s="180">
        <v>130.99396020583907</v>
      </c>
      <c r="I347" s="181">
        <v>-2.7544562360770903E-3</v>
      </c>
      <c r="J347" s="181">
        <v>-6.8790074081449548E-3</v>
      </c>
      <c r="K347" s="180">
        <v>124.53541052593479</v>
      </c>
      <c r="L347" s="181">
        <v>-1.26103407108807E-3</v>
      </c>
      <c r="M347" s="181">
        <v>-1.073861014246813E-2</v>
      </c>
      <c r="N347" s="180">
        <v>147.44529562196752</v>
      </c>
      <c r="O347" s="181">
        <v>-6.8829583224428099E-4</v>
      </c>
      <c r="P347" s="181">
        <v>-1.2806479172088103E-2</v>
      </c>
      <c r="Q347" s="180">
        <v>123.41210287782746</v>
      </c>
      <c r="R347" s="181">
        <v>-1.2042709553195099E-4</v>
      </c>
      <c r="S347" s="181">
        <v>-2.3931513937162419E-2</v>
      </c>
      <c r="T347" s="180"/>
      <c r="U347" s="181"/>
      <c r="V347" s="181"/>
      <c r="W347" s="180">
        <v>99.840080040119133</v>
      </c>
      <c r="X347" s="181">
        <v>-4.1591111908902603E-3</v>
      </c>
      <c r="Y347" s="181">
        <v>-3.8286450070383338E-2</v>
      </c>
      <c r="Z347" s="180">
        <v>89.20466194634318</v>
      </c>
      <c r="AA347" s="181">
        <v>-2.4864651846334901E-3</v>
      </c>
      <c r="AB347" s="181">
        <v>-3.7098878239530619E-2</v>
      </c>
      <c r="AC347" s="180">
        <v>115.45901497315691</v>
      </c>
      <c r="AD347" s="181">
        <v>-2.7381796551325097E-3</v>
      </c>
      <c r="AE347" s="181">
        <v>4.8665703604600097E-4</v>
      </c>
      <c r="AF347" s="180">
        <v>100.83876611232576</v>
      </c>
      <c r="AG347" s="181">
        <v>-1.44585841222918E-3</v>
      </c>
      <c r="AH347" s="181">
        <v>-7.0651775516082926E-3</v>
      </c>
      <c r="AI347" s="180">
        <v>111.50068450462113</v>
      </c>
      <c r="AJ347" s="181">
        <v>3.7661156042830103E-3</v>
      </c>
      <c r="AK347" s="185">
        <v>1.9435161896450559E-2</v>
      </c>
    </row>
    <row r="348" spans="1:37" s="184" customFormat="1" ht="17.25" customHeight="1">
      <c r="A348" s="179">
        <v>45444</v>
      </c>
      <c r="B348" s="180">
        <v>127.90297080173325</v>
      </c>
      <c r="C348" s="181">
        <v>-1.70555590174428E-3</v>
      </c>
      <c r="D348" s="181">
        <v>-2.1493339897197261E-2</v>
      </c>
      <c r="E348" s="180">
        <v>153.59751737569297</v>
      </c>
      <c r="F348" s="181">
        <v>-4.4884752993456503E-3</v>
      </c>
      <c r="G348" s="181">
        <v>-2.2339242932970071E-2</v>
      </c>
      <c r="H348" s="180">
        <v>130.77733389208041</v>
      </c>
      <c r="I348" s="181">
        <v>-1.6537122277872501E-3</v>
      </c>
      <c r="J348" s="181">
        <v>-1.07581104708252E-2</v>
      </c>
      <c r="K348" s="180">
        <v>124.5110083567274</v>
      </c>
      <c r="L348" s="181">
        <v>-1.9594562786868499E-4</v>
      </c>
      <c r="M348" s="181">
        <v>-1.3826372658682251E-2</v>
      </c>
      <c r="N348" s="180">
        <v>147.66393930826638</v>
      </c>
      <c r="O348" s="181">
        <v>1.4828800429104898E-3</v>
      </c>
      <c r="P348" s="181">
        <v>-1.2941895552643801E-2</v>
      </c>
      <c r="Q348" s="180">
        <v>123.42001177607558</v>
      </c>
      <c r="R348" s="181">
        <v>6.4085272543827209E-5</v>
      </c>
      <c r="S348" s="181">
        <v>-2.4930330367943454E-2</v>
      </c>
      <c r="T348" s="180"/>
      <c r="U348" s="181"/>
      <c r="V348" s="181"/>
      <c r="W348" s="180">
        <v>99.133040802094413</v>
      </c>
      <c r="X348" s="181">
        <v>-7.0817174599681395E-3</v>
      </c>
      <c r="Y348" s="181">
        <v>-4.503170530397349E-2</v>
      </c>
      <c r="Z348" s="180">
        <v>88.747254146319676</v>
      </c>
      <c r="AA348" s="181">
        <v>-5.1276221448901104E-3</v>
      </c>
      <c r="AB348" s="181">
        <v>-4.8807067228204715E-2</v>
      </c>
      <c r="AC348" s="180">
        <v>115.4276920318916</v>
      </c>
      <c r="AD348" s="181">
        <v>-2.7129056377789501E-4</v>
      </c>
      <c r="AE348" s="181">
        <v>-1.8854942759471971E-4</v>
      </c>
      <c r="AF348" s="180">
        <v>100.75691229554759</v>
      </c>
      <c r="AG348" s="181">
        <v>-8.1172965451585793E-4</v>
      </c>
      <c r="AH348" s="181">
        <v>-9.8699370788747354E-3</v>
      </c>
      <c r="AI348" s="180">
        <v>111.38542503335732</v>
      </c>
      <c r="AJ348" s="181">
        <v>-1.0337108850576799E-3</v>
      </c>
      <c r="AK348" s="185">
        <v>1.9107780976501232E-2</v>
      </c>
    </row>
    <row r="349" spans="1:37" s="184" customFormat="1" ht="15.75" customHeight="1">
      <c r="A349" s="179">
        <v>45474</v>
      </c>
      <c r="B349" s="180">
        <v>127.96636447731564</v>
      </c>
      <c r="C349" s="181">
        <v>4.9563880482998094E-4</v>
      </c>
      <c r="D349" s="181">
        <v>-2.3200039882953605E-2</v>
      </c>
      <c r="E349" s="180">
        <v>153.79641765734343</v>
      </c>
      <c r="F349" s="181">
        <v>1.2949446387465998E-3</v>
      </c>
      <c r="G349" s="181">
        <v>-2.0612582994456341E-2</v>
      </c>
      <c r="H349" s="180">
        <v>131.12388147775914</v>
      </c>
      <c r="I349" s="181">
        <v>2.6499055712874099E-3</v>
      </c>
      <c r="J349" s="181">
        <v>-1.6057456003790271E-2</v>
      </c>
      <c r="K349" s="180">
        <v>124.30564450287883</v>
      </c>
      <c r="L349" s="181">
        <v>-1.6493630286905101E-3</v>
      </c>
      <c r="M349" s="181">
        <v>-2.0989307144956726E-2</v>
      </c>
      <c r="N349" s="180">
        <v>147.57716042564644</v>
      </c>
      <c r="O349" s="181">
        <v>-5.8767823089692995E-4</v>
      </c>
      <c r="P349" s="181">
        <v>-1.6171896422851884E-2</v>
      </c>
      <c r="Q349" s="180">
        <v>123.35065426736219</v>
      </c>
      <c r="R349" s="181">
        <v>-5.6196323201806E-4</v>
      </c>
      <c r="S349" s="181">
        <v>-2.61699245945054E-2</v>
      </c>
      <c r="T349" s="180"/>
      <c r="U349" s="181"/>
      <c r="V349" s="181"/>
      <c r="W349" s="180">
        <v>99.175407568321873</v>
      </c>
      <c r="X349" s="181">
        <v>4.2737281016148502E-4</v>
      </c>
      <c r="Y349" s="181">
        <v>-4.7449233458343065E-2</v>
      </c>
      <c r="Z349" s="180">
        <v>88.823736235734557</v>
      </c>
      <c r="AA349" s="181">
        <v>8.6179668487304409E-4</v>
      </c>
      <c r="AB349" s="181">
        <v>-4.8690020657064514E-2</v>
      </c>
      <c r="AC349" s="180">
        <v>116.04029050573986</v>
      </c>
      <c r="AD349" s="181">
        <v>5.3072054293436498E-3</v>
      </c>
      <c r="AE349" s="181">
        <v>-3.2842593446280599E-3</v>
      </c>
      <c r="AF349" s="180">
        <v>100.59115594357674</v>
      </c>
      <c r="AG349" s="181">
        <v>-1.6451114687262899E-3</v>
      </c>
      <c r="AH349" s="181">
        <v>-1.8057393292972068E-2</v>
      </c>
      <c r="AI349" s="180">
        <v>111.02016933779457</v>
      </c>
      <c r="AJ349" s="181">
        <v>-3.2792054746243397E-3</v>
      </c>
      <c r="AK349" s="185">
        <v>1.4424758568288842E-2</v>
      </c>
    </row>
    <row r="350" spans="1:37" s="184" customFormat="1" ht="15.75" customHeight="1">
      <c r="A350" s="179">
        <v>45505</v>
      </c>
      <c r="B350" s="180">
        <v>127.85775768265503</v>
      </c>
      <c r="C350" s="181">
        <v>-8.4871360614341103E-4</v>
      </c>
      <c r="D350" s="181">
        <v>-2.4755510818361803E-2</v>
      </c>
      <c r="E350" s="180">
        <v>153.36513628902676</v>
      </c>
      <c r="F350" s="181">
        <v>-2.8042354619568E-3</v>
      </c>
      <c r="G350" s="181">
        <v>-2.6892768384822685E-2</v>
      </c>
      <c r="H350" s="180">
        <v>131.41865102198767</v>
      </c>
      <c r="I350" s="181">
        <v>2.2480233265404501E-3</v>
      </c>
      <c r="J350" s="181">
        <v>-1.0066565763989233E-2</v>
      </c>
      <c r="K350" s="180">
        <v>125.08474368885042</v>
      </c>
      <c r="L350" s="181">
        <v>6.2676090783114306E-3</v>
      </c>
      <c r="M350" s="181">
        <v>-1.857653932905623E-2</v>
      </c>
      <c r="N350" s="180">
        <v>147.35436692479138</v>
      </c>
      <c r="O350" s="181">
        <v>-1.5096746692542301E-3</v>
      </c>
      <c r="P350" s="181">
        <v>-1.1544064111425945E-2</v>
      </c>
      <c r="Q350" s="180">
        <v>122.84625756328079</v>
      </c>
      <c r="R350" s="181">
        <v>-4.0891287288036399E-3</v>
      </c>
      <c r="S350" s="181">
        <v>-2.6264797995952271E-2</v>
      </c>
      <c r="T350" s="180"/>
      <c r="U350" s="181"/>
      <c r="V350" s="181"/>
      <c r="W350" s="180">
        <v>99.33610031953053</v>
      </c>
      <c r="X350" s="181">
        <v>1.6202882866699101E-3</v>
      </c>
      <c r="Y350" s="181">
        <v>-4.0513463349542866E-2</v>
      </c>
      <c r="Z350" s="180">
        <v>88.330173928839599</v>
      </c>
      <c r="AA350" s="181">
        <v>-5.5566487946989195E-3</v>
      </c>
      <c r="AB350" s="181">
        <v>-5.7751520784947497E-2</v>
      </c>
      <c r="AC350" s="180">
        <v>115.54246579694519</v>
      </c>
      <c r="AD350" s="181">
        <v>-4.2901022276400601E-3</v>
      </c>
      <c r="AE350" s="181">
        <v>-7.4655220954187307E-3</v>
      </c>
      <c r="AF350" s="180">
        <v>100.81664956240347</v>
      </c>
      <c r="AG350" s="181">
        <v>2.2416843380665499E-3</v>
      </c>
      <c r="AH350" s="181">
        <v>-1.8490338116880056E-2</v>
      </c>
      <c r="AI350" s="180">
        <v>110.76885456118769</v>
      </c>
      <c r="AJ350" s="181">
        <v>-2.2636857618384999E-3</v>
      </c>
      <c r="AK350" s="185">
        <v>3.7242559222927518E-3</v>
      </c>
    </row>
    <row r="351" spans="1:37" s="184" customFormat="1" ht="15.75" customHeight="1">
      <c r="A351" s="179">
        <v>45536</v>
      </c>
      <c r="B351" s="180">
        <v>127.99965475352575</v>
      </c>
      <c r="C351" s="181">
        <v>1.1098041561381201E-3</v>
      </c>
      <c r="D351" s="181">
        <v>-2.4450404379398161E-2</v>
      </c>
      <c r="E351" s="180">
        <v>154.74799394686687</v>
      </c>
      <c r="F351" s="181">
        <v>9.0167667261354095E-3</v>
      </c>
      <c r="G351" s="181">
        <v>-1.650624043337301E-2</v>
      </c>
      <c r="H351" s="180">
        <v>131.66207967089403</v>
      </c>
      <c r="I351" s="181">
        <v>1.85231431774205E-3</v>
      </c>
      <c r="J351" s="181">
        <v>-2.8757828755175963E-3</v>
      </c>
      <c r="K351" s="180">
        <v>125.76443730783269</v>
      </c>
      <c r="L351" s="181">
        <v>5.4338650656951008E-3</v>
      </c>
      <c r="M351" s="181">
        <v>-1.5075959582802168E-2</v>
      </c>
      <c r="N351" s="180">
        <v>148.35509763955139</v>
      </c>
      <c r="O351" s="181">
        <v>6.7913203771610498E-3</v>
      </c>
      <c r="P351" s="181">
        <v>-1.1967953827253019E-2</v>
      </c>
      <c r="Q351" s="180">
        <v>122.99638498752827</v>
      </c>
      <c r="R351" s="181">
        <v>1.22207568407337E-3</v>
      </c>
      <c r="S351" s="181">
        <v>-2.8347874943036255E-2</v>
      </c>
      <c r="T351" s="180"/>
      <c r="U351" s="181"/>
      <c r="V351" s="181"/>
      <c r="W351" s="180">
        <v>99.527616024478505</v>
      </c>
      <c r="X351" s="181">
        <v>1.92795674817056E-3</v>
      </c>
      <c r="Y351" s="181">
        <v>-4.0848944898804529E-2</v>
      </c>
      <c r="Z351" s="180">
        <v>88.750961524914104</v>
      </c>
      <c r="AA351" s="181">
        <v>4.7638035493226599E-3</v>
      </c>
      <c r="AB351" s="181">
        <v>-5.7258792054096674E-2</v>
      </c>
      <c r="AC351" s="180">
        <v>116.35746790576043</v>
      </c>
      <c r="AD351" s="181">
        <v>7.0537018852229304E-3</v>
      </c>
      <c r="AE351" s="181">
        <v>7.5940244636418797E-5</v>
      </c>
      <c r="AF351" s="180">
        <v>100.67235618760135</v>
      </c>
      <c r="AG351" s="181">
        <v>-1.4312454880064298E-3</v>
      </c>
      <c r="AH351" s="181">
        <v>-1.9987947433299902E-2</v>
      </c>
      <c r="AI351" s="180">
        <v>111.63982399930705</v>
      </c>
      <c r="AJ351" s="181">
        <v>7.8629452436763409E-3</v>
      </c>
      <c r="AK351" s="185">
        <v>8.5102153368910027E-3</v>
      </c>
    </row>
    <row r="352" spans="1:37" s="184" customFormat="1" ht="15.75" customHeight="1">
      <c r="A352" s="179">
        <v>45566</v>
      </c>
      <c r="B352" s="180">
        <v>128.44984211599183</v>
      </c>
      <c r="C352" s="181">
        <v>3.5170982557176001E-3</v>
      </c>
      <c r="D352" s="181">
        <v>-2.1162534142828204E-2</v>
      </c>
      <c r="E352" s="180">
        <v>155.310505538721</v>
      </c>
      <c r="F352" s="181">
        <v>3.6350170202999201E-3</v>
      </c>
      <c r="G352" s="181">
        <v>-1.7694716617744244E-2</v>
      </c>
      <c r="H352" s="180">
        <v>132.21564255856865</v>
      </c>
      <c r="I352" s="181">
        <v>4.2044215696601696E-3</v>
      </c>
      <c r="J352" s="181">
        <v>7.5041176850909608E-4</v>
      </c>
      <c r="K352" s="180">
        <v>125.86450808002638</v>
      </c>
      <c r="L352" s="181">
        <v>7.957000749642131E-4</v>
      </c>
      <c r="M352" s="181">
        <v>-1.0701874022677638E-2</v>
      </c>
      <c r="N352" s="180">
        <v>148.68365608826565</v>
      </c>
      <c r="O352" s="181">
        <v>2.2146758280764899E-3</v>
      </c>
      <c r="P352" s="181">
        <v>-1.0785210528885369E-2</v>
      </c>
      <c r="Q352" s="180">
        <v>122.96074398274763</v>
      </c>
      <c r="R352" s="181">
        <v>-2.8977278303140002E-4</v>
      </c>
      <c r="S352" s="181">
        <v>-3.2225939267851222E-2</v>
      </c>
      <c r="T352" s="180"/>
      <c r="U352" s="181"/>
      <c r="V352" s="181"/>
      <c r="W352" s="180">
        <v>100.21866271079057</v>
      </c>
      <c r="X352" s="181">
        <v>6.9432657378440798E-3</v>
      </c>
      <c r="Y352" s="181">
        <v>-3.4716557428178807E-2</v>
      </c>
      <c r="Z352" s="180">
        <v>88.596793472181815</v>
      </c>
      <c r="AA352" s="181">
        <v>-1.7370859997839E-3</v>
      </c>
      <c r="AB352" s="181">
        <v>-5.4838030901227297E-2</v>
      </c>
      <c r="AC352" s="180">
        <v>116.76740838333046</v>
      </c>
      <c r="AD352" s="181">
        <v>3.5231127399750601E-3</v>
      </c>
      <c r="AE352" s="181">
        <v>6.8005921579283868E-3</v>
      </c>
      <c r="AF352" s="180">
        <v>100.78794809632606</v>
      </c>
      <c r="AG352" s="181">
        <v>1.14819909955511E-3</v>
      </c>
      <c r="AH352" s="181">
        <v>-1.8126604037926541E-2</v>
      </c>
      <c r="AI352" s="180">
        <v>111.38488787945958</v>
      </c>
      <c r="AJ352" s="181">
        <v>-2.28355895517228E-3</v>
      </c>
      <c r="AK352" s="185">
        <v>9.1005862840418672E-3</v>
      </c>
    </row>
    <row r="353" spans="1:37" s="184" customFormat="1" ht="15.75" customHeight="1">
      <c r="A353" s="179">
        <v>45597</v>
      </c>
      <c r="B353" s="180">
        <v>128.66238840176067</v>
      </c>
      <c r="C353" s="181">
        <v>1.65470258481829E-3</v>
      </c>
      <c r="D353" s="181">
        <v>-1.9210313832109027E-2</v>
      </c>
      <c r="E353" s="180">
        <v>155.68145967281362</v>
      </c>
      <c r="F353" s="181">
        <v>2.38846775242873E-3</v>
      </c>
      <c r="G353" s="181">
        <v>-1.6309421271612501E-2</v>
      </c>
      <c r="H353" s="180">
        <v>132.63927223024771</v>
      </c>
      <c r="I353" s="181">
        <v>3.2040813286628301E-3</v>
      </c>
      <c r="J353" s="181">
        <v>5.2185929097592343E-3</v>
      </c>
      <c r="K353" s="180">
        <v>126.28135554529399</v>
      </c>
      <c r="L353" s="181">
        <v>3.3118745834415497E-3</v>
      </c>
      <c r="M353" s="181">
        <v>-9.9230198419538729E-3</v>
      </c>
      <c r="N353" s="180">
        <v>148.65736266680204</v>
      </c>
      <c r="O353" s="181">
        <v>-1.7684137016368801E-4</v>
      </c>
      <c r="P353" s="181">
        <v>-1.1336273697381771E-2</v>
      </c>
      <c r="Q353" s="180">
        <v>123.13425404670825</v>
      </c>
      <c r="R353" s="181">
        <v>1.4111012859922101E-3</v>
      </c>
      <c r="S353" s="181">
        <v>-3.2860918044960719E-2</v>
      </c>
      <c r="T353" s="180"/>
      <c r="U353" s="181"/>
      <c r="V353" s="181"/>
      <c r="W353" s="180">
        <v>100.97964362478628</v>
      </c>
      <c r="X353" s="181">
        <v>7.5932056306891003E-3</v>
      </c>
      <c r="Y353" s="181">
        <v>-2.3524792270030237E-2</v>
      </c>
      <c r="Z353" s="180">
        <v>89.70894761416335</v>
      </c>
      <c r="AA353" s="181">
        <v>1.2552984124992499E-2</v>
      </c>
      <c r="AB353" s="181">
        <v>-4.0074026584774436E-2</v>
      </c>
      <c r="AC353" s="180">
        <v>116.88310419216972</v>
      </c>
      <c r="AD353" s="181">
        <v>9.9082278557948008E-4</v>
      </c>
      <c r="AE353" s="181">
        <v>9.5405025354102779E-3</v>
      </c>
      <c r="AF353" s="180">
        <v>101.04977541305976</v>
      </c>
      <c r="AG353" s="181">
        <v>2.5978038215786498E-3</v>
      </c>
      <c r="AH353" s="181">
        <v>-5.5261069324858969E-3</v>
      </c>
      <c r="AI353" s="180">
        <v>111.59326362597787</v>
      </c>
      <c r="AJ353" s="181">
        <v>1.87077215307511E-3</v>
      </c>
      <c r="AK353" s="185">
        <v>6.6991371618034812E-3</v>
      </c>
    </row>
    <row r="354" spans="1:37" s="184" customFormat="1" ht="15.75" customHeight="1">
      <c r="A354" s="179">
        <v>45627</v>
      </c>
      <c r="B354" s="180">
        <v>128.36322223061734</v>
      </c>
      <c r="C354" s="181">
        <v>-2.3252029972360001E-3</v>
      </c>
      <c r="D354" s="181">
        <v>-1.7295263595716648E-2</v>
      </c>
      <c r="E354" s="180">
        <v>154.89713850567804</v>
      </c>
      <c r="F354" s="181">
        <v>-5.0379869817763897E-3</v>
      </c>
      <c r="G354" s="181">
        <v>-1.6355664975852169E-2</v>
      </c>
      <c r="H354" s="180">
        <v>131.85043491091412</v>
      </c>
      <c r="I354" s="181">
        <v>-5.9472379942213504E-3</v>
      </c>
      <c r="J354" s="181">
        <v>1.9812385574000668E-3</v>
      </c>
      <c r="K354" s="180">
        <v>126.86023026722714</v>
      </c>
      <c r="L354" s="181">
        <v>4.5840078246983697E-3</v>
      </c>
      <c r="M354" s="181">
        <v>-6.1833694918271842E-3</v>
      </c>
      <c r="N354" s="180">
        <v>148.32287262351417</v>
      </c>
      <c r="O354" s="181">
        <v>-2.2500738428784602E-3</v>
      </c>
      <c r="P354" s="181">
        <v>-1.0950531182684076E-2</v>
      </c>
      <c r="Q354" s="180">
        <v>123.34180855733966</v>
      </c>
      <c r="R354" s="181">
        <v>1.6855952248077898E-3</v>
      </c>
      <c r="S354" s="181">
        <v>-2.5154901870721669E-2</v>
      </c>
      <c r="T354" s="180"/>
      <c r="U354" s="181"/>
      <c r="V354" s="181"/>
      <c r="W354" s="180">
        <v>99.966981991688826</v>
      </c>
      <c r="X354" s="181">
        <v>-1.0028374004371E-2</v>
      </c>
      <c r="Y354" s="181">
        <v>-1.1650196535886281E-2</v>
      </c>
      <c r="Z354" s="180">
        <v>89.655395721055228</v>
      </c>
      <c r="AA354" s="181">
        <v>-5.96951525264171E-4</v>
      </c>
      <c r="AB354" s="181">
        <v>-2.7302083867852933E-2</v>
      </c>
      <c r="AC354" s="180">
        <v>115.98778103681569</v>
      </c>
      <c r="AD354" s="181">
        <v>-7.6599878275136904E-3</v>
      </c>
      <c r="AE354" s="181">
        <v>9.8023210417261808E-3</v>
      </c>
      <c r="AF354" s="180">
        <v>101.00370984851058</v>
      </c>
      <c r="AG354" s="181">
        <v>-4.5587003395987098E-4</v>
      </c>
      <c r="AH354" s="181">
        <v>8.4535722879388597E-3</v>
      </c>
      <c r="AI354" s="180">
        <v>112.5155589680206</v>
      </c>
      <c r="AJ354" s="181">
        <v>8.2647940572285802E-3</v>
      </c>
      <c r="AK354" s="185">
        <v>6.5045391731106683E-3</v>
      </c>
    </row>
    <row r="355" spans="1:37" s="184" customFormat="1" ht="15.75" customHeight="1">
      <c r="A355" s="179">
        <v>45658</v>
      </c>
      <c r="B355" s="180">
        <v>128.51033528415016</v>
      </c>
      <c r="C355" s="181">
        <v>1.1460685621347598E-3</v>
      </c>
      <c r="D355" s="181">
        <v>-1.351418068569743E-2</v>
      </c>
      <c r="E355" s="180">
        <v>155.23441547534651</v>
      </c>
      <c r="F355" s="181">
        <v>2.1774254380826298E-3</v>
      </c>
      <c r="G355" s="181">
        <v>-1.5472720819126762E-2</v>
      </c>
      <c r="H355" s="180">
        <v>132.1369295222236</v>
      </c>
      <c r="I355" s="181">
        <v>2.1728757398718E-3</v>
      </c>
      <c r="J355" s="181">
        <v>8.1562908980981064E-5</v>
      </c>
      <c r="K355" s="180">
        <v>127.08197349564747</v>
      </c>
      <c r="L355" s="181">
        <v>1.7479333590460998E-3</v>
      </c>
      <c r="M355" s="181">
        <v>-9.701271719226412E-3</v>
      </c>
      <c r="N355" s="180">
        <v>148.03696108599758</v>
      </c>
      <c r="O355" s="181">
        <v>-1.9276294509366501E-3</v>
      </c>
      <c r="P355" s="181">
        <v>2.940138150348437E-3</v>
      </c>
      <c r="Q355" s="180">
        <v>122.53730140634673</v>
      </c>
      <c r="R355" s="181">
        <v>-6.52258273494452E-3</v>
      </c>
      <c r="S355" s="181">
        <v>-2.4110303242711684E-2</v>
      </c>
      <c r="T355" s="180"/>
      <c r="U355" s="181"/>
      <c r="V355" s="181"/>
      <c r="W355" s="180">
        <v>100.53216888432436</v>
      </c>
      <c r="X355" s="181">
        <v>5.6537356772711801E-3</v>
      </c>
      <c r="Y355" s="181">
        <v>3.0716580194689591E-4</v>
      </c>
      <c r="Z355" s="180">
        <v>90.476327039646208</v>
      </c>
      <c r="AA355" s="181">
        <v>9.1565188239772499E-3</v>
      </c>
      <c r="AB355" s="181">
        <v>-8.2337136747743234E-3</v>
      </c>
      <c r="AC355" s="180">
        <v>116.18705718684568</v>
      </c>
      <c r="AD355" s="181">
        <v>1.71807882044695E-3</v>
      </c>
      <c r="AE355" s="181">
        <v>7.4853385624793489E-3</v>
      </c>
      <c r="AF355" s="180">
        <v>101.21521838365062</v>
      </c>
      <c r="AG355" s="181">
        <v>2.0940669947397401E-3</v>
      </c>
      <c r="AH355" s="181">
        <v>4.4909271029187625E-3</v>
      </c>
      <c r="AI355" s="180">
        <v>113.06990757328636</v>
      </c>
      <c r="AJ355" s="181">
        <v>4.9268617633880102E-3</v>
      </c>
      <c r="AK355" s="185">
        <v>6.2990407370429047E-3</v>
      </c>
    </row>
    <row r="356" spans="1:37" s="184" customFormat="1" ht="15.75" customHeight="1">
      <c r="A356" s="179">
        <v>45689</v>
      </c>
      <c r="B356" s="180">
        <v>128.35350786722245</v>
      </c>
      <c r="C356" s="181">
        <v>-1.2203486714197501E-3</v>
      </c>
      <c r="D356" s="181">
        <v>-1.082762694005901E-2</v>
      </c>
      <c r="E356" s="180">
        <v>155.72161851688472</v>
      </c>
      <c r="F356" s="181">
        <v>3.1384988956627302E-3</v>
      </c>
      <c r="G356" s="181">
        <v>-1.4605180564336351E-2</v>
      </c>
      <c r="H356" s="180">
        <v>155.72161851688472</v>
      </c>
      <c r="I356" s="181">
        <v>3.1384988956627302E-3</v>
      </c>
      <c r="J356" s="181">
        <v>-1.4605180564336351E-2</v>
      </c>
      <c r="K356" s="180">
        <v>127.47268328451362</v>
      </c>
      <c r="L356" s="181">
        <v>3.0744705808296202E-3</v>
      </c>
      <c r="M356" s="181">
        <v>-4.2069294910581645E-3</v>
      </c>
      <c r="N356" s="180">
        <v>147.45029163139023</v>
      </c>
      <c r="O356" s="181">
        <v>-3.9629930951266797E-3</v>
      </c>
      <c r="P356" s="181">
        <v>8.4067202355762038E-3</v>
      </c>
      <c r="Q356" s="180">
        <v>122.15959786156438</v>
      </c>
      <c r="R356" s="181">
        <v>-3.0823556618882098E-3</v>
      </c>
      <c r="S356" s="181">
        <v>-2.1693764939553106E-2</v>
      </c>
      <c r="T356" s="180"/>
      <c r="U356" s="181"/>
      <c r="V356" s="181"/>
      <c r="W356" s="180">
        <v>101.76309246942272</v>
      </c>
      <c r="X356" s="181">
        <v>1.22440766846947E-2</v>
      </c>
      <c r="Y356" s="181">
        <v>1.3919551352666204E-2</v>
      </c>
      <c r="Z356" s="180">
        <v>91.474335784490904</v>
      </c>
      <c r="AA356" s="181">
        <v>1.1030606319898099E-2</v>
      </c>
      <c r="AB356" s="181">
        <v>1.0341075800015753E-2</v>
      </c>
      <c r="AC356" s="180">
        <v>115.58878764092756</v>
      </c>
      <c r="AD356" s="181">
        <v>-5.1491926932619499E-3</v>
      </c>
      <c r="AE356" s="181">
        <v>1.9699090737834712E-3</v>
      </c>
      <c r="AF356" s="180">
        <v>100.92094887053021</v>
      </c>
      <c r="AG356" s="181">
        <v>-2.9073643056817897E-3</v>
      </c>
      <c r="AH356" s="181">
        <v>-4.6186074574732228E-3</v>
      </c>
      <c r="AI356" s="180">
        <v>112.19999167702628</v>
      </c>
      <c r="AJ356" s="181">
        <v>-7.6936111024610001E-3</v>
      </c>
      <c r="AK356" s="185">
        <v>9.2752887378866333E-5</v>
      </c>
    </row>
    <row r="357" spans="1:37" s="184" customFormat="1" ht="15.75" customHeight="1">
      <c r="A357" s="179">
        <v>45717</v>
      </c>
      <c r="B357" s="180">
        <v>128.26090401529538</v>
      </c>
      <c r="C357" s="181">
        <v>-7.2147503769710007E-4</v>
      </c>
      <c r="D357" s="181">
        <v>-6.4076457507992179E-3</v>
      </c>
      <c r="E357" s="180">
        <v>155.61799267333376</v>
      </c>
      <c r="F357" s="181">
        <v>-6.6545573143857607E-4</v>
      </c>
      <c r="G357" s="181">
        <v>-7.7466489761255364E-3</v>
      </c>
      <c r="H357" s="180">
        <v>155.61799267333376</v>
      </c>
      <c r="I357" s="181">
        <v>-6.6545573143857607E-4</v>
      </c>
      <c r="J357" s="181">
        <v>-7.7466489761255364E-3</v>
      </c>
      <c r="K357" s="180">
        <v>126.46979019352145</v>
      </c>
      <c r="L357" s="181">
        <v>-7.8675137696266988E-3</v>
      </c>
      <c r="M357" s="181">
        <v>1.0350231487259443E-3</v>
      </c>
      <c r="N357" s="180">
        <v>147.38272645289629</v>
      </c>
      <c r="O357" s="181">
        <v>-4.5822343073316204E-4</v>
      </c>
      <c r="P357" s="181">
        <v>8.7916840489794534E-3</v>
      </c>
      <c r="Q357" s="180">
        <v>122.0128300856271</v>
      </c>
      <c r="R357" s="181">
        <v>-1.2014428543191099E-3</v>
      </c>
      <c r="S357" s="181">
        <v>-1.2455017842609051E-2</v>
      </c>
      <c r="T357" s="180"/>
      <c r="U357" s="181"/>
      <c r="V357" s="181"/>
      <c r="W357" s="180">
        <v>102.05473651914433</v>
      </c>
      <c r="X357" s="181">
        <v>2.8659118217074196E-3</v>
      </c>
      <c r="Y357" s="181">
        <v>1.8130005163578655E-2</v>
      </c>
      <c r="Z357" s="180">
        <v>90.760767456710866</v>
      </c>
      <c r="AA357" s="181">
        <v>-7.8007489386003907E-3</v>
      </c>
      <c r="AB357" s="181">
        <v>9.4005962104755092E-3</v>
      </c>
      <c r="AC357" s="180">
        <v>115.65434917954944</v>
      </c>
      <c r="AD357" s="181">
        <v>5.6719635147944208E-4</v>
      </c>
      <c r="AE357" s="181">
        <v>3.6202208529354518E-3</v>
      </c>
      <c r="AF357" s="180">
        <v>100.72113971851645</v>
      </c>
      <c r="AG357" s="181">
        <v>-1.9798580398811901E-3</v>
      </c>
      <c r="AH357" s="181">
        <v>-7.5422000801501632E-3</v>
      </c>
      <c r="AI357" s="180">
        <v>110.79450215593691</v>
      </c>
      <c r="AJ357" s="181">
        <v>-1.25266455022131E-2</v>
      </c>
      <c r="AK357" s="185">
        <v>-1.1577913224772418E-2</v>
      </c>
    </row>
    <row r="358" spans="1:37" s="184" customFormat="1" ht="15.75" customHeight="1">
      <c r="A358" s="179">
        <v>45748</v>
      </c>
      <c r="B358" s="180">
        <v>128.00368642325611</v>
      </c>
      <c r="C358" s="181">
        <v>-2.0054247552208303E-3</v>
      </c>
      <c r="D358" s="181">
        <v>-3.7022151065182474E-3</v>
      </c>
      <c r="E358" s="180">
        <v>154.74446137173413</v>
      </c>
      <c r="F358" s="181">
        <v>-5.6133052906890499E-3</v>
      </c>
      <c r="G358" s="181">
        <v>-6.4991725563326996E-3</v>
      </c>
      <c r="H358" s="180">
        <v>132.05023607875037</v>
      </c>
      <c r="I358" s="181">
        <v>-4.47284853173244E-3</v>
      </c>
      <c r="J358" s="181">
        <v>5.2868794529190577E-3</v>
      </c>
      <c r="K358" s="180">
        <v>125.51443215591004</v>
      </c>
      <c r="L358" s="181">
        <v>-7.55404145250454E-3</v>
      </c>
      <c r="M358" s="181">
        <v>6.5904440443664836E-3</v>
      </c>
      <c r="N358" s="180">
        <v>147.16049374952036</v>
      </c>
      <c r="O358" s="181">
        <v>-1.5078612584016901E-3</v>
      </c>
      <c r="P358" s="181">
        <v>-2.618542865930884E-3</v>
      </c>
      <c r="Q358" s="180">
        <v>121.50498100242881</v>
      </c>
      <c r="R358" s="181">
        <v>-4.1622596807392E-3</v>
      </c>
      <c r="S358" s="181">
        <v>-1.5571846865423788E-2</v>
      </c>
      <c r="T358" s="180"/>
      <c r="U358" s="181"/>
      <c r="V358" s="181"/>
      <c r="W358" s="180">
        <v>102.41848565892236</v>
      </c>
      <c r="X358" s="181">
        <v>3.56425534164012E-3</v>
      </c>
      <c r="Y358" s="181">
        <v>2.1558834368724966E-2</v>
      </c>
      <c r="Z358" s="180">
        <v>90.322698678579044</v>
      </c>
      <c r="AA358" s="181">
        <v>-4.8266314885532105E-3</v>
      </c>
      <c r="AB358" s="181">
        <v>1.0015760018538655E-2</v>
      </c>
      <c r="AC358" s="180">
        <v>115.72419726606439</v>
      </c>
      <c r="AD358" s="181">
        <v>6.0393826095125999E-4</v>
      </c>
      <c r="AE358" s="181">
        <v>-4.4770301968188875E-4</v>
      </c>
      <c r="AF358" s="180">
        <v>101.01766491917674</v>
      </c>
      <c r="AG358" s="181">
        <v>2.9440214982572898E-3</v>
      </c>
      <c r="AH358" s="181">
        <v>3.2568393595044931E-4</v>
      </c>
      <c r="AI358" s="180">
        <v>110.65276804648812</v>
      </c>
      <c r="AJ358" s="181">
        <v>-1.2792521893307701E-3</v>
      </c>
      <c r="AK358" s="185">
        <v>-3.8671093693434244E-3</v>
      </c>
    </row>
    <row r="359" spans="1:37" s="184" customFormat="1" ht="15.75" customHeight="1">
      <c r="A359" s="179">
        <v>45778</v>
      </c>
      <c r="B359" s="180">
        <v>127.71597730135879</v>
      </c>
      <c r="C359" s="181">
        <v>-2.24766278172635E-3</v>
      </c>
      <c r="D359" s="181">
        <v>-3.1650573608282828E-3</v>
      </c>
      <c r="E359" s="180">
        <v>154.26591456045077</v>
      </c>
      <c r="F359" s="181">
        <v>-3.09249718562647E-3</v>
      </c>
      <c r="G359" s="181">
        <v>-1.5639290717828214E-4</v>
      </c>
      <c r="H359" s="180">
        <v>132.21461395814177</v>
      </c>
      <c r="I359" s="181">
        <v>1.24481321860995E-3</v>
      </c>
      <c r="J359" s="181">
        <v>9.318397202318307E-3</v>
      </c>
      <c r="K359" s="180">
        <v>125.39149385354038</v>
      </c>
      <c r="L359" s="181">
        <v>-9.7947542970160291E-4</v>
      </c>
      <c r="M359" s="181">
        <v>6.8742161284907066E-3</v>
      </c>
      <c r="N359" s="180">
        <v>146.98576615714768</v>
      </c>
      <c r="O359" s="181">
        <v>-1.18732676087698E-3</v>
      </c>
      <c r="P359" s="181">
        <v>-3.1166098781342244E-3</v>
      </c>
      <c r="Q359" s="180">
        <v>121.05824271210676</v>
      </c>
      <c r="R359" s="181">
        <v>-3.6767076266042797E-3</v>
      </c>
      <c r="S359" s="181">
        <v>-1.9073171194975314E-2</v>
      </c>
      <c r="T359" s="180"/>
      <c r="U359" s="181"/>
      <c r="V359" s="181"/>
      <c r="W359" s="180">
        <v>102.39327770982851</v>
      </c>
      <c r="X359" s="181">
        <v>-2.4612694604568401E-4</v>
      </c>
      <c r="Y359" s="181">
        <v>2.5572872825055937E-2</v>
      </c>
      <c r="Z359" s="180">
        <v>89.453605282569924</v>
      </c>
      <c r="AA359" s="181">
        <v>-9.6220928816781407E-3</v>
      </c>
      <c r="AB359" s="181">
        <v>2.7906987235317704E-3</v>
      </c>
      <c r="AC359" s="180">
        <v>115.96494440754347</v>
      </c>
      <c r="AD359" s="181">
        <v>2.0803526588788097E-3</v>
      </c>
      <c r="AE359" s="181">
        <v>4.3818963335533478E-3</v>
      </c>
      <c r="AF359" s="180">
        <v>100.72080319181786</v>
      </c>
      <c r="AG359" s="181">
        <v>-2.9387110422359301E-3</v>
      </c>
      <c r="AH359" s="181">
        <v>-1.1698171750385011E-3</v>
      </c>
      <c r="AI359" s="180">
        <v>110.23268814653018</v>
      </c>
      <c r="AJ359" s="181">
        <v>-3.79637949754186E-3</v>
      </c>
      <c r="AK359" s="185">
        <v>-1.1372094832641122E-2</v>
      </c>
    </row>
    <row r="360" spans="1:37" s="184" customFormat="1" ht="15.75" customHeight="1">
      <c r="A360" s="179">
        <v>45809</v>
      </c>
      <c r="B360" s="180">
        <v>127.86468302843693</v>
      </c>
      <c r="C360" s="181">
        <v>1.16434709439094E-3</v>
      </c>
      <c r="D360" s="181">
        <v>-2.9935014844706398E-4</v>
      </c>
      <c r="E360" s="180">
        <v>154.12277208625164</v>
      </c>
      <c r="F360" s="181">
        <v>-9.2789437386062797E-4</v>
      </c>
      <c r="G360" s="181">
        <v>3.4196822939132065E-3</v>
      </c>
      <c r="H360" s="180">
        <v>132.26446894431905</v>
      </c>
      <c r="I360" s="181">
        <v>3.7707621483571796E-4</v>
      </c>
      <c r="J360" s="181">
        <v>1.1371504587070591E-2</v>
      </c>
      <c r="K360" s="180">
        <v>125.8038746385682</v>
      </c>
      <c r="L360" s="181">
        <v>3.28874608918449E-3</v>
      </c>
      <c r="M360" s="181">
        <v>1.0383550008178366E-2</v>
      </c>
      <c r="N360" s="180">
        <v>146.67430720008898</v>
      </c>
      <c r="O360" s="181">
        <v>-2.1189735931689E-3</v>
      </c>
      <c r="P360" s="181">
        <v>-6.7019213547555578E-3</v>
      </c>
      <c r="Q360" s="180">
        <v>121.14881737205422</v>
      </c>
      <c r="R360" s="181">
        <v>7.4819077097348788E-4</v>
      </c>
      <c r="S360" s="181">
        <v>-1.8402156759975474E-2</v>
      </c>
      <c r="T360" s="180"/>
      <c r="U360" s="181"/>
      <c r="V360" s="181"/>
      <c r="W360" s="180">
        <v>102.22580483694402</v>
      </c>
      <c r="X360" s="181">
        <v>-1.6355846460846598E-3</v>
      </c>
      <c r="Y360" s="181">
        <v>3.1198115278475935E-2</v>
      </c>
      <c r="Z360" s="180">
        <v>89.6148008326157</v>
      </c>
      <c r="AA360" s="181">
        <v>1.80200171403471E-3</v>
      </c>
      <c r="AB360" s="181">
        <v>9.775476375479597E-3</v>
      </c>
      <c r="AC360" s="180">
        <v>115.88072744859824</v>
      </c>
      <c r="AD360" s="181">
        <v>-7.2622773524790799E-4</v>
      </c>
      <c r="AE360" s="181">
        <v>3.9248416799451125E-3</v>
      </c>
      <c r="AF360" s="180">
        <v>100.38890582137334</v>
      </c>
      <c r="AG360" s="181">
        <v>-3.2952216416745998E-3</v>
      </c>
      <c r="AH360" s="181">
        <v>-3.6524191322455657E-3</v>
      </c>
      <c r="AI360" s="180">
        <v>110.4091420947679</v>
      </c>
      <c r="AJ360" s="181">
        <v>1.6007406805062998E-3</v>
      </c>
      <c r="AK360" s="185">
        <v>-8.7649074221070045E-3</v>
      </c>
    </row>
    <row r="361" spans="1:37" s="184" customFormat="1" ht="15.75" customHeight="1">
      <c r="A361" s="179">
        <v>45839</v>
      </c>
      <c r="B361" s="180">
        <v>127.60255382826287</v>
      </c>
      <c r="C361" s="181">
        <v>-2.05005161679989E-3</v>
      </c>
      <c r="D361" s="181">
        <v>-2.8430177768882237E-3</v>
      </c>
      <c r="E361" s="180">
        <v>154.22643506304462</v>
      </c>
      <c r="F361" s="181">
        <v>6.7260000186703504E-4</v>
      </c>
      <c r="G361" s="181">
        <v>2.7960170480645363E-3</v>
      </c>
      <c r="H361" s="180">
        <v>132.19454054748368</v>
      </c>
      <c r="I361" s="181">
        <v>-5.2870130121480702E-4</v>
      </c>
      <c r="J361" s="181">
        <v>8.1652484479430854E-3</v>
      </c>
      <c r="K361" s="180">
        <v>125.89411359885487</v>
      </c>
      <c r="L361" s="181">
        <v>7.1729873619501001E-4</v>
      </c>
      <c r="M361" s="181">
        <v>1.2778736656156031E-2</v>
      </c>
      <c r="N361" s="180">
        <v>146.38728307848632</v>
      </c>
      <c r="O361" s="181">
        <v>-1.95688070447886E-3</v>
      </c>
      <c r="P361" s="181">
        <v>-8.0627472688066248E-3</v>
      </c>
      <c r="Q361" s="180">
        <v>121.18492061450343</v>
      </c>
      <c r="R361" s="181">
        <v>2.9800738655442598E-4</v>
      </c>
      <c r="S361" s="181">
        <v>-1.7557536810178132E-2</v>
      </c>
      <c r="T361" s="180"/>
      <c r="U361" s="181"/>
      <c r="V361" s="181"/>
      <c r="W361" s="180">
        <v>102.02694219405838</v>
      </c>
      <c r="X361" s="181">
        <v>-1.9453272410311501E-3</v>
      </c>
      <c r="Y361" s="181">
        <v>2.8752436674102766E-2</v>
      </c>
      <c r="Z361" s="180">
        <v>88.817133987220515</v>
      </c>
      <c r="AA361" s="181">
        <v>-8.9010614093210112E-3</v>
      </c>
      <c r="AB361" s="181">
        <v>-7.4329777082549064E-5</v>
      </c>
      <c r="AC361" s="180">
        <v>114.96326119239308</v>
      </c>
      <c r="AD361" s="181">
        <v>-7.9173325574101606E-3</v>
      </c>
      <c r="AE361" s="181">
        <v>-9.2815116943670839E-3</v>
      </c>
      <c r="AF361" s="180">
        <v>99.204898214912603</v>
      </c>
      <c r="AG361" s="181">
        <v>-1.17942077042606E-2</v>
      </c>
      <c r="AH361" s="181">
        <v>-1.3781109439101269E-2</v>
      </c>
      <c r="AI361" s="180">
        <v>109.9343791204125</v>
      </c>
      <c r="AJ361" s="181">
        <v>-4.3000331797514897E-3</v>
      </c>
      <c r="AK361" s="185">
        <v>-9.7801167468805073E-3</v>
      </c>
    </row>
    <row r="362" spans="1:37" s="184" customFormat="1" ht="15.75" customHeight="1">
      <c r="A362" s="179">
        <v>45870</v>
      </c>
      <c r="B362" s="180">
        <v>127.12008083777135</v>
      </c>
      <c r="C362" s="181">
        <v>-3.7810606137308701E-3</v>
      </c>
      <c r="D362" s="181">
        <v>-5.7695118251221977E-3</v>
      </c>
      <c r="E362" s="180">
        <v>154.57601160754399</v>
      </c>
      <c r="F362" s="181">
        <v>2.2666447834087302E-3</v>
      </c>
      <c r="G362" s="181">
        <v>7.8953753624633194E-3</v>
      </c>
      <c r="H362" s="180">
        <v>132.21287229173737</v>
      </c>
      <c r="I362" s="181">
        <v>1.3867247601728901E-4</v>
      </c>
      <c r="J362" s="181">
        <v>6.0434440893539776E-3</v>
      </c>
      <c r="K362" s="180">
        <v>125.28582889976622</v>
      </c>
      <c r="L362" s="181">
        <v>-4.8317167633976001E-3</v>
      </c>
      <c r="M362" s="181">
        <v>1.6075918212374862E-3</v>
      </c>
      <c r="N362" s="180">
        <v>146.41513584764013</v>
      </c>
      <c r="O362" s="181">
        <v>1.90267682875735E-4</v>
      </c>
      <c r="P362" s="181">
        <v>-6.373961605295575E-3</v>
      </c>
      <c r="Q362" s="180">
        <v>120.88415897197515</v>
      </c>
      <c r="R362" s="181">
        <v>-2.4818404881000599E-3</v>
      </c>
      <c r="S362" s="181">
        <v>-1.5971985066740135E-2</v>
      </c>
      <c r="T362" s="180"/>
      <c r="U362" s="181"/>
      <c r="V362" s="181"/>
      <c r="W362" s="180">
        <v>102.01573834053633</v>
      </c>
      <c r="X362" s="181">
        <v>-1.09812695363703E-4</v>
      </c>
      <c r="Y362" s="181">
        <v>2.6975470270992341E-2</v>
      </c>
      <c r="Z362" s="180">
        <v>88.938067267026469</v>
      </c>
      <c r="AA362" s="181">
        <v>1.36159853822081E-3</v>
      </c>
      <c r="AB362" s="181">
        <v>6.8820575251735683E-3</v>
      </c>
      <c r="AC362" s="180">
        <v>114.3880846196443</v>
      </c>
      <c r="AD362" s="181">
        <v>-5.00313375580228E-3</v>
      </c>
      <c r="AE362" s="181">
        <v>-9.9909688558110776E-3</v>
      </c>
      <c r="AF362" s="180">
        <v>99.294780812475935</v>
      </c>
      <c r="AG362" s="181">
        <v>9.0602983502489204E-4</v>
      </c>
      <c r="AH362" s="181">
        <v>-1.5095410892280503E-2</v>
      </c>
      <c r="AI362" s="180">
        <v>109.74696810576889</v>
      </c>
      <c r="AJ362" s="181">
        <v>-1.7047534733274001E-3</v>
      </c>
      <c r="AK362" s="185">
        <v>-9.2253951660602462E-3</v>
      </c>
    </row>
    <row r="363" spans="1:37" s="184" customFormat="1" ht="15.75" customHeight="1">
      <c r="A363" s="179">
        <v>45901</v>
      </c>
      <c r="B363" s="180">
        <v>127.1009362405005</v>
      </c>
      <c r="C363" s="181">
        <v>-1.5060246299934698E-4</v>
      </c>
      <c r="D363" s="181">
        <v>-7.0212573210123308E-3</v>
      </c>
      <c r="E363" s="180">
        <v>154.47580302823548</v>
      </c>
      <c r="F363" s="181">
        <v>-6.4828027496878602E-4</v>
      </c>
      <c r="G363" s="181">
        <v>-1.7589301915270639E-3</v>
      </c>
      <c r="H363" s="180">
        <v>131.79887322469298</v>
      </c>
      <c r="I363" s="181">
        <v>-3.1313068074860203E-3</v>
      </c>
      <c r="J363" s="181">
        <v>1.0389745790198024E-3</v>
      </c>
      <c r="K363" s="180">
        <v>125.49141728365969</v>
      </c>
      <c r="L363" s="181">
        <v>1.64095481267836E-3</v>
      </c>
      <c r="M363" s="181">
        <v>-2.1708841546735913E-3</v>
      </c>
      <c r="N363" s="180">
        <v>144.78952925128095</v>
      </c>
      <c r="O363" s="181">
        <v>-1.11027223172526E-2</v>
      </c>
      <c r="P363" s="181">
        <v>-2.4034013289745304E-2</v>
      </c>
      <c r="Q363" s="180">
        <v>121.38044298122328</v>
      </c>
      <c r="R363" s="181">
        <v>4.10545114817879E-3</v>
      </c>
      <c r="S363" s="181">
        <v>-1.3138126022718799E-2</v>
      </c>
      <c r="T363" s="180"/>
      <c r="U363" s="181"/>
      <c r="V363" s="181"/>
      <c r="W363" s="180">
        <v>101.98976044410215</v>
      </c>
      <c r="X363" s="181">
        <v>-2.5464596793359402E-4</v>
      </c>
      <c r="Y363" s="181">
        <v>2.4738303980053944E-2</v>
      </c>
      <c r="Z363" s="180">
        <v>89.179597203596941</v>
      </c>
      <c r="AA363" s="181">
        <v>2.7157093019046703E-3</v>
      </c>
      <c r="AB363" s="181">
        <v>4.8296454631933106E-3</v>
      </c>
      <c r="AC363" s="180">
        <v>114.67279012370409</v>
      </c>
      <c r="AD363" s="181">
        <v>2.4889437130315899E-3</v>
      </c>
      <c r="AE363" s="181">
        <v>-1.4478467195769396E-2</v>
      </c>
      <c r="AF363" s="180">
        <v>99.042852421412832</v>
      </c>
      <c r="AG363" s="181">
        <v>-2.5371765666001699E-3</v>
      </c>
      <c r="AH363" s="181">
        <v>-1.6186208686245207E-2</v>
      </c>
      <c r="AI363" s="180">
        <v>109.20658467997573</v>
      </c>
      <c r="AJ363" s="181">
        <v>-4.9239030026993905E-3</v>
      </c>
      <c r="AK363" s="185">
        <v>-2.1795442093731965E-2</v>
      </c>
    </row>
    <row r="364" spans="1:37" s="184" customFormat="1" ht="15.75" customHeight="1">
      <c r="A364" s="179">
        <v>45931</v>
      </c>
      <c r="B364" s="180">
        <v>127.20125739493785</v>
      </c>
      <c r="C364" s="181">
        <v>7.8930303272934201E-4</v>
      </c>
      <c r="D364" s="181">
        <v>-9.7204068178339265E-3</v>
      </c>
      <c r="E364" s="180">
        <v>154.59995665672545</v>
      </c>
      <c r="F364" s="181">
        <v>8.0370922860497403E-4</v>
      </c>
      <c r="G364" s="181">
        <v>-4.5750213710971099E-3</v>
      </c>
      <c r="H364" s="180">
        <v>133.14902660316935</v>
      </c>
      <c r="I364" s="181">
        <v>1.0244043408281601E-2</v>
      </c>
      <c r="J364" s="181">
        <v>7.0595583588926036E-3</v>
      </c>
      <c r="K364" s="180">
        <v>125.45316565298897</v>
      </c>
      <c r="L364" s="181">
        <v>-3.0481471560919201E-4</v>
      </c>
      <c r="M364" s="181">
        <v>-3.2681367711370202E-3</v>
      </c>
      <c r="N364" s="180">
        <v>144.53912464878957</v>
      </c>
      <c r="O364" s="181">
        <v>-1.7294386119372199E-3</v>
      </c>
      <c r="P364" s="181">
        <v>-2.7874828669909091E-2</v>
      </c>
      <c r="Q364" s="180">
        <v>121.83946418300881</v>
      </c>
      <c r="R364" s="181">
        <v>3.78167347648039E-3</v>
      </c>
      <c r="S364" s="181">
        <v>-9.1190063057534632E-3</v>
      </c>
      <c r="T364" s="180"/>
      <c r="U364" s="181"/>
      <c r="V364" s="181"/>
      <c r="W364" s="180">
        <v>102.06639069646531</v>
      </c>
      <c r="X364" s="181">
        <v>7.5135241057017199E-4</v>
      </c>
      <c r="Y364" s="181">
        <v>1.8436965089096091E-2</v>
      </c>
      <c r="Z364" s="180">
        <v>89.246518333689266</v>
      </c>
      <c r="AA364" s="181">
        <v>7.5040852606163494E-4</v>
      </c>
      <c r="AB364" s="181">
        <v>7.3335031217744984E-3</v>
      </c>
      <c r="AC364" s="180">
        <v>115.27018190807499</v>
      </c>
      <c r="AD364" s="181">
        <v>5.2095338722155408E-3</v>
      </c>
      <c r="AE364" s="181">
        <v>-1.2822297728320664E-2</v>
      </c>
      <c r="AF364" s="180">
        <v>98.889256591034254</v>
      </c>
      <c r="AG364" s="181">
        <v>-1.5508017653312501E-3</v>
      </c>
      <c r="AH364" s="181">
        <v>-1.8838477627078687E-2</v>
      </c>
      <c r="AI364" s="180">
        <v>109.14543622584839</v>
      </c>
      <c r="AJ364" s="181">
        <v>-5.5993376504302902E-4</v>
      </c>
      <c r="AK364" s="185">
        <v>-2.010552505143004E-2</v>
      </c>
    </row>
    <row r="365" spans="1:37" s="184" customFormat="1" ht="15.75" customHeight="1">
      <c r="A365" s="179">
        <v>45962</v>
      </c>
      <c r="B365" s="180">
        <v>127.18029883566989</v>
      </c>
      <c r="C365" s="181">
        <v>-1.6476691895342499E-4</v>
      </c>
      <c r="D365" s="181">
        <v>-1.1519213847195231E-2</v>
      </c>
      <c r="E365" s="180">
        <v>154.00153301400582</v>
      </c>
      <c r="F365" s="181">
        <v>-3.8707879074531097E-3</v>
      </c>
      <c r="G365" s="181">
        <v>-1.0790794628585898E-2</v>
      </c>
      <c r="H365" s="180">
        <v>133.13905616600454</v>
      </c>
      <c r="I365" s="181">
        <v>-7.4881787867169905E-5</v>
      </c>
      <c r="J365" s="181">
        <v>3.7679936519046109E-3</v>
      </c>
      <c r="K365" s="180">
        <v>125.26805666514259</v>
      </c>
      <c r="L365" s="181">
        <v>-1.4755226532776999E-3</v>
      </c>
      <c r="M365" s="181">
        <v>-8.0241368630854515E-3</v>
      </c>
      <c r="N365" s="180">
        <v>143.75921803030502</v>
      </c>
      <c r="O365" s="181">
        <v>-5.3958166716424902E-3</v>
      </c>
      <c r="P365" s="181">
        <v>-3.294922329192429E-2</v>
      </c>
      <c r="Q365" s="180">
        <v>121.36432865418351</v>
      </c>
      <c r="R365" s="181">
        <v>-3.8996849831154602E-3</v>
      </c>
      <c r="S365" s="181">
        <v>-1.4373948226083066E-2</v>
      </c>
      <c r="T365" s="180"/>
      <c r="U365" s="181"/>
      <c r="V365" s="181"/>
      <c r="W365" s="180">
        <v>102.05174031912964</v>
      </c>
      <c r="X365" s="181">
        <v>-1.4353772319861599E-4</v>
      </c>
      <c r="Y365" s="181">
        <v>1.0616958585504488E-2</v>
      </c>
      <c r="Z365" s="180">
        <v>88.168889216187452</v>
      </c>
      <c r="AA365" s="181">
        <v>-1.20747468654474E-2</v>
      </c>
      <c r="AB365" s="181">
        <v>-1.7167277500564015E-2</v>
      </c>
      <c r="AC365" s="180">
        <v>114.40745854015798</v>
      </c>
      <c r="AD365" s="181">
        <v>-7.4843585187105302E-3</v>
      </c>
      <c r="AE365" s="181">
        <v>-2.1180526211397432E-2</v>
      </c>
      <c r="AF365" s="180">
        <v>98.904821150281109</v>
      </c>
      <c r="AG365" s="181">
        <v>1.5739383410703098E-4</v>
      </c>
      <c r="AH365" s="181">
        <v>-2.1226709846813185E-2</v>
      </c>
      <c r="AI365" s="180">
        <v>109.170710664119</v>
      </c>
      <c r="AJ365" s="181">
        <v>2.3156660639764699E-4</v>
      </c>
      <c r="AK365" s="185">
        <v>-2.1708774196070091E-2</v>
      </c>
    </row>
    <row r="366" spans="1:37" s="184" customFormat="1" ht="15.75" customHeight="1">
      <c r="A366" s="179">
        <v>45992</v>
      </c>
      <c r="B366" s="180">
        <v>126.88883864491605</v>
      </c>
      <c r="C366" s="181">
        <v>-2.29170864844753E-3</v>
      </c>
      <c r="D366" s="181">
        <v>-1.1486028163521844E-2</v>
      </c>
      <c r="E366" s="180">
        <v>152.98954121957328</v>
      </c>
      <c r="F366" s="181">
        <v>-6.5713098735223499E-3</v>
      </c>
      <c r="G366" s="181">
        <v>-1.231525194401728E-2</v>
      </c>
      <c r="H366" s="180">
        <v>132.81711289915137</v>
      </c>
      <c r="I366" s="181">
        <v>-2.4180978604187099E-3</v>
      </c>
      <c r="J366" s="181">
        <v>7.3316253290358624E-3</v>
      </c>
      <c r="K366" s="180">
        <v>125.44484288224014</v>
      </c>
      <c r="L366" s="181">
        <v>1.41126334840584E-3</v>
      </c>
      <c r="M366" s="181">
        <v>-1.1157061452635952E-2</v>
      </c>
      <c r="N366" s="180">
        <v>143.32525177475057</v>
      </c>
      <c r="O366" s="181">
        <v>-3.0187021152478298E-3</v>
      </c>
      <c r="P366" s="181">
        <v>-3.3694202117086736E-2</v>
      </c>
      <c r="Q366" s="180">
        <v>121.91381437223876</v>
      </c>
      <c r="R366" s="181">
        <v>4.5275718503826005E-3</v>
      </c>
      <c r="S366" s="181">
        <v>-1.1577535645077353E-2</v>
      </c>
      <c r="T366" s="180"/>
      <c r="U366" s="181"/>
      <c r="V366" s="181"/>
      <c r="W366" s="180">
        <v>102.2707769718736</v>
      </c>
      <c r="X366" s="181">
        <v>0</v>
      </c>
      <c r="Y366" s="181">
        <v>2.3045558986429349E-2</v>
      </c>
      <c r="Z366" s="180">
        <v>86.579057708654616</v>
      </c>
      <c r="AA366" s="181">
        <v>-1.8031660846204101E-2</v>
      </c>
      <c r="AB366" s="181">
        <v>-3.4312915443171055E-2</v>
      </c>
      <c r="AC366" s="180">
        <v>113.73896244451325</v>
      </c>
      <c r="AD366" s="181">
        <v>-5.84311638572136E-3</v>
      </c>
      <c r="AE366" s="181">
        <v>-1.9388409470379009E-2</v>
      </c>
      <c r="AF366" s="180">
        <v>99.01930700398303</v>
      </c>
      <c r="AG366" s="181">
        <v>1.15753562233304E-3</v>
      </c>
      <c r="AH366" s="181">
        <v>-1.9646831264948927E-2</v>
      </c>
      <c r="AI366" s="180">
        <v>109.81482086187933</v>
      </c>
      <c r="AJ366" s="181">
        <v>5.9000275242508801E-3</v>
      </c>
      <c r="AK366" s="185">
        <v>-2.4003241248695906E-2</v>
      </c>
    </row>
    <row r="367" spans="1:37" s="184" customFormat="1" ht="15.75" customHeight="1">
      <c r="A367" s="179">
        <v>46023</v>
      </c>
      <c r="B367" s="180">
        <v>126.65917437560421</v>
      </c>
      <c r="C367" s="181">
        <v>-1.8099643102143001E-3</v>
      </c>
      <c r="D367" s="181">
        <v>-1.4404762888936773E-2</v>
      </c>
      <c r="E367" s="180">
        <v>153.61968279099537</v>
      </c>
      <c r="F367" s="181">
        <v>4.1188539190251403E-3</v>
      </c>
      <c r="G367" s="181">
        <v>-1.0401898827696376E-2</v>
      </c>
      <c r="H367" s="180">
        <v>133.54316878670244</v>
      </c>
      <c r="I367" s="181">
        <v>5.4665838738896201E-3</v>
      </c>
      <c r="J367" s="181">
        <v>1.0642288038351433E-2</v>
      </c>
      <c r="K367" s="180">
        <v>125.5747758921006</v>
      </c>
      <c r="L367" s="181">
        <v>1.0357780110773101E-3</v>
      </c>
      <c r="M367" s="181">
        <v>-1.1860042475642651E-2</v>
      </c>
      <c r="N367" s="180">
        <v>142.93371929386217</v>
      </c>
      <c r="O367" s="181">
        <v>-2.73177598532142E-3</v>
      </c>
      <c r="P367" s="181">
        <v>-3.4472754335796107E-2</v>
      </c>
      <c r="Q367" s="180">
        <v>122.42292903506601</v>
      </c>
      <c r="R367" s="181">
        <v>4.17602111334786E-3</v>
      </c>
      <c r="S367" s="181">
        <v>-9.3336779876884712E-4</v>
      </c>
      <c r="T367" s="180"/>
      <c r="U367" s="181"/>
      <c r="V367" s="181"/>
      <c r="W367" s="180">
        <v>101.76394566232165</v>
      </c>
      <c r="X367" s="181">
        <v>-4.8129315344083504E-3</v>
      </c>
      <c r="Y367" s="181">
        <v>1.2252563449761E-2</v>
      </c>
      <c r="Z367" s="180">
        <v>87.143526808758665</v>
      </c>
      <c r="AA367" s="181">
        <v>6.5196955827761804E-3</v>
      </c>
      <c r="AB367" s="181">
        <v>-3.6836157478266407E-2</v>
      </c>
      <c r="AC367" s="180">
        <v>113.17999151903635</v>
      </c>
      <c r="AD367" s="181">
        <v>-4.9145069856742305E-3</v>
      </c>
      <c r="AE367" s="181">
        <v>-2.5881244784206281E-2</v>
      </c>
      <c r="AF367" s="180">
        <v>99.877216095430356</v>
      </c>
      <c r="AG367" s="181">
        <v>8.6640587316251308E-3</v>
      </c>
      <c r="AH367" s="181">
        <v>-1.3219378563692263E-2</v>
      </c>
      <c r="AI367" s="180">
        <v>112.03481872708133</v>
      </c>
      <c r="AJ367" s="181">
        <v>2.0215831048836602E-2</v>
      </c>
      <c r="AK367" s="185">
        <v>-9.1544148962369176E-3</v>
      </c>
    </row>
    <row r="368" spans="1:37" s="184" customFormat="1" ht="15.75" customHeight="1">
      <c r="A368" s="179">
        <v>46054</v>
      </c>
      <c r="B368" s="180">
        <v>126.33888876891179</v>
      </c>
      <c r="C368" s="181">
        <v>-2.5287201521038299E-3</v>
      </c>
      <c r="D368" s="181">
        <v>-1.5695863181197311E-2</v>
      </c>
      <c r="E368" s="180">
        <v>153.9671994277769</v>
      </c>
      <c r="F368" s="181">
        <v>2.2621882200755498E-3</v>
      </c>
      <c r="G368" s="181">
        <v>-1.1266381031851291E-2</v>
      </c>
      <c r="H368" s="180">
        <v>133.28778034999911</v>
      </c>
      <c r="I368" s="181">
        <v>-1.9124035997020799E-3</v>
      </c>
      <c r="J368" s="181">
        <v>6.3581705921023079E-3</v>
      </c>
      <c r="K368" s="180">
        <v>125.87699829799321</v>
      </c>
      <c r="L368" s="181">
        <v>2.4067126837023002E-3</v>
      </c>
      <c r="M368" s="181">
        <v>-1.2517858300345908E-2</v>
      </c>
      <c r="N368" s="180">
        <v>142.73627654590138</v>
      </c>
      <c r="O368" s="181">
        <v>-1.3813587789936498E-3</v>
      </c>
      <c r="P368" s="181">
        <v>-3.1970198453546539E-2</v>
      </c>
      <c r="Q368" s="180">
        <v>121.93619938066034</v>
      </c>
      <c r="R368" s="181">
        <v>-3.9758046817051501E-3</v>
      </c>
      <c r="S368" s="181">
        <v>-1.8287427661410893E-3</v>
      </c>
      <c r="T368" s="180"/>
      <c r="U368" s="181"/>
      <c r="V368" s="181"/>
      <c r="W368" s="180">
        <v>101.03610810841533</v>
      </c>
      <c r="X368" s="181">
        <v>-7.1522143640289507E-3</v>
      </c>
      <c r="Y368" s="181">
        <v>-7.1438902195883891E-3</v>
      </c>
      <c r="Z368" s="180">
        <v>87.853333846152836</v>
      </c>
      <c r="AA368" s="181">
        <v>8.1452640647868106E-3</v>
      </c>
      <c r="AB368" s="181">
        <v>-3.9584894574899887E-2</v>
      </c>
      <c r="AC368" s="180">
        <v>112.75608248662071</v>
      </c>
      <c r="AD368" s="181">
        <v>-3.74544145768316E-3</v>
      </c>
      <c r="AE368" s="181">
        <v>-2.4506746823113601E-2</v>
      </c>
      <c r="AF368" s="180">
        <v>100.14578790988102</v>
      </c>
      <c r="AG368" s="181">
        <v>2.6890198280463302E-3</v>
      </c>
      <c r="AH368" s="181">
        <v>-7.6808726961498097E-3</v>
      </c>
      <c r="AI368" s="180">
        <v>111.02755260682008</v>
      </c>
      <c r="AJ368" s="181">
        <v>-8.99065247487894E-3</v>
      </c>
      <c r="AK368" s="185">
        <v>-1.0449546855414438E-2</v>
      </c>
    </row>
    <row r="369" spans="1:37" s="184" customFormat="1" ht="15.75" customHeight="1">
      <c r="A369" s="179">
        <v>46082</v>
      </c>
      <c r="B369" s="180">
        <v>126.37583077278555</v>
      </c>
      <c r="C369" s="181">
        <v>2.9240405890642598E-4</v>
      </c>
      <c r="D369" s="181">
        <v>-1.4697177265217465E-2</v>
      </c>
      <c r="E369" s="180">
        <v>153.6688962082595</v>
      </c>
      <c r="F369" s="181">
        <v>-1.93744655112296E-3</v>
      </c>
      <c r="G369" s="181">
        <v>-1.2524878592706901E-2</v>
      </c>
      <c r="H369" s="180">
        <v>132.72029995594463</v>
      </c>
      <c r="I369" s="181">
        <v>-4.2575575387658196E-3</v>
      </c>
      <c r="J369" s="181">
        <v>5.7876517812238681E-4</v>
      </c>
      <c r="K369" s="180">
        <v>126.09885794732187</v>
      </c>
      <c r="L369" s="181">
        <v>1.7625114383760501E-3</v>
      </c>
      <c r="M369" s="181">
        <v>-2.932971151703323E-3</v>
      </c>
      <c r="N369" s="180">
        <v>141.96746784971853</v>
      </c>
      <c r="O369" s="181">
        <v>-5.3862179593540003E-3</v>
      </c>
      <c r="P369" s="181">
        <v>-3.6742830951145944E-2</v>
      </c>
      <c r="Q369" s="180">
        <v>122.2154984407383</v>
      </c>
      <c r="R369" s="181">
        <v>2.2905344064893299E-3</v>
      </c>
      <c r="S369" s="181">
        <v>1.6610413426929593E-3</v>
      </c>
      <c r="T369" s="180"/>
      <c r="U369" s="181"/>
      <c r="V369" s="181"/>
      <c r="W369" s="180">
        <v>100.3129464811086</v>
      </c>
      <c r="X369" s="181">
        <v>-7.1574572778552101E-3</v>
      </c>
      <c r="Y369" s="181">
        <v>-1.7067214099455219E-2</v>
      </c>
      <c r="Z369" s="180">
        <v>87.619245355031055</v>
      </c>
      <c r="AA369" s="181">
        <v>-2.66453737010955E-3</v>
      </c>
      <c r="AB369" s="181">
        <v>-3.4613216588083473E-2</v>
      </c>
      <c r="AC369" s="180">
        <v>111.61653107402941</v>
      </c>
      <c r="AD369" s="181">
        <v>-1.0106340939314999E-2</v>
      </c>
      <c r="AE369" s="181">
        <v>-3.4912808157793185E-2</v>
      </c>
      <c r="AF369" s="180">
        <v>99.989343398654555</v>
      </c>
      <c r="AG369" s="181">
        <v>-1.56216766068326E-3</v>
      </c>
      <c r="AH369" s="181">
        <v>-7.2655682998329363E-3</v>
      </c>
      <c r="AI369" s="180">
        <v>108.61834500258777</v>
      </c>
      <c r="AJ369" s="181">
        <v>-2.1699186802432702E-2</v>
      </c>
      <c r="AK369" s="185">
        <v>-1.9641382117375428E-2</v>
      </c>
    </row>
    <row r="370" spans="1:37" s="184" customFormat="1" ht="15.75" customHeight="1">
      <c r="A370" s="179">
        <v>46113</v>
      </c>
      <c r="B370" s="180">
        <v>126.42557668928222</v>
      </c>
      <c r="C370" s="181">
        <v>3.9363473373406398E-4</v>
      </c>
      <c r="D370" s="181">
        <v>-1.232862722996686E-2</v>
      </c>
      <c r="E370" s="180">
        <v>153.0323970347705</v>
      </c>
      <c r="F370" s="181">
        <v>-4.1420169545983102E-3</v>
      </c>
      <c r="G370" s="181">
        <v>-1.1063816577259189E-2</v>
      </c>
      <c r="H370" s="180">
        <v>131.90696455243065</v>
      </c>
      <c r="I370" s="181">
        <v>-6.1281914204832895E-3</v>
      </c>
      <c r="J370" s="181">
        <v>-1.0849774341507024E-3</v>
      </c>
      <c r="K370" s="180">
        <v>126.34723115682782</v>
      </c>
      <c r="L370" s="181">
        <v>1.9696705707652803E-3</v>
      </c>
      <c r="M370" s="181">
        <v>6.6350855962389321E-3</v>
      </c>
      <c r="N370" s="180">
        <v>142.16782454187049</v>
      </c>
      <c r="O370" s="181">
        <v>1.41128594590447E-3</v>
      </c>
      <c r="P370" s="181">
        <v>-3.3926695136996532E-2</v>
      </c>
      <c r="Q370" s="180">
        <v>122.22397700901189</v>
      </c>
      <c r="R370" s="181">
        <v>6.9373920507287203E-5</v>
      </c>
      <c r="S370" s="181">
        <v>5.9174200156346668E-3</v>
      </c>
      <c r="T370" s="180"/>
      <c r="U370" s="181"/>
      <c r="V370" s="181"/>
      <c r="W370" s="180">
        <v>99.677200175218346</v>
      </c>
      <c r="X370" s="181">
        <v>-6.3376296698649699E-3</v>
      </c>
      <c r="Y370" s="181">
        <v>-2.6765534230150045E-2</v>
      </c>
      <c r="Z370" s="180">
        <v>87.072361533891367</v>
      </c>
      <c r="AA370" s="181">
        <v>-6.2415947423848494E-3</v>
      </c>
      <c r="AB370" s="181">
        <v>-3.5985828504242034E-2</v>
      </c>
      <c r="AC370" s="180">
        <v>111.97259354680219</v>
      </c>
      <c r="AD370" s="181">
        <v>3.1900514139488402E-3</v>
      </c>
      <c r="AE370" s="181">
        <v>-3.2418489891416602E-2</v>
      </c>
      <c r="AF370" s="180">
        <v>99.508332063561255</v>
      </c>
      <c r="AG370" s="181">
        <v>-4.8106260001680202E-3</v>
      </c>
      <c r="AH370" s="181">
        <v>-1.4941276427475225E-2</v>
      </c>
      <c r="AI370" s="180">
        <v>108.35548287033943</v>
      </c>
      <c r="AJ370" s="181">
        <v>-2.4200528211149198E-3</v>
      </c>
      <c r="AK370" s="185">
        <v>-2.0761208388239694E-2</v>
      </c>
    </row>
    <row r="371" spans="1:37" s="184" customFormat="1" ht="15.75" customHeight="1">
      <c r="A371" s="179">
        <v>46143</v>
      </c>
      <c r="B371" s="180">
        <v>126.31562796422544</v>
      </c>
      <c r="C371" s="181">
        <v>-8.69671532738954E-4</v>
      </c>
      <c r="D371" s="181">
        <v>-1.0964558755472531E-2</v>
      </c>
      <c r="E371" s="180">
        <v>153.02885759266604</v>
      </c>
      <c r="F371" s="181">
        <v>-2.3128711129458799E-5</v>
      </c>
      <c r="G371" s="181">
        <v>-8.0189909177893481E-3</v>
      </c>
      <c r="H371" s="180">
        <v>132.04774150182956</v>
      </c>
      <c r="I371" s="181">
        <v>1.0672442495858201E-3</v>
      </c>
      <c r="J371" s="181">
        <v>-1.2621332189877155E-3</v>
      </c>
      <c r="K371" s="180">
        <v>124.82019916939969</v>
      </c>
      <c r="L371" s="181">
        <v>-1.20859948686387E-2</v>
      </c>
      <c r="M371" s="181">
        <v>-4.5560880294478467E-3</v>
      </c>
      <c r="N371" s="180">
        <v>142.52277810371592</v>
      </c>
      <c r="O371" s="181">
        <v>2.49672218724062E-3</v>
      </c>
      <c r="P371" s="181">
        <v>-3.0363403002303113E-2</v>
      </c>
      <c r="Q371" s="180">
        <v>122.11432351642894</v>
      </c>
      <c r="R371" s="181">
        <v>-8.9715205859210601E-4</v>
      </c>
      <c r="S371" s="181">
        <v>8.7237414046532624E-3</v>
      </c>
      <c r="T371" s="180"/>
      <c r="U371" s="181"/>
      <c r="V371" s="181"/>
      <c r="W371" s="180">
        <v>99.301323224653956</v>
      </c>
      <c r="X371" s="181">
        <v>-3.7709421001357502E-3</v>
      </c>
      <c r="Y371" s="181">
        <v>-3.0196850362939065E-2</v>
      </c>
      <c r="Z371" s="180">
        <v>86.619674978713064</v>
      </c>
      <c r="AA371" s="181">
        <v>-5.1989695375621705E-3</v>
      </c>
      <c r="AB371" s="181">
        <v>-3.1680448148567297E-2</v>
      </c>
      <c r="AC371" s="180">
        <v>112.48935967773949</v>
      </c>
      <c r="AD371" s="181">
        <v>4.6151126321933196E-3</v>
      </c>
      <c r="AE371" s="181">
        <v>-2.9970994661882466E-2</v>
      </c>
      <c r="AF371" s="180">
        <v>99.898697115296102</v>
      </c>
      <c r="AG371" s="181">
        <v>3.9229383473686E-3</v>
      </c>
      <c r="AH371" s="181">
        <v>-8.1622271712439298E-3</v>
      </c>
      <c r="AI371" s="180">
        <v>108.38332649799959</v>
      </c>
      <c r="AJ371" s="181">
        <v>2.5696556300229003E-4</v>
      </c>
      <c r="AK371" s="185">
        <v>-1.6776889683323915E-2</v>
      </c>
    </row>
    <row r="372" spans="1:37" s="184" customFormat="1" ht="15.75" customHeight="1" thickBot="1">
      <c r="A372" s="186">
        <v>46174</v>
      </c>
      <c r="B372" s="187">
        <v>126.13901273025768</v>
      </c>
      <c r="C372" s="188">
        <v>-1.3982057233471702E-3</v>
      </c>
      <c r="D372" s="188">
        <v>-1.3496066758289071E-2</v>
      </c>
      <c r="E372" s="187">
        <v>152.04309585714955</v>
      </c>
      <c r="F372" s="188">
        <v>-6.4416721853887806E-3</v>
      </c>
      <c r="G372" s="188">
        <v>-1.3493633685346951E-2</v>
      </c>
      <c r="H372" s="187">
        <v>132.05844342133494</v>
      </c>
      <c r="I372" s="188">
        <v>8.1045835268937804E-5</v>
      </c>
      <c r="J372" s="188">
        <v>-1.5576785256730119E-3</v>
      </c>
      <c r="K372" s="187">
        <v>124.876908491074</v>
      </c>
      <c r="L372" s="188">
        <v>4.5432808192646398E-4</v>
      </c>
      <c r="M372" s="188">
        <v>-7.3683433849501823E-3</v>
      </c>
      <c r="N372" s="187">
        <v>142.03948075796751</v>
      </c>
      <c r="O372" s="188">
        <v>-3.3910182791743997E-3</v>
      </c>
      <c r="P372" s="188">
        <v>-3.1599443219450629E-2</v>
      </c>
      <c r="Q372" s="187">
        <v>121.89214317872393</v>
      </c>
      <c r="R372" s="188">
        <v>-1.81944534684434E-3</v>
      </c>
      <c r="S372" s="188">
        <v>6.1356422851979175E-3</v>
      </c>
      <c r="T372" s="187"/>
      <c r="U372" s="188"/>
      <c r="V372" s="188"/>
      <c r="W372" s="187">
        <v>98.710325287661874</v>
      </c>
      <c r="X372" s="188">
        <v>-5.9515615482286996E-3</v>
      </c>
      <c r="Y372" s="188">
        <v>-3.4389355553517409E-2</v>
      </c>
      <c r="Z372" s="187">
        <v>87.215689890153385</v>
      </c>
      <c r="AA372" s="188">
        <v>6.8808259969434108E-3</v>
      </c>
      <c r="AB372" s="188">
        <v>-2.6771369463214234E-2</v>
      </c>
      <c r="AC372" s="187">
        <v>112.59537876253782</v>
      </c>
      <c r="AD372" s="188">
        <v>9.4248100533290806E-4</v>
      </c>
      <c r="AE372" s="188">
        <v>-2.8351122385883443E-2</v>
      </c>
      <c r="AF372" s="187">
        <v>99.692989646269453</v>
      </c>
      <c r="AG372" s="188">
        <v>-2.0591606794354402E-3</v>
      </c>
      <c r="AH372" s="188">
        <v>-6.9322020138576912E-3</v>
      </c>
      <c r="AI372" s="187">
        <v>108.58441478180693</v>
      </c>
      <c r="AJ372" s="188">
        <v>1.8553433475862698E-3</v>
      </c>
      <c r="AK372" s="189">
        <v>-1.6526958532063873E-2</v>
      </c>
    </row>
    <row r="373" spans="1:37" ht="16.5" customHeight="1">
      <c r="A373" s="190" t="s">
        <v>235</v>
      </c>
      <c r="B373" s="191"/>
      <c r="C373" s="192"/>
      <c r="D373" s="192"/>
      <c r="E373" s="191"/>
      <c r="F373" s="192"/>
      <c r="G373" s="192"/>
      <c r="H373" s="191"/>
      <c r="I373" s="192"/>
      <c r="J373" s="192"/>
      <c r="K373" s="191"/>
      <c r="L373" s="192"/>
      <c r="M373" s="192"/>
      <c r="N373" s="191"/>
      <c r="O373" s="192"/>
      <c r="P373" s="192"/>
      <c r="Q373" s="191"/>
      <c r="R373" s="192"/>
      <c r="S373" s="192"/>
      <c r="T373" s="191"/>
      <c r="U373" s="192"/>
      <c r="V373" s="192"/>
      <c r="W373" s="191"/>
      <c r="X373" s="192"/>
      <c r="Y373" s="192"/>
      <c r="Z373" s="191"/>
      <c r="AA373" s="192"/>
      <c r="AB373" s="192"/>
      <c r="AC373" s="191"/>
      <c r="AD373" s="192"/>
      <c r="AE373" s="192"/>
      <c r="AF373" s="193"/>
      <c r="AG373" s="194"/>
      <c r="AH373" s="195"/>
      <c r="AI373" s="191"/>
      <c r="AJ373" s="192"/>
      <c r="AK373" s="192"/>
    </row>
    <row r="374" spans="1:37" ht="16.5" customHeight="1">
      <c r="A374" s="196" t="s">
        <v>236</v>
      </c>
      <c r="B374" s="197"/>
      <c r="C374" s="198"/>
      <c r="D374" s="199"/>
      <c r="E374" s="197"/>
      <c r="F374" s="198"/>
      <c r="G374" s="199"/>
      <c r="AF374" s="184"/>
      <c r="AG374" s="184"/>
      <c r="AH374" s="184"/>
    </row>
    <row r="375" spans="1:37" ht="16.5" customHeight="1">
      <c r="A375" s="200" t="s">
        <v>237</v>
      </c>
      <c r="B375" s="197"/>
      <c r="C375" s="198"/>
      <c r="D375" s="199"/>
      <c r="E375" s="197"/>
      <c r="F375" s="198"/>
      <c r="G375" s="199"/>
      <c r="AF375" s="184"/>
      <c r="AG375" s="184"/>
      <c r="AH375" s="184"/>
    </row>
    <row r="376" spans="1:37" s="201" customFormat="1" ht="24.75" customHeight="1">
      <c r="A376" s="256" t="s">
        <v>20</v>
      </c>
      <c r="B376" s="256"/>
      <c r="C376" s="256"/>
      <c r="D376" s="256"/>
      <c r="E376" s="256"/>
      <c r="F376" s="256"/>
      <c r="G376" s="256"/>
      <c r="H376" s="256"/>
      <c r="I376" s="256"/>
      <c r="J376" s="256"/>
      <c r="K376" s="256"/>
      <c r="L376" s="256"/>
      <c r="M376" s="256"/>
      <c r="N376" s="256"/>
      <c r="O376" s="256"/>
      <c r="P376" s="256"/>
      <c r="Q376" s="256"/>
      <c r="R376" s="256"/>
      <c r="S376" s="256"/>
      <c r="T376" s="256"/>
      <c r="U376" s="256"/>
      <c r="V376" s="256"/>
      <c r="W376" s="256"/>
      <c r="X376" s="256"/>
      <c r="Y376" s="256"/>
      <c r="Z376" s="256"/>
      <c r="AA376" s="256"/>
      <c r="AB376" s="256"/>
      <c r="AC376" s="256"/>
      <c r="AD376" s="256"/>
      <c r="AE376" s="256"/>
      <c r="AF376" s="256"/>
      <c r="AG376" s="256"/>
      <c r="AH376" s="256"/>
      <c r="AI376" s="256"/>
      <c r="AJ376" s="256"/>
      <c r="AK376" s="256"/>
    </row>
    <row r="377" spans="1:37">
      <c r="A377" s="202"/>
      <c r="B377" s="197"/>
      <c r="C377" s="203"/>
      <c r="D377" s="184"/>
      <c r="E377" s="197"/>
      <c r="F377" s="203"/>
      <c r="G377" s="184"/>
    </row>
    <row r="378" spans="1:37">
      <c r="A378" s="204"/>
      <c r="B378" s="197"/>
      <c r="C378" s="203"/>
      <c r="D378" s="184"/>
      <c r="E378" s="197"/>
      <c r="F378" s="203"/>
      <c r="G378" s="184"/>
    </row>
    <row r="379" spans="1:37">
      <c r="B379" s="197"/>
      <c r="C379" s="203"/>
      <c r="D379" s="184"/>
      <c r="E379" s="197"/>
      <c r="F379" s="203"/>
      <c r="G379" s="184"/>
    </row>
    <row r="380" spans="1:37" hidden="1">
      <c r="A380" s="202"/>
      <c r="B380" s="197"/>
      <c r="C380" s="203"/>
      <c r="D380" s="184"/>
      <c r="E380" s="197"/>
      <c r="F380" s="203"/>
      <c r="G380" s="184"/>
    </row>
    <row r="381" spans="1:37" hidden="1">
      <c r="A381" s="202"/>
      <c r="B381" s="197"/>
      <c r="C381" s="203"/>
      <c r="D381" s="184"/>
      <c r="E381" s="197"/>
      <c r="F381" s="203"/>
      <c r="G381" s="184"/>
    </row>
    <row r="382" spans="1:37" hidden="1">
      <c r="A382" s="202"/>
      <c r="B382" s="197"/>
      <c r="C382" s="203"/>
      <c r="D382" s="184"/>
      <c r="E382" s="197"/>
      <c r="F382" s="203"/>
      <c r="G382" s="184"/>
    </row>
    <row r="383" spans="1:37" hidden="1">
      <c r="A383" s="202"/>
      <c r="B383" s="197"/>
      <c r="C383" s="203"/>
      <c r="D383" s="184"/>
      <c r="E383" s="197"/>
      <c r="F383" s="203"/>
      <c r="G383" s="184"/>
    </row>
    <row r="384" spans="1:37" hidden="1">
      <c r="A384" s="202"/>
      <c r="B384" s="197"/>
      <c r="C384" s="203"/>
      <c r="D384" s="184"/>
      <c r="E384" s="197"/>
      <c r="F384" s="203"/>
      <c r="G384" s="184"/>
    </row>
    <row r="385" spans="2:7" hidden="1">
      <c r="B385" s="197"/>
      <c r="C385" s="203"/>
      <c r="D385" s="203"/>
      <c r="E385" s="197"/>
      <c r="F385" s="203"/>
      <c r="G385" s="203"/>
    </row>
    <row r="386" spans="2:7" hidden="1">
      <c r="B386" s="197"/>
      <c r="C386" s="203"/>
      <c r="D386" s="203"/>
      <c r="E386" s="197"/>
      <c r="F386" s="203"/>
      <c r="G386" s="203"/>
    </row>
    <row r="387" spans="2:7" hidden="1">
      <c r="B387" s="197"/>
      <c r="C387" s="203"/>
      <c r="D387" s="203"/>
      <c r="E387" s="197"/>
      <c r="F387" s="203"/>
      <c r="G387" s="203"/>
    </row>
    <row r="388" spans="2:7" hidden="1">
      <c r="B388" s="197"/>
      <c r="C388" s="203"/>
      <c r="D388" s="203"/>
      <c r="E388" s="197"/>
      <c r="F388" s="203"/>
      <c r="G388" s="203"/>
    </row>
    <row r="389" spans="2:7" hidden="1">
      <c r="B389" s="197"/>
      <c r="C389" s="203"/>
      <c r="D389" s="203"/>
      <c r="E389" s="197"/>
      <c r="F389" s="203"/>
      <c r="G389" s="203"/>
    </row>
    <row r="390" spans="2:7" hidden="1">
      <c r="B390" s="197"/>
      <c r="C390" s="205"/>
      <c r="D390" s="203"/>
      <c r="E390" s="197"/>
      <c r="F390" s="205"/>
      <c r="G390" s="203"/>
    </row>
    <row r="391" spans="2:7" hidden="1">
      <c r="B391" s="197"/>
      <c r="C391" s="203"/>
      <c r="D391" s="203"/>
      <c r="E391" s="197"/>
      <c r="F391" s="203"/>
      <c r="G391" s="203"/>
    </row>
    <row r="392" spans="2:7" hidden="1">
      <c r="B392" s="197"/>
      <c r="C392" s="203"/>
      <c r="D392" s="203"/>
      <c r="E392" s="197"/>
      <c r="F392" s="203"/>
      <c r="G392" s="203"/>
    </row>
    <row r="393" spans="2:7" hidden="1">
      <c r="B393" s="197"/>
      <c r="C393" s="203"/>
      <c r="D393" s="203"/>
      <c r="E393" s="197"/>
      <c r="F393" s="203"/>
      <c r="G393" s="203"/>
    </row>
    <row r="394" spans="2:7" hidden="1">
      <c r="B394" s="197"/>
      <c r="C394" s="203"/>
      <c r="D394" s="203"/>
      <c r="E394" s="197"/>
      <c r="F394" s="203"/>
      <c r="G394" s="203"/>
    </row>
    <row r="395" spans="2:7" hidden="1">
      <c r="B395" s="197"/>
      <c r="C395" s="203"/>
      <c r="D395" s="203"/>
      <c r="E395" s="197"/>
      <c r="F395" s="203"/>
      <c r="G395" s="203"/>
    </row>
    <row r="396" spans="2:7" hidden="1">
      <c r="B396" s="197"/>
      <c r="C396" s="203"/>
      <c r="D396" s="203"/>
      <c r="E396" s="197"/>
      <c r="F396" s="203"/>
      <c r="G396" s="203"/>
    </row>
    <row r="397" spans="2:7" hidden="1">
      <c r="B397" s="197"/>
      <c r="C397" s="203"/>
      <c r="D397" s="203"/>
      <c r="E397" s="197"/>
      <c r="F397" s="203"/>
      <c r="G397" s="203"/>
    </row>
    <row r="398" spans="2:7" hidden="1">
      <c r="B398" s="197"/>
      <c r="C398" s="203"/>
      <c r="D398" s="203"/>
      <c r="E398" s="197"/>
      <c r="F398" s="203"/>
      <c r="G398" s="203"/>
    </row>
    <row r="399" spans="2:7" hidden="1">
      <c r="B399" s="197"/>
      <c r="C399" s="203"/>
      <c r="D399" s="203"/>
      <c r="E399" s="197"/>
      <c r="F399" s="203"/>
      <c r="G399" s="203"/>
    </row>
    <row r="400" spans="2:7" hidden="1">
      <c r="B400" s="197"/>
      <c r="C400" s="203"/>
      <c r="D400" s="203"/>
      <c r="E400" s="197"/>
      <c r="F400" s="203"/>
      <c r="G400" s="203"/>
    </row>
    <row r="401" spans="2:7" hidden="1">
      <c r="B401" s="197"/>
      <c r="C401" s="203"/>
      <c r="D401" s="203"/>
      <c r="E401" s="197"/>
      <c r="F401" s="203"/>
      <c r="G401" s="203"/>
    </row>
    <row r="402" spans="2:7" hidden="1">
      <c r="B402" s="197"/>
      <c r="C402" s="203"/>
      <c r="D402" s="203"/>
      <c r="E402" s="197"/>
      <c r="F402" s="203"/>
      <c r="G402" s="203"/>
    </row>
    <row r="403" spans="2:7" hidden="1">
      <c r="B403" s="197"/>
      <c r="C403" s="203"/>
      <c r="D403" s="203"/>
      <c r="E403" s="197"/>
      <c r="F403" s="203"/>
      <c r="G403" s="203"/>
    </row>
    <row r="404" spans="2:7" hidden="1">
      <c r="B404" s="197"/>
      <c r="C404" s="203"/>
      <c r="D404" s="203"/>
      <c r="E404" s="197"/>
      <c r="F404" s="203"/>
      <c r="G404" s="203"/>
    </row>
    <row r="405" spans="2:7" hidden="1">
      <c r="B405" s="197"/>
      <c r="C405" s="203"/>
      <c r="D405" s="203"/>
      <c r="E405" s="197"/>
      <c r="F405" s="203"/>
      <c r="G405" s="203"/>
    </row>
    <row r="406" spans="2:7" hidden="1">
      <c r="B406" s="197"/>
      <c r="C406" s="203"/>
      <c r="D406" s="203"/>
      <c r="E406" s="197"/>
      <c r="F406" s="203"/>
      <c r="G406" s="203"/>
    </row>
    <row r="407" spans="2:7" hidden="1">
      <c r="B407" s="197"/>
      <c r="C407" s="203"/>
      <c r="D407" s="203"/>
      <c r="E407" s="197"/>
      <c r="F407" s="203"/>
      <c r="G407" s="203"/>
    </row>
    <row r="408" spans="2:7" hidden="1">
      <c r="B408" s="197"/>
      <c r="C408" s="203"/>
      <c r="D408" s="203"/>
      <c r="E408" s="197"/>
      <c r="F408" s="203"/>
      <c r="G408" s="203"/>
    </row>
    <row r="409" spans="2:7" hidden="1">
      <c r="B409" s="197"/>
      <c r="C409" s="203"/>
      <c r="D409" s="203"/>
      <c r="E409" s="197"/>
      <c r="F409" s="203"/>
      <c r="G409" s="203"/>
    </row>
    <row r="410" spans="2:7" hidden="1">
      <c r="B410" s="197"/>
      <c r="C410" s="203"/>
      <c r="D410" s="203"/>
      <c r="E410" s="197"/>
      <c r="F410" s="203"/>
      <c r="G410" s="203"/>
    </row>
    <row r="411" spans="2:7" hidden="1">
      <c r="B411" s="197"/>
      <c r="C411" s="203"/>
      <c r="D411" s="203"/>
      <c r="E411" s="197"/>
      <c r="F411" s="203"/>
      <c r="G411" s="203"/>
    </row>
    <row r="412" spans="2:7" hidden="1">
      <c r="B412" s="197"/>
      <c r="C412" s="203"/>
      <c r="D412" s="203"/>
      <c r="E412" s="197"/>
      <c r="F412" s="203"/>
      <c r="G412" s="203"/>
    </row>
    <row r="413" spans="2:7" hidden="1">
      <c r="B413" s="197"/>
      <c r="C413" s="203"/>
      <c r="D413" s="203"/>
      <c r="E413" s="197"/>
      <c r="F413" s="203"/>
      <c r="G413" s="203"/>
    </row>
    <row r="414" spans="2:7" hidden="1">
      <c r="B414" s="197"/>
      <c r="C414" s="203"/>
      <c r="D414" s="203"/>
      <c r="E414" s="197"/>
      <c r="F414" s="203"/>
      <c r="G414" s="203"/>
    </row>
  </sheetData>
  <mergeCells count="27">
    <mergeCell ref="A1:G1"/>
    <mergeCell ref="A2:AK2"/>
    <mergeCell ref="B3:D3"/>
    <mergeCell ref="E3:G3"/>
    <mergeCell ref="H3:J3"/>
    <mergeCell ref="K3:M3"/>
    <mergeCell ref="N3:P3"/>
    <mergeCell ref="Q3:S3"/>
    <mergeCell ref="T3:V3"/>
    <mergeCell ref="W3:Y3"/>
    <mergeCell ref="Z3:AB3"/>
    <mergeCell ref="AC3:AE3"/>
    <mergeCell ref="AF3:AH3"/>
    <mergeCell ref="AI3:AK3"/>
    <mergeCell ref="R4:S4"/>
    <mergeCell ref="A376:AK376"/>
    <mergeCell ref="U4:V4"/>
    <mergeCell ref="X4:Y4"/>
    <mergeCell ref="AA4:AB4"/>
    <mergeCell ref="AD4:AE4"/>
    <mergeCell ref="AG4:AH4"/>
    <mergeCell ref="AJ4:AK4"/>
    <mergeCell ref="C4:D4"/>
    <mergeCell ref="F4:G4"/>
    <mergeCell ref="I4:J4"/>
    <mergeCell ref="L4:M4"/>
    <mergeCell ref="O4:P4"/>
  </mergeCells>
  <printOptions horizontalCentered="1" verticalCentered="1"/>
  <pageMargins left="0" right="0" top="0" bottom="0" header="0.31496062992125984" footer="0.31496062992125984"/>
  <pageSetup scale="2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5</vt:i4>
      </vt:variant>
    </vt:vector>
  </HeadingPairs>
  <TitlesOfParts>
    <vt:vector size="12" baseType="lpstr">
      <vt:lpstr>Tapa</vt:lpstr>
      <vt:lpstr>Indice</vt:lpstr>
      <vt:lpstr>1</vt:lpstr>
      <vt:lpstr>2</vt:lpstr>
      <vt:lpstr>3</vt:lpstr>
      <vt:lpstr>4</vt:lpstr>
      <vt:lpstr>5</vt:lpstr>
      <vt:lpstr>'1'!Área_de_impresión</vt:lpstr>
      <vt:lpstr>'2'!Área_de_impresión</vt:lpstr>
      <vt:lpstr>'3'!Área_de_impresión</vt:lpstr>
      <vt:lpstr>'4'!Área_de_impresión</vt:lpstr>
      <vt:lpstr>'5'!Área_de_impresión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Veronica Del Carmen Axt</dc:creator>
  <cp:lastModifiedBy>m</cp:lastModifiedBy>
  <dcterms:created xsi:type="dcterms:W3CDTF">2014-09-18T14:12:05Z</dcterms:created>
  <dcterms:modified xsi:type="dcterms:W3CDTF">2026-10-07T19:59:10Z</dcterms:modified>
</cp:coreProperties>
</file>